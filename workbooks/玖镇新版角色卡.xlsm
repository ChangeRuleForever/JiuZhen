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mc:AlternateContent xmlns:mc="http://schemas.openxmlformats.org/markup-compatibility/2006">
    <mc:Choice Requires="x15">
      <x15ac:absPath xmlns:x15ac="http://schemas.microsoft.com/office/spreadsheetml/2010/11/ac" url="C:\Users\chenzr36168\Downloads\玖镇\JiuZhen\workbooks\"/>
    </mc:Choice>
  </mc:AlternateContent>
  <xr:revisionPtr revIDLastSave="0" documentId="13_ncr:1_{A801A90E-2C68-4206-B070-DB466A8F497C}" xr6:coauthVersionLast="47" xr6:coauthVersionMax="47" xr10:uidLastSave="{00000000-0000-0000-0000-000000000000}"/>
  <bookViews>
    <workbookView xWindow="-108" yWindow="-108" windowWidth="30936" windowHeight="16776" activeTab="7" xr2:uid="{00000000-000D-0000-FFFF-FFFF00000000}"/>
  </bookViews>
  <sheets>
    <sheet name="基本信息" sheetId="7" r:id="rId1"/>
    <sheet name="个人信息" sheetId="1" r:id="rId2"/>
    <sheet name="书籍、特性与技能" sheetId="2" r:id="rId3"/>
    <sheet name="通用特性体系" sheetId="13" r:id="rId4"/>
    <sheet name="技能列表" sheetId="14" r:id="rId5"/>
    <sheet name="装备列表" sheetId="15" r:id="rId6"/>
    <sheet name="【药家】草药学列表" sheetId="16" state="hidden" r:id="rId7"/>
    <sheet name="随从列表" sheetId="17" r:id="rId8"/>
    <sheet name="【墨家】工巧格与魁人" sheetId="4" state="hidden" r:id="rId9"/>
    <sheet name="魁人面板" sheetId="6" state="veryHidden" r:id="rId10"/>
    <sheet name="【墨家】物品库" sheetId="5" state="hidden" r:id="rId11"/>
    <sheet name="快速复制区" sheetId="3"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7" i="4" l="1"/>
  <c r="R10" i="4" s="1"/>
  <c r="R4" i="4"/>
  <c r="P5" i="4"/>
  <c r="I6" i="4"/>
  <c r="I4" i="4"/>
  <c r="I3" i="4"/>
  <c r="I5" i="4" s="1"/>
  <c r="R6" i="4" s="1"/>
  <c r="R8" i="4" s="1"/>
  <c r="R18" i="4"/>
  <c r="R19" i="4"/>
  <c r="R17" i="4"/>
  <c r="Q18" i="4"/>
  <c r="Q19" i="4"/>
  <c r="Q17" i="4"/>
  <c r="R11" i="4" s="1"/>
  <c r="W6" i="4"/>
  <c r="W7" i="4"/>
  <c r="W8" i="4"/>
  <c r="W9" i="4"/>
  <c r="W10" i="4"/>
  <c r="W11" i="4"/>
  <c r="W12" i="4"/>
  <c r="W13" i="4"/>
  <c r="W14" i="4"/>
  <c r="W5" i="4"/>
  <c r="V6" i="4"/>
  <c r="V7" i="4"/>
  <c r="V8" i="4"/>
  <c r="V9" i="4"/>
  <c r="V10" i="4"/>
  <c r="V11" i="4"/>
  <c r="V12" i="4"/>
  <c r="V13" i="4"/>
  <c r="V14" i="4"/>
  <c r="V5" i="4"/>
  <c r="J54" i="17"/>
  <c r="I54" i="17"/>
  <c r="J53" i="17"/>
  <c r="I53" i="17"/>
  <c r="J52" i="17"/>
  <c r="I52" i="17"/>
  <c r="J51" i="17"/>
  <c r="I51" i="17"/>
  <c r="K47" i="17"/>
  <c r="K46" i="17"/>
  <c r="K45" i="17"/>
  <c r="K44" i="17"/>
  <c r="J40" i="17"/>
  <c r="I40" i="17"/>
  <c r="J39" i="17"/>
  <c r="I39" i="17"/>
  <c r="J38" i="17"/>
  <c r="I38" i="17"/>
  <c r="J37" i="17"/>
  <c r="I37" i="17"/>
  <c r="K33" i="17"/>
  <c r="K32" i="17"/>
  <c r="K31" i="17"/>
  <c r="K30" i="17"/>
  <c r="J26" i="17"/>
  <c r="I26" i="17"/>
  <c r="J25" i="17"/>
  <c r="I25" i="17"/>
  <c r="J24" i="17"/>
  <c r="I24" i="17"/>
  <c r="J23" i="17"/>
  <c r="I23" i="17"/>
  <c r="K19" i="17"/>
  <c r="K18" i="17"/>
  <c r="K17" i="17"/>
  <c r="K16" i="17"/>
  <c r="J12" i="17"/>
  <c r="I12" i="17"/>
  <c r="J11" i="17"/>
  <c r="I11" i="17"/>
  <c r="J10" i="17"/>
  <c r="I10" i="17"/>
  <c r="J9" i="17"/>
  <c r="I9" i="17"/>
  <c r="K5" i="17"/>
  <c r="K4" i="17"/>
  <c r="K3" i="17"/>
  <c r="K2" i="17"/>
  <c r="F25" i="1"/>
  <c r="D25" i="1"/>
  <c r="H21" i="1"/>
  <c r="H19" i="1"/>
  <c r="H17" i="1"/>
  <c r="H15" i="1"/>
  <c r="H13" i="1"/>
  <c r="B54" i="17"/>
  <c r="B53" i="17"/>
  <c r="B52" i="17"/>
  <c r="B51" i="17"/>
  <c r="B40" i="17"/>
  <c r="B39" i="17"/>
  <c r="B38" i="17"/>
  <c r="B37" i="17"/>
  <c r="B26" i="17"/>
  <c r="B25" i="17"/>
  <c r="B24" i="17"/>
  <c r="B23" i="17"/>
  <c r="B12" i="17"/>
  <c r="B11" i="17"/>
  <c r="B10" i="17"/>
  <c r="B9" i="17"/>
  <c r="U35" i="2"/>
  <c r="T35" i="2"/>
  <c r="M35" i="2"/>
  <c r="J35" i="2"/>
  <c r="I35" i="2"/>
  <c r="B35" i="2"/>
  <c r="U34" i="2"/>
  <c r="T34" i="2"/>
  <c r="M34" i="2"/>
  <c r="J34" i="2"/>
  <c r="I34" i="2"/>
  <c r="B34" i="2"/>
  <c r="U33" i="2"/>
  <c r="T33" i="2"/>
  <c r="M33" i="2"/>
  <c r="J33" i="2"/>
  <c r="I33" i="2"/>
  <c r="B33" i="2"/>
  <c r="U32" i="2"/>
  <c r="T32" i="2"/>
  <c r="M32" i="2"/>
  <c r="J32" i="2"/>
  <c r="I32" i="2"/>
  <c r="B32" i="2"/>
  <c r="U31" i="2"/>
  <c r="T31" i="2"/>
  <c r="M31" i="2"/>
  <c r="J31" i="2"/>
  <c r="I31" i="2"/>
  <c r="B31" i="2"/>
  <c r="U30" i="2"/>
  <c r="T30" i="2"/>
  <c r="M30" i="2"/>
  <c r="J30" i="2"/>
  <c r="I30" i="2"/>
  <c r="B30" i="2"/>
  <c r="U29" i="2"/>
  <c r="T29" i="2"/>
  <c r="M29" i="2"/>
  <c r="J29" i="2"/>
  <c r="I29" i="2"/>
  <c r="B29" i="2"/>
  <c r="U28" i="2"/>
  <c r="T28" i="2"/>
  <c r="M28" i="2"/>
  <c r="J28" i="2"/>
  <c r="I28" i="2"/>
  <c r="B28" i="2"/>
  <c r="U27" i="2"/>
  <c r="T27" i="2"/>
  <c r="M27" i="2"/>
  <c r="J27" i="2"/>
  <c r="I27" i="2"/>
  <c r="B27" i="2"/>
  <c r="U26" i="2"/>
  <c r="T26" i="2"/>
  <c r="M26" i="2"/>
  <c r="J26" i="2"/>
  <c r="I26" i="2"/>
  <c r="B26" i="2"/>
  <c r="U25" i="2"/>
  <c r="T25" i="2"/>
  <c r="M25" i="2"/>
  <c r="J25" i="2"/>
  <c r="I25" i="2"/>
  <c r="B25" i="2"/>
  <c r="U24" i="2"/>
  <c r="T24" i="2"/>
  <c r="M24" i="2"/>
  <c r="J24" i="2"/>
  <c r="I24" i="2"/>
  <c r="B24" i="2"/>
  <c r="U23" i="2"/>
  <c r="T23" i="2"/>
  <c r="M23" i="2"/>
  <c r="J23" i="2"/>
  <c r="I23" i="2"/>
  <c r="B23" i="2"/>
  <c r="U22" i="2"/>
  <c r="T22" i="2"/>
  <c r="M22" i="2"/>
  <c r="J22" i="2"/>
  <c r="I22" i="2"/>
  <c r="B22" i="2"/>
  <c r="U21" i="2"/>
  <c r="T21" i="2"/>
  <c r="M21" i="2"/>
  <c r="J21" i="2"/>
  <c r="I21" i="2"/>
  <c r="B21" i="2"/>
  <c r="U20" i="2"/>
  <c r="T20" i="2"/>
  <c r="M20" i="2"/>
  <c r="J20" i="2"/>
  <c r="I20" i="2"/>
  <c r="B20" i="2"/>
  <c r="M17" i="2"/>
  <c r="M16" i="2"/>
  <c r="M15" i="2"/>
  <c r="M14" i="2"/>
  <c r="M13" i="2"/>
  <c r="M12" i="2"/>
  <c r="M11" i="2"/>
  <c r="M10" i="2"/>
  <c r="M9" i="2"/>
  <c r="M8" i="2"/>
  <c r="M7" i="2"/>
  <c r="M6" i="2"/>
  <c r="M5" i="2"/>
  <c r="M4" i="2"/>
  <c r="M3" i="2"/>
  <c r="M2" i="2"/>
  <c r="G11" i="3"/>
  <c r="E11" i="3"/>
  <c r="G10" i="3"/>
  <c r="E10" i="3"/>
  <c r="G9" i="3"/>
  <c r="E9" i="3"/>
  <c r="G8" i="3"/>
  <c r="E8" i="3"/>
  <c r="G7" i="3"/>
  <c r="E7" i="3"/>
  <c r="G6" i="3"/>
  <c r="E6" i="3"/>
  <c r="C6" i="3"/>
  <c r="G5" i="3"/>
  <c r="E5" i="3"/>
  <c r="C5" i="3"/>
  <c r="G4" i="3"/>
  <c r="E4" i="3"/>
  <c r="C4" i="3"/>
  <c r="E3" i="3"/>
  <c r="C3" i="3"/>
  <c r="W300" i="5"/>
  <c r="V300" i="5"/>
  <c r="U300" i="5"/>
  <c r="W299" i="5"/>
  <c r="V299" i="5"/>
  <c r="U299" i="5"/>
  <c r="W298" i="5"/>
  <c r="V298" i="5"/>
  <c r="U298" i="5"/>
  <c r="W297" i="5"/>
  <c r="V297" i="5"/>
  <c r="U297" i="5"/>
  <c r="W296" i="5"/>
  <c r="V296" i="5"/>
  <c r="U296" i="5"/>
  <c r="W295" i="5"/>
  <c r="V295" i="5"/>
  <c r="U295" i="5"/>
  <c r="W294" i="5"/>
  <c r="V294" i="5"/>
  <c r="U294" i="5"/>
  <c r="W293" i="5"/>
  <c r="V293" i="5"/>
  <c r="U293" i="5"/>
  <c r="W292" i="5"/>
  <c r="V292" i="5"/>
  <c r="U292" i="5"/>
  <c r="W291" i="5"/>
  <c r="V291" i="5"/>
  <c r="U291" i="5"/>
  <c r="W290" i="5"/>
  <c r="V290" i="5"/>
  <c r="U290" i="5"/>
  <c r="W289" i="5"/>
  <c r="V289" i="5"/>
  <c r="U289" i="5"/>
  <c r="W288" i="5"/>
  <c r="V288" i="5"/>
  <c r="U288" i="5"/>
  <c r="W287" i="5"/>
  <c r="V287" i="5"/>
  <c r="U287" i="5"/>
  <c r="W286" i="5"/>
  <c r="V286" i="5"/>
  <c r="U286" i="5"/>
  <c r="W285" i="5"/>
  <c r="V285" i="5"/>
  <c r="U285" i="5"/>
  <c r="W284" i="5"/>
  <c r="V284" i="5"/>
  <c r="U284" i="5"/>
  <c r="W283" i="5"/>
  <c r="V283" i="5"/>
  <c r="U283" i="5"/>
  <c r="W282" i="5"/>
  <c r="V282" i="5"/>
  <c r="U282" i="5"/>
  <c r="W281" i="5"/>
  <c r="V281" i="5"/>
  <c r="U281" i="5"/>
  <c r="W280" i="5"/>
  <c r="V280" i="5"/>
  <c r="U280" i="5"/>
  <c r="W279" i="5"/>
  <c r="V279" i="5"/>
  <c r="U279" i="5"/>
  <c r="W278" i="5"/>
  <c r="V278" i="5"/>
  <c r="U278" i="5"/>
  <c r="W277" i="5"/>
  <c r="V277" i="5"/>
  <c r="U277" i="5"/>
  <c r="W276" i="5"/>
  <c r="V276" i="5"/>
  <c r="U276" i="5"/>
  <c r="W275" i="5"/>
  <c r="V275" i="5"/>
  <c r="U275" i="5"/>
  <c r="W274" i="5"/>
  <c r="V274" i="5"/>
  <c r="U274" i="5"/>
  <c r="W273" i="5"/>
  <c r="V273" i="5"/>
  <c r="U273" i="5"/>
  <c r="W272" i="5"/>
  <c r="V272" i="5"/>
  <c r="U272" i="5"/>
  <c r="W271" i="5"/>
  <c r="V271" i="5"/>
  <c r="U271" i="5"/>
  <c r="W270" i="5"/>
  <c r="V270" i="5"/>
  <c r="U270" i="5"/>
  <c r="W269" i="5"/>
  <c r="V269" i="5"/>
  <c r="U269" i="5"/>
  <c r="W268" i="5"/>
  <c r="V268" i="5"/>
  <c r="U268" i="5"/>
  <c r="W267" i="5"/>
  <c r="V267" i="5"/>
  <c r="U267" i="5"/>
  <c r="W266" i="5"/>
  <c r="V266" i="5"/>
  <c r="U266" i="5"/>
  <c r="W265" i="5"/>
  <c r="V265" i="5"/>
  <c r="U265" i="5"/>
  <c r="W264" i="5"/>
  <c r="V264" i="5"/>
  <c r="U264" i="5"/>
  <c r="W263" i="5"/>
  <c r="V263" i="5"/>
  <c r="U263" i="5"/>
  <c r="W262" i="5"/>
  <c r="V262" i="5"/>
  <c r="U262" i="5"/>
  <c r="W261" i="5"/>
  <c r="V261" i="5"/>
  <c r="U261" i="5"/>
  <c r="W260" i="5"/>
  <c r="V260" i="5"/>
  <c r="U260" i="5"/>
  <c r="W259" i="5"/>
  <c r="V259" i="5"/>
  <c r="U259" i="5"/>
  <c r="W258" i="5"/>
  <c r="V258" i="5"/>
  <c r="U258" i="5"/>
  <c r="W257" i="5"/>
  <c r="V257" i="5"/>
  <c r="U257" i="5"/>
  <c r="W256" i="5"/>
  <c r="V256" i="5"/>
  <c r="U256" i="5"/>
  <c r="W255" i="5"/>
  <c r="V255" i="5"/>
  <c r="U255" i="5"/>
  <c r="W254" i="5"/>
  <c r="V254" i="5"/>
  <c r="U254" i="5"/>
  <c r="W253" i="5"/>
  <c r="V253" i="5"/>
  <c r="U253" i="5"/>
  <c r="W252" i="5"/>
  <c r="V252" i="5"/>
  <c r="U252" i="5"/>
  <c r="W251" i="5"/>
  <c r="V251" i="5"/>
  <c r="U251" i="5"/>
  <c r="W250" i="5"/>
  <c r="V250" i="5"/>
  <c r="U250" i="5"/>
  <c r="W249" i="5"/>
  <c r="V249" i="5"/>
  <c r="U249" i="5"/>
  <c r="W248" i="5"/>
  <c r="V248" i="5"/>
  <c r="U248" i="5"/>
  <c r="W247" i="5"/>
  <c r="V247" i="5"/>
  <c r="U247" i="5"/>
  <c r="W246" i="5"/>
  <c r="V246" i="5"/>
  <c r="U246" i="5"/>
  <c r="W245" i="5"/>
  <c r="V245" i="5"/>
  <c r="U245" i="5"/>
  <c r="W244" i="5"/>
  <c r="V244" i="5"/>
  <c r="U244" i="5"/>
  <c r="W243" i="5"/>
  <c r="V243" i="5"/>
  <c r="U243" i="5"/>
  <c r="W242" i="5"/>
  <c r="V242" i="5"/>
  <c r="U242" i="5"/>
  <c r="W241" i="5"/>
  <c r="V241" i="5"/>
  <c r="U241" i="5"/>
  <c r="W240" i="5"/>
  <c r="V240" i="5"/>
  <c r="U240" i="5"/>
  <c r="W239" i="5"/>
  <c r="V239" i="5"/>
  <c r="U239" i="5"/>
  <c r="W238" i="5"/>
  <c r="V238" i="5"/>
  <c r="U238" i="5"/>
  <c r="W237" i="5"/>
  <c r="V237" i="5"/>
  <c r="U237" i="5"/>
  <c r="W236" i="5"/>
  <c r="V236" i="5"/>
  <c r="U236" i="5"/>
  <c r="W235" i="5"/>
  <c r="V235" i="5"/>
  <c r="U235" i="5"/>
  <c r="W234" i="5"/>
  <c r="V234" i="5"/>
  <c r="U234" i="5"/>
  <c r="W233" i="5"/>
  <c r="V233" i="5"/>
  <c r="U233" i="5"/>
  <c r="W232" i="5"/>
  <c r="V232" i="5"/>
  <c r="U232" i="5"/>
  <c r="W231" i="5"/>
  <c r="V231" i="5"/>
  <c r="U231" i="5"/>
  <c r="W230" i="5"/>
  <c r="V230" i="5"/>
  <c r="U230" i="5"/>
  <c r="W229" i="5"/>
  <c r="V229" i="5"/>
  <c r="U229" i="5"/>
  <c r="W228" i="5"/>
  <c r="V228" i="5"/>
  <c r="U228" i="5"/>
  <c r="W227" i="5"/>
  <c r="V227" i="5"/>
  <c r="U227" i="5"/>
  <c r="W226" i="5"/>
  <c r="V226" i="5"/>
  <c r="U226" i="5"/>
  <c r="W225" i="5"/>
  <c r="V225" i="5"/>
  <c r="U225" i="5"/>
  <c r="W224" i="5"/>
  <c r="V224" i="5"/>
  <c r="U224" i="5"/>
  <c r="W223" i="5"/>
  <c r="V223" i="5"/>
  <c r="U223" i="5"/>
  <c r="W222" i="5"/>
  <c r="V222" i="5"/>
  <c r="U222" i="5"/>
  <c r="W221" i="5"/>
  <c r="V221" i="5"/>
  <c r="U221" i="5"/>
  <c r="W220" i="5"/>
  <c r="V220" i="5"/>
  <c r="U220" i="5"/>
  <c r="W219" i="5"/>
  <c r="V219" i="5"/>
  <c r="U219" i="5"/>
  <c r="W218" i="5"/>
  <c r="V218" i="5"/>
  <c r="U218" i="5"/>
  <c r="W217" i="5"/>
  <c r="V217" i="5"/>
  <c r="U217" i="5"/>
  <c r="W216" i="5"/>
  <c r="V216" i="5"/>
  <c r="U216" i="5"/>
  <c r="W215" i="5"/>
  <c r="V215" i="5"/>
  <c r="U215" i="5"/>
  <c r="W214" i="5"/>
  <c r="V214" i="5"/>
  <c r="U214" i="5"/>
  <c r="W213" i="5"/>
  <c r="V213" i="5"/>
  <c r="U213" i="5"/>
  <c r="W212" i="5"/>
  <c r="V212" i="5"/>
  <c r="U212" i="5"/>
  <c r="W211" i="5"/>
  <c r="V211" i="5"/>
  <c r="U211" i="5"/>
  <c r="W210" i="5"/>
  <c r="V210" i="5"/>
  <c r="U210" i="5"/>
  <c r="W209" i="5"/>
  <c r="V209" i="5"/>
  <c r="U209" i="5"/>
  <c r="W208" i="5"/>
  <c r="V208" i="5"/>
  <c r="U208" i="5"/>
  <c r="W207" i="5"/>
  <c r="V207" i="5"/>
  <c r="U207" i="5"/>
  <c r="W206" i="5"/>
  <c r="V206" i="5"/>
  <c r="U206" i="5"/>
  <c r="W205" i="5"/>
  <c r="V205" i="5"/>
  <c r="U205" i="5"/>
  <c r="W204" i="5"/>
  <c r="V204" i="5"/>
  <c r="U204" i="5"/>
  <c r="W203" i="5"/>
  <c r="V203" i="5"/>
  <c r="U203" i="5"/>
  <c r="W202" i="5"/>
  <c r="V202" i="5"/>
  <c r="U202" i="5"/>
  <c r="W201" i="5"/>
  <c r="V201" i="5"/>
  <c r="U201" i="5"/>
  <c r="W200" i="5"/>
  <c r="V200" i="5"/>
  <c r="U200" i="5"/>
  <c r="W199" i="5"/>
  <c r="V199" i="5"/>
  <c r="U199" i="5"/>
  <c r="W198" i="5"/>
  <c r="V198" i="5"/>
  <c r="U198" i="5"/>
  <c r="W197" i="5"/>
  <c r="V197" i="5"/>
  <c r="U197" i="5"/>
  <c r="W196" i="5"/>
  <c r="V196" i="5"/>
  <c r="U196" i="5"/>
  <c r="W195" i="5"/>
  <c r="V195" i="5"/>
  <c r="U195" i="5"/>
  <c r="W194" i="5"/>
  <c r="V194" i="5"/>
  <c r="U194" i="5"/>
  <c r="W193" i="5"/>
  <c r="V193" i="5"/>
  <c r="U193" i="5"/>
  <c r="W192" i="5"/>
  <c r="V192" i="5"/>
  <c r="U192" i="5"/>
  <c r="W191" i="5"/>
  <c r="V191" i="5"/>
  <c r="U191" i="5"/>
  <c r="W190" i="5"/>
  <c r="V190" i="5"/>
  <c r="U190" i="5"/>
  <c r="W189" i="5"/>
  <c r="V189" i="5"/>
  <c r="U189" i="5"/>
  <c r="W188" i="5"/>
  <c r="V188" i="5"/>
  <c r="U188" i="5"/>
  <c r="W187" i="5"/>
  <c r="V187" i="5"/>
  <c r="U187" i="5"/>
  <c r="W186" i="5"/>
  <c r="V186" i="5"/>
  <c r="U186" i="5"/>
  <c r="W185" i="5"/>
  <c r="V185" i="5"/>
  <c r="U185" i="5"/>
  <c r="W184" i="5"/>
  <c r="V184" i="5"/>
  <c r="U184" i="5"/>
  <c r="W183" i="5"/>
  <c r="V183" i="5"/>
  <c r="U183" i="5"/>
  <c r="W182" i="5"/>
  <c r="V182" i="5"/>
  <c r="U182" i="5"/>
  <c r="W181" i="5"/>
  <c r="V181" i="5"/>
  <c r="U181" i="5"/>
  <c r="W180" i="5"/>
  <c r="V180" i="5"/>
  <c r="U180" i="5"/>
  <c r="W179" i="5"/>
  <c r="V179" i="5"/>
  <c r="U179" i="5"/>
  <c r="W178" i="5"/>
  <c r="V178" i="5"/>
  <c r="U178" i="5"/>
  <c r="W177" i="5"/>
  <c r="V177" i="5"/>
  <c r="U177" i="5"/>
  <c r="W176" i="5"/>
  <c r="V176" i="5"/>
  <c r="U176" i="5"/>
  <c r="W175" i="5"/>
  <c r="V175" i="5"/>
  <c r="U175" i="5"/>
  <c r="W174" i="5"/>
  <c r="V174" i="5"/>
  <c r="U174" i="5"/>
  <c r="W173" i="5"/>
  <c r="V173" i="5"/>
  <c r="U173" i="5"/>
  <c r="W172" i="5"/>
  <c r="V172" i="5"/>
  <c r="U172" i="5"/>
  <c r="W171" i="5"/>
  <c r="V171" i="5"/>
  <c r="U171" i="5"/>
  <c r="W170" i="5"/>
  <c r="V170" i="5"/>
  <c r="U170" i="5"/>
  <c r="W169" i="5"/>
  <c r="V169" i="5"/>
  <c r="U169" i="5"/>
  <c r="W168" i="5"/>
  <c r="V168" i="5"/>
  <c r="U168" i="5"/>
  <c r="W167" i="5"/>
  <c r="V167" i="5"/>
  <c r="U167" i="5"/>
  <c r="W166" i="5"/>
  <c r="V166" i="5"/>
  <c r="U166" i="5"/>
  <c r="W165" i="5"/>
  <c r="V165" i="5"/>
  <c r="U165" i="5"/>
  <c r="W164" i="5"/>
  <c r="V164" i="5"/>
  <c r="U164" i="5"/>
  <c r="W163" i="5"/>
  <c r="V163" i="5"/>
  <c r="U163" i="5"/>
  <c r="W162" i="5"/>
  <c r="V162" i="5"/>
  <c r="U162" i="5"/>
  <c r="W161" i="5"/>
  <c r="V161" i="5"/>
  <c r="U161" i="5"/>
  <c r="W160" i="5"/>
  <c r="V160" i="5"/>
  <c r="U160" i="5"/>
  <c r="W159" i="5"/>
  <c r="V159" i="5"/>
  <c r="U159" i="5"/>
  <c r="W158" i="5"/>
  <c r="V158" i="5"/>
  <c r="U158" i="5"/>
  <c r="W157" i="5"/>
  <c r="V157" i="5"/>
  <c r="U157" i="5"/>
  <c r="W156" i="5"/>
  <c r="V156" i="5"/>
  <c r="U156" i="5"/>
  <c r="W155" i="5"/>
  <c r="V155" i="5"/>
  <c r="U155" i="5"/>
  <c r="W154" i="5"/>
  <c r="V154" i="5"/>
  <c r="U154" i="5"/>
  <c r="W153" i="5"/>
  <c r="V153" i="5"/>
  <c r="U153" i="5"/>
  <c r="W152" i="5"/>
  <c r="V152" i="5"/>
  <c r="U152" i="5"/>
  <c r="W151" i="5"/>
  <c r="V151" i="5"/>
  <c r="U151" i="5"/>
  <c r="W150" i="5"/>
  <c r="V150" i="5"/>
  <c r="U150" i="5"/>
  <c r="W149" i="5"/>
  <c r="V149" i="5"/>
  <c r="U149" i="5"/>
  <c r="W148" i="5"/>
  <c r="V148" i="5"/>
  <c r="U148" i="5"/>
  <c r="W147" i="5"/>
  <c r="V147" i="5"/>
  <c r="U147" i="5"/>
  <c r="W146" i="5"/>
  <c r="V146" i="5"/>
  <c r="U146" i="5"/>
  <c r="W145" i="5"/>
  <c r="V145" i="5"/>
  <c r="U145" i="5"/>
  <c r="W144" i="5"/>
  <c r="V144" i="5"/>
  <c r="U144" i="5"/>
  <c r="W143" i="5"/>
  <c r="V143" i="5"/>
  <c r="U143" i="5"/>
  <c r="W142" i="5"/>
  <c r="V142" i="5"/>
  <c r="U142" i="5"/>
  <c r="W141" i="5"/>
  <c r="V141" i="5"/>
  <c r="U141" i="5"/>
  <c r="W140" i="5"/>
  <c r="V140" i="5"/>
  <c r="U140" i="5"/>
  <c r="W139" i="5"/>
  <c r="V139" i="5"/>
  <c r="U139" i="5"/>
  <c r="W138" i="5"/>
  <c r="V138" i="5"/>
  <c r="U138" i="5"/>
  <c r="W137" i="5"/>
  <c r="V137" i="5"/>
  <c r="U137" i="5"/>
  <c r="W136" i="5"/>
  <c r="V136" i="5"/>
  <c r="U136" i="5"/>
  <c r="W135" i="5"/>
  <c r="V135" i="5"/>
  <c r="U135" i="5"/>
  <c r="W134" i="5"/>
  <c r="V134" i="5"/>
  <c r="U134" i="5"/>
  <c r="W133" i="5"/>
  <c r="V133" i="5"/>
  <c r="U133" i="5"/>
  <c r="W132" i="5"/>
  <c r="V132" i="5"/>
  <c r="U132" i="5"/>
  <c r="W131" i="5"/>
  <c r="V131" i="5"/>
  <c r="U131" i="5"/>
  <c r="W130" i="5"/>
  <c r="V130" i="5"/>
  <c r="U130" i="5"/>
  <c r="W129" i="5"/>
  <c r="V129" i="5"/>
  <c r="U129" i="5"/>
  <c r="W128" i="5"/>
  <c r="V128" i="5"/>
  <c r="U128" i="5"/>
  <c r="W127" i="5"/>
  <c r="V127" i="5"/>
  <c r="U127" i="5"/>
  <c r="W126" i="5"/>
  <c r="V126" i="5"/>
  <c r="U126" i="5"/>
  <c r="W125" i="5"/>
  <c r="V125" i="5"/>
  <c r="U125" i="5"/>
  <c r="W124" i="5"/>
  <c r="V124" i="5"/>
  <c r="U124" i="5"/>
  <c r="W123" i="5"/>
  <c r="V123" i="5"/>
  <c r="U123" i="5"/>
  <c r="W122" i="5"/>
  <c r="V122" i="5"/>
  <c r="U122" i="5"/>
  <c r="W121" i="5"/>
  <c r="V121" i="5"/>
  <c r="U121" i="5"/>
  <c r="W120" i="5"/>
  <c r="V120" i="5"/>
  <c r="U120" i="5"/>
  <c r="W119" i="5"/>
  <c r="V119" i="5"/>
  <c r="U119" i="5"/>
  <c r="W118" i="5"/>
  <c r="V118" i="5"/>
  <c r="U118" i="5"/>
  <c r="W117" i="5"/>
  <c r="V117" i="5"/>
  <c r="U117" i="5"/>
  <c r="W116" i="5"/>
  <c r="V116" i="5"/>
  <c r="U116" i="5"/>
  <c r="W115" i="5"/>
  <c r="V115" i="5"/>
  <c r="U115" i="5"/>
  <c r="W114" i="5"/>
  <c r="V114" i="5"/>
  <c r="U114" i="5"/>
  <c r="W113" i="5"/>
  <c r="V113" i="5"/>
  <c r="U113" i="5"/>
  <c r="W112" i="5"/>
  <c r="V112" i="5"/>
  <c r="U112" i="5"/>
  <c r="W111" i="5"/>
  <c r="V111" i="5"/>
  <c r="U111" i="5"/>
  <c r="W110" i="5"/>
  <c r="V110" i="5"/>
  <c r="U110" i="5"/>
  <c r="W109" i="5"/>
  <c r="V109" i="5"/>
  <c r="U109" i="5"/>
  <c r="W108" i="5"/>
  <c r="V108" i="5"/>
  <c r="U108" i="5"/>
  <c r="W107" i="5"/>
  <c r="V107" i="5"/>
  <c r="U107" i="5"/>
  <c r="W106" i="5"/>
  <c r="V106" i="5"/>
  <c r="U106" i="5"/>
  <c r="W105" i="5"/>
  <c r="V105" i="5"/>
  <c r="U105" i="5"/>
  <c r="W104" i="5"/>
  <c r="V104" i="5"/>
  <c r="U104" i="5"/>
  <c r="W103" i="5"/>
  <c r="V103" i="5"/>
  <c r="U103" i="5"/>
  <c r="W102" i="5"/>
  <c r="V102" i="5"/>
  <c r="U102" i="5"/>
  <c r="W101" i="5"/>
  <c r="V101" i="5"/>
  <c r="U101" i="5"/>
  <c r="W100" i="5"/>
  <c r="V100" i="5"/>
  <c r="U100" i="5"/>
  <c r="W99" i="5"/>
  <c r="V99" i="5"/>
  <c r="U99" i="5"/>
  <c r="W98" i="5"/>
  <c r="V98" i="5"/>
  <c r="U98" i="5"/>
  <c r="W97" i="5"/>
  <c r="V97" i="5"/>
  <c r="U97" i="5"/>
  <c r="W96" i="5"/>
  <c r="V96" i="5"/>
  <c r="U96" i="5"/>
  <c r="W95" i="5"/>
  <c r="V95" i="5"/>
  <c r="U95" i="5"/>
  <c r="W94" i="5"/>
  <c r="V94" i="5"/>
  <c r="U94" i="5"/>
  <c r="W93" i="5"/>
  <c r="V93" i="5"/>
  <c r="U93" i="5"/>
  <c r="W92" i="5"/>
  <c r="V92" i="5"/>
  <c r="U92" i="5"/>
  <c r="W91" i="5"/>
  <c r="V91" i="5"/>
  <c r="U91" i="5"/>
  <c r="W90" i="5"/>
  <c r="V90" i="5"/>
  <c r="U90" i="5"/>
  <c r="W89" i="5"/>
  <c r="V89" i="5"/>
  <c r="U89" i="5"/>
  <c r="W88" i="5"/>
  <c r="V88" i="5"/>
  <c r="U88" i="5"/>
  <c r="W87" i="5"/>
  <c r="V87" i="5"/>
  <c r="U87" i="5"/>
  <c r="W86" i="5"/>
  <c r="V86" i="5"/>
  <c r="U86" i="5"/>
  <c r="W85" i="5"/>
  <c r="V85" i="5"/>
  <c r="U85" i="5"/>
  <c r="W84" i="5"/>
  <c r="V84" i="5"/>
  <c r="U84" i="5"/>
  <c r="W83" i="5"/>
  <c r="V83" i="5"/>
  <c r="U83" i="5"/>
  <c r="W82" i="5"/>
  <c r="V82" i="5"/>
  <c r="U82" i="5"/>
  <c r="W81" i="5"/>
  <c r="V81" i="5"/>
  <c r="U81" i="5"/>
  <c r="A27" i="6"/>
  <c r="A26" i="6"/>
  <c r="A25" i="6"/>
  <c r="A24" i="6"/>
  <c r="A23" i="6"/>
  <c r="A22" i="6"/>
  <c r="A21" i="6"/>
  <c r="A20" i="6"/>
  <c r="A19" i="6"/>
  <c r="A18" i="6"/>
  <c r="H13" i="6"/>
  <c r="F13" i="6"/>
  <c r="D13" i="6"/>
  <c r="B13" i="6"/>
  <c r="D12" i="6" s="1"/>
  <c r="D14" i="6" s="1"/>
  <c r="H12" i="6"/>
  <c r="F12" i="6"/>
  <c r="B12" i="6"/>
  <c r="H11" i="6"/>
  <c r="F11" i="6"/>
  <c r="B11" i="6"/>
  <c r="H10" i="6"/>
  <c r="F10" i="6"/>
  <c r="H9" i="6"/>
  <c r="F9" i="6"/>
  <c r="H8" i="6"/>
  <c r="F8" i="6"/>
  <c r="H7" i="6"/>
  <c r="F7" i="6"/>
  <c r="H6" i="6"/>
  <c r="F6" i="6"/>
  <c r="H5" i="6"/>
  <c r="F5" i="6"/>
  <c r="H4" i="6"/>
  <c r="F4" i="6"/>
  <c r="N45" i="1"/>
  <c r="C45" i="1"/>
  <c r="G45" i="1" s="1"/>
  <c r="N44" i="1"/>
  <c r="C10" i="3" s="1"/>
  <c r="I44" i="1"/>
  <c r="G44" i="1"/>
  <c r="N43" i="1"/>
  <c r="G43" i="1"/>
  <c r="N42" i="1"/>
  <c r="G42" i="1"/>
  <c r="C11" i="3" s="1"/>
  <c r="N41" i="1"/>
  <c r="G41" i="1"/>
  <c r="N40" i="1"/>
  <c r="G40" i="1"/>
  <c r="N39" i="1"/>
  <c r="G39" i="1"/>
  <c r="N38" i="1"/>
  <c r="G38" i="1"/>
  <c r="N37" i="1"/>
  <c r="G37" i="1"/>
  <c r="N36" i="1"/>
  <c r="G36" i="1"/>
  <c r="N35" i="1"/>
  <c r="G35" i="1"/>
  <c r="N34" i="1"/>
  <c r="G34" i="1"/>
  <c r="N33" i="1"/>
  <c r="C9" i="3" s="1"/>
  <c r="G33" i="1"/>
  <c r="N32" i="1"/>
  <c r="C8" i="3" s="1"/>
  <c r="G32" i="1"/>
  <c r="J31" i="1"/>
  <c r="N31" i="1" s="1"/>
  <c r="C7" i="3" s="1"/>
  <c r="G31" i="1"/>
  <c r="A13" i="1"/>
  <c r="G3" i="3" s="1"/>
  <c r="R12" i="4" l="1"/>
  <c r="I7" i="4" s="1"/>
  <c r="I8" i="4"/>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00000000-0006-0000-0100-000001000000}">
      <text>
        <r>
          <rPr>
            <sz val="12"/>
            <rFont val="楷体"/>
            <family val="3"/>
            <charset val="134"/>
          </rPr>
          <t>星语_Stellaris：
玩家个人CN或群昵称，希望不要有人真名解放（夜神月：搓手.jpg）</t>
        </r>
      </text>
    </comment>
    <comment ref="M2" authorId="0" shapeId="0" xr:uid="{00000000-0006-0000-0100-000002000000}">
      <text>
        <r>
          <rPr>
            <sz val="12"/>
            <rFont val="楷体"/>
            <family val="3"/>
            <charset val="134"/>
          </rPr>
          <t>星语_Stellaris:
但其实没有也没啥关系，依旧是起到一个美化表格的作用，但现在AI这么方便，跑一个也不是很困难嘛~</t>
        </r>
      </text>
    </comment>
    <comment ref="A3" authorId="0" shapeId="0" xr:uid="{00000000-0006-0000-0100-000003000000}">
      <text>
        <r>
          <rPr>
            <sz val="12"/>
            <rFont val="楷体"/>
            <family val="3"/>
            <charset val="134"/>
          </rPr>
          <t>星语_Stellaris:</t>
        </r>
        <r>
          <rPr>
            <sz val="10"/>
            <rFont val="宋体"/>
            <family val="3"/>
            <charset val="134"/>
          </rPr>
          <t xml:space="preserve">
</t>
        </r>
        <r>
          <rPr>
            <sz val="12"/>
            <color rgb="FF000000"/>
            <rFont val="楷体"/>
            <family val="3"/>
            <charset val="134"/>
          </rPr>
          <t>玩家所扮演角色的姓名，当然你想自己上我没意见┑(￣Д ￣)┍</t>
        </r>
      </text>
    </comment>
    <comment ref="A4" authorId="0" shapeId="0" xr:uid="{00000000-0006-0000-0100-000004000000}">
      <text>
        <r>
          <rPr>
            <sz val="12"/>
            <rFont val="楷体"/>
            <family val="3"/>
            <charset val="134"/>
          </rPr>
          <t>星语_Stellaris：
现实中的职业，例如医生、黑客、老师等等（布壕！我的教资！）</t>
        </r>
      </text>
    </comment>
    <comment ref="J4" authorId="0" shapeId="0" xr:uid="{00000000-0006-0000-0100-000005000000}">
      <text>
        <r>
          <rPr>
            <sz val="12"/>
            <rFont val="楷体"/>
            <family val="3"/>
            <charset val="134"/>
          </rPr>
          <t xml:space="preserve">星语_Stellaris：
药萱萱是玖镇最好的药萱萱！！！（所以下次多一些大成功拜托了，砰砰砰）
</t>
        </r>
      </text>
    </comment>
    <comment ref="A5" authorId="0" shapeId="0" xr:uid="{00000000-0006-0000-0100-000006000000}">
      <text>
        <r>
          <rPr>
            <sz val="12"/>
            <rFont val="楷体"/>
            <family val="3"/>
            <charset val="134"/>
          </rPr>
          <t>星语_Stellaris：
你所选择或效忠的家族（你甚至不愿意叫我一声教父~~）</t>
        </r>
      </text>
    </comment>
    <comment ref="A6" authorId="0" shapeId="0" xr:uid="{00000000-0006-0000-0100-000007000000}">
      <text>
        <r>
          <rPr>
            <sz val="12"/>
            <rFont val="楷体"/>
            <family val="3"/>
            <charset val="134"/>
          </rPr>
          <t>星语_Stellaris：
emmmm，某种意义上与体型相关，我是说萝莉就是好！（呃啊啊啊啊啊啊不要电我~~~）</t>
        </r>
      </text>
    </comment>
    <comment ref="A7" authorId="0" shapeId="0" xr:uid="{00000000-0006-0000-0100-000008000000}">
      <text>
        <r>
          <rPr>
            <sz val="12"/>
            <rFont val="楷体"/>
            <family val="3"/>
            <charset val="134"/>
          </rPr>
          <t>星语_Stellaris:
玖镇人，一定要住在玖镇里！外地来旅游的当我没说</t>
        </r>
      </text>
    </comment>
    <comment ref="A8" authorId="0" shapeId="0" xr:uid="{00000000-0006-0000-0100-000009000000}">
      <text>
        <r>
          <rPr>
            <sz val="12"/>
            <rFont val="楷体"/>
            <family val="3"/>
            <charset val="134"/>
          </rPr>
          <t>星语_Stellaris：
理论上都是现代，但这一行更多是起到一个美化表格的作用</t>
        </r>
        <r>
          <rPr>
            <sz val="9"/>
            <rFont val="宋体"/>
            <family val="3"/>
            <charset val="134"/>
          </rPr>
          <t xml:space="preserve">
</t>
        </r>
      </text>
    </comment>
    <comment ref="A9" authorId="0" shapeId="0" xr:uid="{00000000-0006-0000-0100-00000A000000}">
      <text>
        <r>
          <rPr>
            <sz val="12"/>
            <rFont val="楷体"/>
            <family val="3"/>
            <charset val="134"/>
          </rPr>
          <t>星语_Stellaris：
咳咳，那个性别是沃尔玛购物袋的！我性别是打火机
还有那个性别是武装直升机的，我性别是毒刺防空导弹</t>
        </r>
      </text>
    </comment>
    <comment ref="J9" authorId="0" shapeId="0" xr:uid="{00000000-0006-0000-0100-00000B000000}">
      <text>
        <r>
          <rPr>
            <sz val="12"/>
            <rFont val="楷体"/>
            <family val="3"/>
            <charset val="134"/>
          </rPr>
          <t>星语_Stellaris:
这里你也要看批注？这么闲速速交卡！（逃~</t>
        </r>
      </text>
    </comment>
  </commentList>
</comments>
</file>

<file path=xl/sharedStrings.xml><?xml version="1.0" encoding="utf-8"?>
<sst xmlns="http://schemas.openxmlformats.org/spreadsheetml/2006/main" count="6409" uniqueCount="2433">
  <si>
    <t>基本信息</t>
  </si>
  <si>
    <t>当前主题</t>
  </si>
  <si>
    <t>切换 B2 下拉后，整个工作簿会自动应用对应家族的主题色</t>
  </si>
  <si>
    <t>张家</t>
  </si>
  <si>
    <t>岳家</t>
  </si>
  <si>
    <t>林家</t>
  </si>
  <si>
    <t>易家</t>
  </si>
  <si>
    <t>曹家</t>
  </si>
  <si>
    <t>药家</t>
  </si>
  <si>
    <t>巫家</t>
  </si>
  <si>
    <t>亓家</t>
  </si>
  <si>
    <t>说明</t>
  </si>
  <si>
    <t>角色基础信息</t>
  </si>
  <si>
    <t>角色基础属性</t>
  </si>
  <si>
    <t>角色个人立绘</t>
  </si>
  <si>
    <t>角色个人介绍</t>
  </si>
  <si>
    <t>玩家</t>
  </si>
  <si>
    <t>移动</t>
  </si>
  <si>
    <t>灵魂</t>
  </si>
  <si>
    <t>幸运</t>
  </si>
  <si>
    <t>（此处应有个人角色形象）</t>
  </si>
  <si>
    <t>个人描述</t>
  </si>
  <si>
    <t>姓名</t>
  </si>
  <si>
    <t>职业</t>
  </si>
  <si>
    <t>体质</t>
  </si>
  <si>
    <t>力量</t>
  </si>
  <si>
    <t>派系</t>
  </si>
  <si>
    <t>年龄</t>
  </si>
  <si>
    <t>体型</t>
  </si>
  <si>
    <t>魅力</t>
  </si>
  <si>
    <t>思想与信念</t>
  </si>
  <si>
    <t>住地</t>
  </si>
  <si>
    <t>年代</t>
  </si>
  <si>
    <t>敏捷</t>
  </si>
  <si>
    <t>智力</t>
  </si>
  <si>
    <t>性别</t>
  </si>
  <si>
    <t>玖镇团宠：药萱萱</t>
  </si>
  <si>
    <t>外貌描述</t>
  </si>
  <si>
    <t>生存属性相关</t>
  </si>
  <si>
    <t>装备属性相关</t>
  </si>
  <si>
    <t>其他属性相关</t>
  </si>
  <si>
    <t>生命值</t>
  </si>
  <si>
    <t>生命加值</t>
  </si>
  <si>
    <t>头部装备</t>
  </si>
  <si>
    <t>头部装备效果</t>
  </si>
  <si>
    <t>法力</t>
  </si>
  <si>
    <t>法强</t>
  </si>
  <si>
    <t>物理护盾</t>
  </si>
  <si>
    <t>物理护盾效果</t>
  </si>
  <si>
    <t>胸部装备</t>
  </si>
  <si>
    <t>胸部装备效果</t>
  </si>
  <si>
    <t>灵魂值</t>
  </si>
  <si>
    <t>灵魂损伤效果</t>
  </si>
  <si>
    <t>角色背景</t>
  </si>
  <si>
    <t>魔法护盾</t>
  </si>
  <si>
    <t>魔法护盾效果</t>
  </si>
  <si>
    <t>腿部装备</t>
  </si>
  <si>
    <t>腿部装备效果</t>
  </si>
  <si>
    <t>异常状态</t>
  </si>
  <si>
    <t>护甲等级</t>
  </si>
  <si>
    <t>魔抗等级</t>
  </si>
  <si>
    <t>饰品1</t>
  </si>
  <si>
    <t>饰品1效果</t>
  </si>
  <si>
    <t>个人资产</t>
  </si>
  <si>
    <t>个人等级</t>
  </si>
  <si>
    <t>满足画风特质</t>
  </si>
  <si>
    <t>特殊抗性效果</t>
  </si>
  <si>
    <t>饰品2</t>
  </si>
  <si>
    <t>饰品2效果</t>
  </si>
  <si>
    <t>派系1等级</t>
  </si>
  <si>
    <t>派系2等级</t>
  </si>
  <si>
    <t>实用技能</t>
  </si>
  <si>
    <t>满足画风的细节</t>
  </si>
  <si>
    <t>技能名称</t>
  </si>
  <si>
    <t>初始</t>
  </si>
  <si>
    <t>成长</t>
  </si>
  <si>
    <t>兴趣</t>
  </si>
  <si>
    <t>总值</t>
  </si>
  <si>
    <t>发色</t>
  </si>
  <si>
    <t>私人爱好</t>
  </si>
  <si>
    <t>金融</t>
  </si>
  <si>
    <t>闪避</t>
  </si>
  <si>
    <t>瞳色</t>
  </si>
  <si>
    <t>缺点</t>
  </si>
  <si>
    <t>社会学</t>
  </si>
  <si>
    <t>搜寻</t>
  </si>
  <si>
    <t>肤色</t>
  </si>
  <si>
    <t>个人信仰</t>
  </si>
  <si>
    <t>历史</t>
  </si>
  <si>
    <t>聆听</t>
  </si>
  <si>
    <t>理想</t>
  </si>
  <si>
    <t>名言警句</t>
  </si>
  <si>
    <t>技艺：</t>
  </si>
  <si>
    <t>锁匠</t>
  </si>
  <si>
    <t>羁绊</t>
  </si>
  <si>
    <t>其他</t>
  </si>
  <si>
    <t>魅惑</t>
  </si>
  <si>
    <t>驾驶</t>
  </si>
  <si>
    <t>游说</t>
  </si>
  <si>
    <t>领航</t>
  </si>
  <si>
    <t>满足画风物品栏</t>
  </si>
  <si>
    <t>恐吓</t>
  </si>
  <si>
    <t>心理学</t>
  </si>
  <si>
    <t>乔装、易容</t>
  </si>
  <si>
    <t>妙手</t>
  </si>
  <si>
    <t>机电一体化</t>
  </si>
  <si>
    <t>潜行</t>
  </si>
  <si>
    <t>计算机</t>
  </si>
  <si>
    <t>攀爬</t>
  </si>
  <si>
    <t>格斗：枪</t>
  </si>
  <si>
    <t>游泳</t>
  </si>
  <si>
    <t>格斗：近战</t>
  </si>
  <si>
    <t>投掷</t>
  </si>
  <si>
    <t>急救</t>
  </si>
  <si>
    <t>科学：</t>
  </si>
  <si>
    <t>医学</t>
  </si>
  <si>
    <t>派系：</t>
  </si>
  <si>
    <t>语言：母语</t>
  </si>
  <si>
    <t>自定：</t>
  </si>
  <si>
    <t>个人行囊（物品栏）</t>
  </si>
  <si>
    <t>书籍名称</t>
  </si>
  <si>
    <t>书籍效果</t>
  </si>
  <si>
    <t>特性</t>
  </si>
  <si>
    <t>特性介绍</t>
  </si>
  <si>
    <t>技能</t>
  </si>
  <si>
    <t>技能介绍</t>
  </si>
  <si>
    <t>技能速度</t>
  </si>
  <si>
    <t>技能消耗</t>
  </si>
  <si>
    <t>【墨家】工巧格与魁人</t>
  </si>
  <si>
    <t>工巧格汇总</t>
  </si>
  <si>
    <t>成长记录</t>
  </si>
  <si>
    <t>魁人模组与挂载</t>
  </si>
  <si>
    <t>本人背包配置</t>
  </si>
  <si>
    <t>基础工巧格</t>
  </si>
  <si>
    <t>判定等级</t>
  </si>
  <si>
    <t>实际增长</t>
  </si>
  <si>
    <t>备注</t>
  </si>
  <si>
    <t>魁人基础</t>
  </si>
  <si>
    <t>魁人模组</t>
  </si>
  <si>
    <t>槽位</t>
  </si>
  <si>
    <t>物品</t>
  </si>
  <si>
    <t>成长额外工巧格</t>
  </si>
  <si>
    <t>移动力</t>
  </si>
  <si>
    <t>属性总和</t>
  </si>
  <si>
    <t>序号</t>
  </si>
  <si>
    <t>模组</t>
  </si>
  <si>
    <t>占格</t>
  </si>
  <si>
    <t>当前总工巧格</t>
  </si>
  <si>
    <t>护甲</t>
  </si>
  <si>
    <t>建议总和</t>
  </si>
  <si>
    <t>本人占用工巧格</t>
  </si>
  <si>
    <t>模组上限</t>
  </si>
  <si>
    <t>魁人占用工巧格</t>
  </si>
  <si>
    <t>战斗能力</t>
  </si>
  <si>
    <t>已选模组</t>
  </si>
  <si>
    <t>当前剩余工巧格</t>
  </si>
  <si>
    <t>斗殴</t>
  </si>
  <si>
    <t>剩余模组</t>
  </si>
  <si>
    <t>成长触发</t>
  </si>
  <si>
    <t>学习、拆解、修缮、调试、制造或实战验证，经KP认可后进行成长检定。</t>
  </si>
  <si>
    <t>基础伤害</t>
  </si>
  <si>
    <t>2d6</t>
  </si>
  <si>
    <t>单模组占格</t>
  </si>
  <si>
    <t>大成功</t>
  </si>
  <si>
    <t>+5 格</t>
  </si>
  <si>
    <t>模组占格</t>
  </si>
  <si>
    <t>极难</t>
  </si>
  <si>
    <t>+3+1d2 格</t>
  </si>
  <si>
    <t>武器占格</t>
  </si>
  <si>
    <t>困难</t>
  </si>
  <si>
    <t>+2+1d3 格</t>
  </si>
  <si>
    <t>魁人总占格</t>
  </si>
  <si>
    <t>普通</t>
  </si>
  <si>
    <t>+1+1d4 格</t>
  </si>
  <si>
    <t>基础闪避</t>
  </si>
  <si>
    <t>基础值</t>
  </si>
  <si>
    <t>每个魁人模组固定占5工巧格；若剩余模组为0或剩余工巧格不足5，则无法继续装载。</t>
  </si>
  <si>
    <t>失败</t>
  </si>
  <si>
    <t>+1 格</t>
  </si>
  <si>
    <t>翻倍说明</t>
  </si>
  <si>
    <t>25格特殊成长先按成功等级结算，再将最终结果翻倍。</t>
  </si>
  <si>
    <t>魁人武器</t>
  </si>
  <si>
    <t>布设代价</t>
  </si>
  <si>
    <t>地脉测绘发动后，直到次日整备前固定占用10格工巧格。</t>
  </si>
  <si>
    <t>武器</t>
  </si>
  <si>
    <t>工巧阶段提要</t>
  </si>
  <si>
    <t>工巧格</t>
  </si>
  <si>
    <t>节点</t>
  </si>
  <si>
    <t>效果摘要</t>
  </si>
  <si>
    <t>基础</t>
  </si>
  <si>
    <t>基础15工巧格，初始可携带1名魁人。</t>
  </si>
  <si>
    <t>转职</t>
  </si>
  <si>
    <t>在机巧师、偃师、布设师三条路线中选择一条；使用对应特性墨器获得额外加成。</t>
  </si>
  <si>
    <t>特殊成长</t>
  </si>
  <si>
    <t>每天1次声明职业特殊成长；机巧师掉上限、偃师停用魁人、布设师固定占10格，成长收益翻倍。</t>
  </si>
  <si>
    <t>核心技能</t>
  </si>
  <si>
    <t>机巧师过载校爆；偃师同调代行；布设师交叉火网。</t>
  </si>
  <si>
    <t>职业成熟</t>
  </si>
  <si>
    <t>机巧师百工并联；偃师入偃同躯；布设师全相布置。</t>
  </si>
  <si>
    <t>究极技能</t>
  </si>
  <si>
    <t>机巧师不稳定超级狙击枪；偃师高达形态待补；布设师炮台合体。</t>
  </si>
  <si>
    <t>魁人面板</t>
  </si>
  <si>
    <t>字段</t>
  </si>
  <si>
    <t>数值</t>
  </si>
  <si>
    <t>插件配置</t>
  </si>
  <si>
    <t>插件</t>
  </si>
  <si>
    <t>效果说明</t>
  </si>
  <si>
    <t>基础斗殴</t>
  </si>
  <si>
    <t>当前插件槽</t>
  </si>
  <si>
    <t>基础槽位</t>
  </si>
  <si>
    <t>当前模组数</t>
  </si>
  <si>
    <t>当前本人总槽位</t>
  </si>
  <si>
    <t>槽位插件加成</t>
  </si>
  <si>
    <t>已用槽位</t>
  </si>
  <si>
    <t>剩余插件槽</t>
  </si>
  <si>
    <t>剩余槽位</t>
  </si>
  <si>
    <t>背包说明</t>
  </si>
  <si>
    <t>按槽位占行</t>
  </si>
  <si>
    <t>魁人成长记录</t>
  </si>
  <si>
    <t>插件与成长会自动影响魁人总槽位</t>
  </si>
  <si>
    <t>增加槽位</t>
  </si>
  <si>
    <t>增加插件槽</t>
  </si>
  <si>
    <t>魁人背包配置</t>
  </si>
  <si>
    <t>【墨家】物品库</t>
  </si>
  <si>
    <t>通用墨器</t>
  </si>
  <si>
    <t>机巧墨器</t>
  </si>
  <si>
    <t>布设墨器</t>
  </si>
  <si>
    <t>职业特殊</t>
  </si>
  <si>
    <t>墨器</t>
  </si>
  <si>
    <t>占工巧格</t>
  </si>
  <si>
    <t>分类</t>
  </si>
  <si>
    <t>适用职业</t>
  </si>
  <si>
    <t>本人墨器</t>
  </si>
  <si>
    <t>渲染墨器</t>
  </si>
  <si>
    <t>成长等级</t>
  </si>
  <si>
    <t>等离子切割刀</t>
  </si>
  <si>
    <t>伤害1d5+1d3。</t>
  </si>
  <si>
    <t>高等合金小刀</t>
  </si>
  <si>
    <t>伤害2d8。</t>
  </si>
  <si>
    <t>禁锢陷阱</t>
  </si>
  <si>
    <t>踩中的敌人承受20点禁锢。</t>
  </si>
  <si>
    <t>属性插件</t>
  </si>
  <si>
    <t>选一属性+20。</t>
  </si>
  <si>
    <t>每个模组固定占5工巧格</t>
  </si>
  <si>
    <t>双持刀</t>
  </si>
  <si>
    <t>2d8伤害，50%概率连打。</t>
  </si>
  <si>
    <t>地脉测绘占位槽</t>
  </si>
  <si>
    <t>布设师25格特殊成长发动后，直到次日整备前固定占用10格工巧格。</t>
  </si>
  <si>
    <t>空</t>
  </si>
  <si>
    <t>移除选择</t>
  </si>
  <si>
    <t>用于清空本人背包配置。</t>
  </si>
  <si>
    <t>用于取出当前魁人模组。</t>
  </si>
  <si>
    <t>用于卸下当前魁人武器。</t>
  </si>
  <si>
    <t>近战</t>
  </si>
  <si>
    <t>单人飞行器</t>
  </si>
  <si>
    <t>如其名。</t>
  </si>
  <si>
    <t>外骨骼紧身衣</t>
  </si>
  <si>
    <t>使自身某两个属性+10。</t>
  </si>
  <si>
    <t>探测陷阱</t>
  </si>
  <si>
    <t>持续探测周围50米的各种物体。</t>
  </si>
  <si>
    <t>技能插件</t>
  </si>
  <si>
    <t>获得一个50的技能。</t>
  </si>
  <si>
    <t>长柄锤</t>
  </si>
  <si>
    <t>1d20伤害，10%眩晕。</t>
  </si>
  <si>
    <t>不稳定超级狙击枪</t>
  </si>
  <si>
    <t>机巧师40格究极技能；10+1d40真实伤害，无视护盾与护甲。</t>
  </si>
  <si>
    <t>远程</t>
  </si>
  <si>
    <t>手雷</t>
  </si>
  <si>
    <t>伤害2d10。</t>
  </si>
  <si>
    <t>防身激光手枪</t>
  </si>
  <si>
    <t>单发5点伤害，有幸运*100%的概率造成双倍伤害，20发弹匣，无备弹，不会损坏。</t>
  </si>
  <si>
    <t>爆炸陷阱</t>
  </si>
  <si>
    <t>地雷，伤害4d10。</t>
  </si>
  <si>
    <t>战斗能力拓展插槽</t>
  </si>
  <si>
    <t>获得一种新的战斗能力。</t>
  </si>
  <si>
    <t>双斧</t>
  </si>
  <si>
    <t>2d6+5伤害。</t>
  </si>
  <si>
    <t>不稳定超级狙击枪子弹</t>
  </si>
  <si>
    <t>每发占2格，供不稳定超级狙击枪装填使用。</t>
  </si>
  <si>
    <t>无线通讯器</t>
  </si>
  <si>
    <t>可在无手机信号的时候沟通。</t>
  </si>
  <si>
    <t>佛怒唐莲</t>
  </si>
  <si>
    <t>50无法闪避固定物理伤害，仅可以携带一个。</t>
  </si>
  <si>
    <t>震慑信标</t>
  </si>
  <si>
    <t>每次敌方攻击有一次30判定降低一个成功等级，4次后报废。</t>
  </si>
  <si>
    <t>火焰附魔插件</t>
  </si>
  <si>
    <t>攻击附带1d8火焰伤害。</t>
  </si>
  <si>
    <t>钩锁</t>
  </si>
  <si>
    <t>1d6伤害，可将敌人拽到身前。</t>
  </si>
  <si>
    <t>简易呼吸器</t>
  </si>
  <si>
    <t>可以视为氧气管。</t>
  </si>
  <si>
    <t>臂装弹射器</t>
  </si>
  <si>
    <t>可装入小型手雷，让手雷必中；发射后需一次次要行动装填。</t>
  </si>
  <si>
    <t>加速信标</t>
  </si>
  <si>
    <t>己方敏捷闪避+5，可叠加。</t>
  </si>
  <si>
    <t>雷电附魔插件</t>
  </si>
  <si>
    <t>攻击附带1d8电流伤害。</t>
  </si>
  <si>
    <t>偃月</t>
  </si>
  <si>
    <t>2d15伤害，并击倒对方，50%概率连击。</t>
  </si>
  <si>
    <t>抓钩</t>
  </si>
  <si>
    <t>特种手雷</t>
  </si>
  <si>
    <t>每枚3格；可选直伤、火伤、EMP、雷电任一或两种属性。</t>
  </si>
  <si>
    <t>自动炮塔</t>
  </si>
  <si>
    <t>自动警戒发射子弹，伤害1d10，血量1。</t>
  </si>
  <si>
    <t>自动瞄准插件</t>
  </si>
  <si>
    <t>魁人攻击无法闪避。</t>
  </si>
  <si>
    <t>生命探测仪</t>
  </si>
  <si>
    <t>如其名，50米。</t>
  </si>
  <si>
    <t>电磁脉冲手枪</t>
  </si>
  <si>
    <t>单发，1d8+2。</t>
  </si>
  <si>
    <t>雷电信标</t>
  </si>
  <si>
    <t>接近敌人时造成伤害和麻痹/击晕/短路。</t>
  </si>
  <si>
    <t>飞行插件</t>
  </si>
  <si>
    <t>魁人可飞行且移动+10。</t>
  </si>
  <si>
    <t>能量屏障</t>
  </si>
  <si>
    <t>20点一次性护盾。</t>
  </si>
  <si>
    <t>等离子电磁狙击枪</t>
  </si>
  <si>
    <t>单伤20；幸运*100%概率爆头双倍；五发子弹，五发备弹。</t>
  </si>
  <si>
    <t>EMP 信标</t>
  </si>
  <si>
    <t>瘫痪一定范围内的电子设备，持续1小时。</t>
  </si>
  <si>
    <t>特种护甲插件</t>
  </si>
  <si>
    <t>魁人护甲+10。</t>
  </si>
  <si>
    <t>黑眼摄像头</t>
  </si>
  <si>
    <t>侦查。</t>
  </si>
  <si>
    <t>脉冲步枪</t>
  </si>
  <si>
    <t>单伤1d10，可三连发；3弹匣，30备弹。</t>
  </si>
  <si>
    <t>治疗信标</t>
  </si>
  <si>
    <t>自动治疗范围内友方，3次治疗，1d5。</t>
  </si>
  <si>
    <t>机械嘲讽插件</t>
  </si>
  <si>
    <t>敌人必须优先攻击该魁人。</t>
  </si>
  <si>
    <t>遥控小车</t>
  </si>
  <si>
    <t>荆棘（手枪）</t>
  </si>
  <si>
    <t>单伤2d8；附带三回合2d2毒伤。</t>
  </si>
  <si>
    <t>治疗机器人</t>
  </si>
  <si>
    <t>消耗1小时回复1d10。</t>
  </si>
  <si>
    <t>魁人外表自定义插件</t>
  </si>
  <si>
    <t>自定义魁人外貌。</t>
  </si>
  <si>
    <t>流明（手枪）</t>
  </si>
  <si>
    <t>单伤2d6；命中可恢复自身或队友1d5生命。</t>
  </si>
  <si>
    <t>特斯拉力场护盾</t>
  </si>
  <si>
    <t>10点生命，战后修理，可保护全队。</t>
  </si>
  <si>
    <t>网络插件</t>
  </si>
  <si>
    <t>魁人可以联网。</t>
  </si>
  <si>
    <t>玫瑰（手枪）</t>
  </si>
  <si>
    <t>单伤1d6+1d4；20%概率造成双倍伤害。</t>
  </si>
  <si>
    <t>等离子能量炮指示器</t>
  </si>
  <si>
    <t>仅可在墨家内部制作，不可移动，仅可使用一次。</t>
  </si>
  <si>
    <t>远程通讯插件</t>
  </si>
  <si>
    <t>10公里以上也可命令魁人。</t>
  </si>
  <si>
    <t>AWM（静默弹药）</t>
  </si>
  <si>
    <t>单伤2d15；击中附加1回合失明。</t>
  </si>
  <si>
    <t>槽位插件</t>
  </si>
  <si>
    <t>槽位+3。</t>
  </si>
  <si>
    <t>晋景公榴弹发射器</t>
  </si>
  <si>
    <t>单发装填，可发射药水弹药，直伤1d15。</t>
  </si>
  <si>
    <t>A137 追踪导弹单兵发射装置</t>
  </si>
  <si>
    <t>单发装填；直伤1d30，爆炸4d10，带追踪效果。</t>
  </si>
  <si>
    <t>附录说明</t>
  </si>
  <si>
    <t>1. 所有装备、插件、武器与挂载均占用工巧格；魁人本体不占格。</t>
  </si>
  <si>
    <t>2. 每个魁人模组固定占用5格工巧格；当工巧格达到20/30/40/50时，模组上限各+1。</t>
  </si>
  <si>
    <t>3. 枪械与弹药沿用原稿口径：每五发子弹视为1格；特种手雷为每枚3格。</t>
  </si>
  <si>
    <t>4. 20格转职后，使用对应职业特性墨器时可获得额外加成。</t>
  </si>
  <si>
    <t>【魁人模组】属性插件</t>
  </si>
  <si>
    <t>【魁人模组】技能插件</t>
  </si>
  <si>
    <t>【魁人模组】战斗能力拓展插槽</t>
  </si>
  <si>
    <t>【魁人模组】火焰附魔插件</t>
  </si>
  <si>
    <t>【魁人模组】雷电附魔插件</t>
  </si>
  <si>
    <t>【魁人模组】自动瞄准插件</t>
  </si>
  <si>
    <t>【魁人模组】飞行插件</t>
  </si>
  <si>
    <t>【魁人模组】特种护甲插件</t>
  </si>
  <si>
    <t>【魁人模组】机械嘲讽插件</t>
  </si>
  <si>
    <t>【魁人模组】魁人外表自定义插件</t>
  </si>
  <si>
    <t>【魁人模组】网络插件</t>
  </si>
  <si>
    <t>【魁人模组】远程通讯插件</t>
  </si>
  <si>
    <t>【魁人模组】槽位插件</t>
  </si>
  <si>
    <t>【魁人武器】双持刀</t>
  </si>
  <si>
    <t>【魁人武器】长柄锤</t>
  </si>
  <si>
    <t>【魁人武器】双斧</t>
  </si>
  <si>
    <t>【魁人武器】钩锁</t>
  </si>
  <si>
    <t>【魁人武器】偃月</t>
  </si>
  <si>
    <t>将以下内容直接复制至在线文档即可</t>
  </si>
  <si>
    <t>玩家：</t>
  </si>
  <si>
    <t>移动：</t>
  </si>
  <si>
    <t>生命：</t>
  </si>
  <si>
    <t>姓名：</t>
  </si>
  <si>
    <t>体质：</t>
  </si>
  <si>
    <t>生命加值：</t>
  </si>
  <si>
    <t>家族：</t>
  </si>
  <si>
    <t>体型：</t>
  </si>
  <si>
    <t>物理护盾：</t>
  </si>
  <si>
    <t>性别：</t>
  </si>
  <si>
    <t>敏捷：</t>
  </si>
  <si>
    <t>魔法护盾：</t>
  </si>
  <si>
    <t>闪避：</t>
  </si>
  <si>
    <t>灵魂：</t>
  </si>
  <si>
    <t>灵魂值：</t>
  </si>
  <si>
    <t>搜寻：</t>
  </si>
  <si>
    <t>力量：</t>
  </si>
  <si>
    <t>法力：</t>
  </si>
  <si>
    <t>聆听：</t>
  </si>
  <si>
    <t>魅力：</t>
  </si>
  <si>
    <t>法强：</t>
  </si>
  <si>
    <t>智力：</t>
  </si>
  <si>
    <t>资产：</t>
  </si>
  <si>
    <t>近战：</t>
  </si>
  <si>
    <t>幸运：</t>
  </si>
  <si>
    <t>等级：</t>
  </si>
  <si>
    <t>家族主题</t>
    <phoneticPr fontId="13" type="noConversion"/>
  </si>
  <si>
    <t>特点</t>
    <phoneticPr fontId="13" type="noConversion"/>
  </si>
  <si>
    <t>介绍</t>
    <phoneticPr fontId="13" type="noConversion"/>
  </si>
  <si>
    <t>代表颜色</t>
    <phoneticPr fontId="13" type="noConversion"/>
  </si>
  <si>
    <t>张家</t>
    <phoneticPr fontId="13" type="noConversion"/>
  </si>
  <si>
    <t>权威、强盛</t>
    <phoneticPr fontId="13" type="noConversion"/>
  </si>
  <si>
    <t>是玖镇最有话语权的家族，主要掌握道法、雷电</t>
    <phoneticPr fontId="13" type="noConversion"/>
  </si>
  <si>
    <t>雷霆紫</t>
    <phoneticPr fontId="13" type="noConversion"/>
  </si>
  <si>
    <t>岳家</t>
    <phoneticPr fontId="13" type="noConversion"/>
  </si>
  <si>
    <t>豪放、崇尚武力</t>
    <phoneticPr fontId="13" type="noConversion"/>
  </si>
  <si>
    <t>玖镇武功最强的家族，纯靠功夫打出一片天地，擅长岳家枪、棍、刀等，尤其喜欢美酒</t>
    <phoneticPr fontId="13" type="noConversion"/>
  </si>
  <si>
    <t>赤铜色</t>
    <phoneticPr fontId="13" type="noConversion"/>
  </si>
  <si>
    <t>林家</t>
    <phoneticPr fontId="13" type="noConversion"/>
  </si>
  <si>
    <t>神秘、隐世</t>
    <phoneticPr fontId="13" type="noConversion"/>
  </si>
  <si>
    <t>玖镇最看重风水的家族，与易家交好，擅长隐藏和出其不意的技巧</t>
    <phoneticPr fontId="13" type="noConversion"/>
  </si>
  <si>
    <t>青绿色</t>
    <phoneticPr fontId="13" type="noConversion"/>
  </si>
  <si>
    <t>易家</t>
    <phoneticPr fontId="13" type="noConversion"/>
  </si>
  <si>
    <t>睿智、避战</t>
    <phoneticPr fontId="13" type="noConversion"/>
  </si>
  <si>
    <t>能够在一定程度上预知未来，擅长预测并回避敌方攻击</t>
    <phoneticPr fontId="13" type="noConversion"/>
  </si>
  <si>
    <t>蓝色</t>
    <phoneticPr fontId="13" type="noConversion"/>
  </si>
  <si>
    <t>曹家</t>
    <phoneticPr fontId="13" type="noConversion"/>
  </si>
  <si>
    <t>中立、富有</t>
    <phoneticPr fontId="13" type="noConversion"/>
  </si>
  <si>
    <t>玖镇中的经商大家，擅长赚取经费并把资源转化为战斗力</t>
    <phoneticPr fontId="13" type="noConversion"/>
  </si>
  <si>
    <t>青玉色</t>
    <phoneticPr fontId="13" type="noConversion"/>
  </si>
  <si>
    <t>墨家</t>
    <phoneticPr fontId="13" type="noConversion"/>
  </si>
  <si>
    <t>神秘、技术强、不与外界沟通</t>
    <phoneticPr fontId="13" type="noConversion"/>
  </si>
  <si>
    <t>玖镇中较为神秘的家族，擅长各种机关道具，传言甚至在开发高达</t>
    <phoneticPr fontId="13" type="noConversion"/>
  </si>
  <si>
    <t>钢青灰</t>
    <phoneticPr fontId="13" type="noConversion"/>
  </si>
  <si>
    <t>药家</t>
    <phoneticPr fontId="13" type="noConversion"/>
  </si>
  <si>
    <t>崇尚自然、妙手回春</t>
    <phoneticPr fontId="13" type="noConversion"/>
  </si>
  <si>
    <t>制药家族，几乎所有草药和毒药均出自药家，擅长恢复和用毒</t>
    <phoneticPr fontId="13" type="noConversion"/>
  </si>
  <si>
    <t>绿色</t>
    <phoneticPr fontId="13" type="noConversion"/>
  </si>
  <si>
    <t>巫家</t>
    <phoneticPr fontId="13" type="noConversion"/>
  </si>
  <si>
    <t>全能、神秘、中立</t>
    <phoneticPr fontId="13" type="noConversion"/>
  </si>
  <si>
    <t>玖镇中最中立的家族，经营醉红尘，家族中几乎全部是女性</t>
    <phoneticPr fontId="13" type="noConversion"/>
  </si>
  <si>
    <t>粉色</t>
    <phoneticPr fontId="13" type="noConversion"/>
  </si>
  <si>
    <t>亓家</t>
    <phoneticPr fontId="13" type="noConversion"/>
  </si>
  <si>
    <t>诡异、强大、没有道德伦理</t>
    <phoneticPr fontId="13" type="noConversion"/>
  </si>
  <si>
    <t>被排挤出玖镇的家族，经常使用活人做实验，擅长召唤小鬼攻击</t>
    <phoneticPr fontId="13" type="noConversion"/>
  </si>
  <si>
    <t>血红色</t>
    <phoneticPr fontId="13" type="noConversion"/>
  </si>
  <si>
    <t>乐正家</t>
  </si>
  <si>
    <t>说明</t>
    <phoneticPr fontId="13" type="noConversion"/>
  </si>
  <si>
    <t>切换当前主题后会自动刷新配色，并按需显示墨家专属页。</t>
    <phoneticPr fontId="13" type="noConversion"/>
  </si>
  <si>
    <t>专属页说明</t>
    <phoneticPr fontId="13" type="noConversion"/>
  </si>
  <si>
    <t>家族</t>
  </si>
  <si>
    <t>通用特性体系</t>
  </si>
  <si>
    <t>分组</t>
  </si>
  <si>
    <t>特性名称</t>
  </si>
  <si>
    <t>通用</t>
  </si>
  <si>
    <t>通常特性</t>
  </si>
  <si>
    <t>警觉</t>
  </si>
  <si>
    <t>每次战斗有且仅有一次机会让你的闪避触发不需要消耗次要行动</t>
  </si>
  <si>
    <t>军队出身</t>
  </si>
  <si>
    <t>你选择自己的力量，敏捷，移动三者其中之一+10，你的移动力+10</t>
  </si>
  <si>
    <t>搜寻者</t>
  </si>
  <si>
    <t>你对隐藏的一些东西具有更灵敏的感觉，你的搜寻判定增加一个奖励骰</t>
  </si>
  <si>
    <t>枪手</t>
  </si>
  <si>
    <t>你的枪不会因为大失败而坏掉，同时你的连发射击将减少一个惩罚骰</t>
  </si>
  <si>
    <t>冲锋</t>
  </si>
  <si>
    <t>每次战斗有且仅有一次机会让你的某个技能视为速攻技能且不消耗次要行动使用</t>
  </si>
  <si>
    <t>学者</t>
  </si>
  <si>
    <t>你在修习某个派系或者某个技能时，在你成功的时候成功等级+1</t>
  </si>
  <si>
    <t>苦修者</t>
  </si>
  <si>
    <t>你的体质+20，同时你可以获得麻痹，催眠，中毒，寒冷，灼热，晕眩其中之一的抗性</t>
  </si>
  <si>
    <t>剑客</t>
  </si>
  <si>
    <t>你的近战武器伤害+2，同时你可以让你的次要行动变成主要行动但是多一个惩罚骰</t>
  </si>
  <si>
    <t>医师</t>
  </si>
  <si>
    <t>你的治疗被视为固定最大值</t>
  </si>
  <si>
    <t>护甲应用</t>
  </si>
  <si>
    <t>你穿戴各种装备不再受到属性限制（饰品除外）</t>
  </si>
  <si>
    <t>珠宝大师</t>
  </si>
  <si>
    <t>你穿戴各种饰品不再受到属性限制（装备除外）</t>
  </si>
  <si>
    <t>吟游诗人</t>
  </si>
  <si>
    <t>你的游说多一个奖励骰，且你修习了一门乐器的简单课程（30的某种乐器技能）</t>
  </si>
  <si>
    <t>山行客</t>
  </si>
  <si>
    <t>你的领航多一个奖励骰，特殊地形对你毫无影响</t>
  </si>
  <si>
    <t>好吧，你的幸运+20</t>
  </si>
  <si>
    <t>刺客</t>
  </si>
  <si>
    <t>你的敏捷+10你可以抛弃你的主要行动让它变成次要行动</t>
  </si>
  <si>
    <t>跑者</t>
  </si>
  <si>
    <t>你的移动+10，当你和你的敌人没有垂直地形差，你永远可以跑过去揍他</t>
  </si>
  <si>
    <t>强身健体</t>
  </si>
  <si>
    <t>你的护甲+4魔抗+2</t>
  </si>
  <si>
    <t>凶蛮打手</t>
  </si>
  <si>
    <t>你每回合有一次机会，在掷近战武器攻击的伤害骰时，重掷武器的伤害骰并选用新旧骰值二者之一。</t>
  </si>
  <si>
    <t>哨兵</t>
  </si>
  <si>
    <t>你将主动发现悄悄潜行在你四周的生物（除非他潜行大成功）</t>
  </si>
  <si>
    <t>博学</t>
  </si>
  <si>
    <t>你可以把30的兴趣点分配到自己的技能里</t>
  </si>
  <si>
    <t>夜行者</t>
  </si>
  <si>
    <t>你的潜行技能增加一个奖励骰</t>
  </si>
  <si>
    <t>大胃王</t>
  </si>
  <si>
    <t>你可以通过吃饭回满你的生命值</t>
  </si>
  <si>
    <t>枪斗术</t>
  </si>
  <si>
    <t>如果你持枪和敌方抵近战斗，你可以多一个近战主要行动</t>
  </si>
  <si>
    <t>张家入门特性</t>
  </si>
  <si>
    <t>雷法精通</t>
  </si>
  <si>
    <t>你的雷法伤害增加5，且必定造成50%麻痹</t>
  </si>
  <si>
    <t>道法正统</t>
  </si>
  <si>
    <t>你可以多携带两张符</t>
  </si>
  <si>
    <t>火法精通</t>
  </si>
  <si>
    <t>你的火法伤害增加8，且必定造成2回合1点灼燃伤害</t>
  </si>
  <si>
    <t>张家初阶特性</t>
  </si>
  <si>
    <t>雷法大成</t>
  </si>
  <si>
    <t>你的雷法成功则视为必中，无法闪避</t>
  </si>
  <si>
    <t>火法大成</t>
  </si>
  <si>
    <t>你的火法造成的灼燃伤害可以选择不发动，然后在某一时刻造成突然伤害（打断）</t>
  </si>
  <si>
    <t>听凭符引</t>
  </si>
  <si>
    <t>你的符法发动成功等级+1</t>
  </si>
  <si>
    <t>术剑精通</t>
  </si>
  <si>
    <t>你的术法可以用你的剑为媒介发动(同时造成剑伤和术法伤害)</t>
  </si>
  <si>
    <t>掣旗令阵</t>
  </si>
  <si>
    <t>你的阵法在发动之后便再不需要持续消耗（需要携带阵旗）</t>
  </si>
  <si>
    <t>掌中星辰</t>
  </si>
  <si>
    <t>你在战斗中每使用一次术法，你的下一次术法会增加1d8的星辰砸落物理伤害</t>
  </si>
  <si>
    <t>天雷护体</t>
  </si>
  <si>
    <t>你每次使用雷法伤害就获得你伤害一半的护盾</t>
  </si>
  <si>
    <t>神火锻体</t>
  </si>
  <si>
    <t>你每次使用火法伤害就获得你伤害一半+5的临时生命</t>
  </si>
  <si>
    <t>张家中阶特性</t>
  </si>
  <si>
    <t>阵</t>
  </si>
  <si>
    <t>你的阵法不再需要时间准备</t>
  </si>
  <si>
    <t>符</t>
  </si>
  <si>
    <t>你的符法不再需要画符准备但每张符法5点法力值消耗</t>
  </si>
  <si>
    <t>术</t>
  </si>
  <si>
    <t>你的术法不再受到上限限制，可以叠加各种特殊效果</t>
  </si>
  <si>
    <t>剑</t>
  </si>
  <si>
    <t>你的剑法出神入化，每次攻击可以带两道符或者术法</t>
  </si>
  <si>
    <t>张家高阶特性</t>
  </si>
  <si>
    <t>天雷</t>
  </si>
  <si>
    <t>你的雷如同你的臂膀，招手便来，挥手便去，不再有消耗</t>
  </si>
  <si>
    <t>地火</t>
  </si>
  <si>
    <t>你的火如同你的臂膀，招手便来，挥手便去，不再有消耗</t>
  </si>
  <si>
    <t>火法大师</t>
  </si>
  <si>
    <t>你的火法视为必定成功，不会失败</t>
  </si>
  <si>
    <t>雷法大师</t>
  </si>
  <si>
    <t>你的雷法视为必定成功，不会失败</t>
  </si>
  <si>
    <t>本命天符</t>
  </si>
  <si>
    <t>你可以制作本命天符，可以抵挡一次致死攻击，每人有且仅能有一张天符，且不能在天符消耗掉之后重新制作。</t>
  </si>
  <si>
    <t>商法特性</t>
  </si>
  <si>
    <t>商人直觉</t>
  </si>
  <si>
    <t>任何物品在你眼中都会呈现本身价格。</t>
  </si>
  <si>
    <t>讨价还价</t>
  </si>
  <si>
    <t>任何商品在你购入的时候都会以 8 折售出。</t>
  </si>
  <si>
    <t>精通交谈</t>
  </si>
  <si>
    <t>你的社交类技能固定为 85 点。</t>
  </si>
  <si>
    <t>溢价售出</t>
  </si>
  <si>
    <t>你在卖出东西时，会获得多 50% 的价格。</t>
  </si>
  <si>
    <t>入门特性</t>
  </si>
  <si>
    <t>鬼道传人</t>
  </si>
  <si>
    <t>你拥有与小鬼签订契约的能力，包括平等契约或不平等契约。</t>
  </si>
  <si>
    <t>异道出身</t>
  </si>
  <si>
    <t>当你在每次道力成长的时候，道力 +1。</t>
  </si>
  <si>
    <t>初阶特性</t>
  </si>
  <si>
    <t>亡灵之友</t>
  </si>
  <si>
    <t>非生命生物不会优先选择你作为攻击对象。</t>
  </si>
  <si>
    <t>进阶特性</t>
  </si>
  <si>
    <t>幽冥人</t>
  </si>
  <si>
    <t>对方对你造成的物理伤害有 15% 的概率无效。</t>
  </si>
  <si>
    <t>鬼衣</t>
  </si>
  <si>
    <t>你在使用本家术法的时候，获得 4 点无差别护盾。</t>
  </si>
  <si>
    <t>丁巳灵火</t>
  </si>
  <si>
    <t>你在炼制小鬼的时候，有 50% 的概率增加小鬼某一属性 20、某一技能 10。</t>
  </si>
  <si>
    <t>鬼医</t>
  </si>
  <si>
    <t>你可以在战后治疗你的小鬼，每次治疗恢复 1d10 生命，消耗半小时时间，可重复使用。</t>
  </si>
  <si>
    <t>高阶特性</t>
  </si>
  <si>
    <t>炼鬼大师</t>
  </si>
  <si>
    <t>你的小鬼属性天生 +5。</t>
  </si>
  <si>
    <t>训鬼大师</t>
  </si>
  <si>
    <t>你的小鬼技能天生 +10。</t>
  </si>
  <si>
    <t>护身鬼</t>
  </si>
  <si>
    <t>你的小鬼会优先帮你承受伤害，且小鬼的闪避必定不低于 50。</t>
  </si>
  <si>
    <t>幽冥树</t>
  </si>
  <si>
    <t>在幽冥树周围修炼时，你的修习成功等级 +1（仅限亓家子弟）。</t>
  </si>
  <si>
    <t>符法精通</t>
  </si>
  <si>
    <t>你的所有符法速度 +10。</t>
  </si>
  <si>
    <t>风水学正统</t>
  </si>
  <si>
    <t>你的道力天生多 5 点（不计入升级道力）。</t>
  </si>
  <si>
    <t>蒙天法卷轴制作</t>
  </si>
  <si>
    <t>你可以制作粗略的林家蒙天法卷轴，使用后完全闪避一次攻击，每人仅限携带一件。</t>
  </si>
  <si>
    <t>风水师的眷顾</t>
  </si>
  <si>
    <t>每次战斗有且仅有一次，你可以让任意一次行动成功等级 +1。</t>
  </si>
  <si>
    <t>蒙天法制作者</t>
  </si>
  <si>
    <t>你可以制作完美的蒙天法卷轴，使用者可以获得持续 30 分钟的蒙天法效果。</t>
  </si>
  <si>
    <t>体术小成</t>
  </si>
  <si>
    <t>每次战斗中有且仅有一次让体术必中。</t>
  </si>
  <si>
    <t>阵法小成</t>
  </si>
  <si>
    <t>每次战斗中有且仅有一次让阵法无需准备。</t>
  </si>
  <si>
    <t>神龙锻体</t>
  </si>
  <si>
    <t>你每次使用遣龙诀都将获得 10 点无差别护盾。</t>
  </si>
  <si>
    <t>法阵护体</t>
  </si>
  <si>
    <t>你每次使用法阵的时候都将获得 5 点无差别护盾（可叠加）。</t>
  </si>
  <si>
    <t>危险感知</t>
  </si>
  <si>
    <t>闪避等级 +1。</t>
  </si>
  <si>
    <t>占卜正统</t>
  </si>
  <si>
    <t>你可以每日进行一次占卜，由 KP 根据情况确认是或不是。</t>
  </si>
  <si>
    <t>铜钱鉴定</t>
  </si>
  <si>
    <t>你可以通过铜钱鉴定古代物件真伪，成功率为 50。</t>
  </si>
  <si>
    <t>分支特性·铜钱</t>
  </si>
  <si>
    <t>聚宝盆</t>
  </si>
  <si>
    <t>你拥有一个外置空间存放古币，聚宝盆每日生成 20 枚古币，也可以消耗票券换取古币。</t>
  </si>
  <si>
    <t>五帝钱制作者</t>
  </si>
  <si>
    <t>你可以消耗 5 枚古币制作一份五帝钱，五帝钱可完全抵挡一次伤害。</t>
  </si>
  <si>
    <t>分支特性·术阵</t>
  </si>
  <si>
    <t>通天者</t>
  </si>
  <si>
    <t>你经常与老天沟通，所以你能预知自身的情况，你不会生病。</t>
  </si>
  <si>
    <t>窃天者</t>
  </si>
  <si>
    <t>你的每次攻击都有 10% 概率出现天谴，天谴有 50% 击中自己、50% 击中对方，造成 5d9 伤害。</t>
  </si>
  <si>
    <t>以命知天</t>
  </si>
  <si>
    <t>消耗 5 点生命值，获得更准确的卦象结果。</t>
  </si>
  <si>
    <t>短时预测</t>
  </si>
  <si>
    <t>与你战斗的人成功等级 -1。</t>
  </si>
  <si>
    <t>金钱甲</t>
  </si>
  <si>
    <t>你可以消耗一枚古币获得护甲 10、魔抗 10、耐久 10 的护甲。</t>
  </si>
  <si>
    <t>明知故做</t>
  </si>
  <si>
    <t>你可以在任一行动之后，补充一次预备动作：闪避、防御、反击或逃跑。</t>
  </si>
  <si>
    <t>钱乃万古道存</t>
  </si>
  <si>
    <t>你每有一枚古币，都可以在生命值归 0 前作为临时生命值消耗。</t>
  </si>
  <si>
    <t>旗令苍天</t>
  </si>
  <si>
    <t>你的阵旗可以额外消耗 10 法力，对敌方造成 1 次伤害。</t>
  </si>
  <si>
    <t>你的护甲 +4、魔抗 +2。</t>
  </si>
  <si>
    <t>岳氏拳法</t>
  </si>
  <si>
    <t>使空手造成的伤害 +2。</t>
  </si>
  <si>
    <t>岳氏枪法</t>
  </si>
  <si>
    <t>使长枪造成的伤害 +2。</t>
  </si>
  <si>
    <t>铁拳</t>
  </si>
  <si>
    <t>拳头攻击时有 20% 的概率击中头部并使对方眩晕一回合。</t>
  </si>
  <si>
    <t>铁腕</t>
  </si>
  <si>
    <t>你的拳头伤害 +1，长枪伤害 +1。</t>
  </si>
  <si>
    <t>霸枪</t>
  </si>
  <si>
    <t>你使用枪攻击时，对方闪避需要高你一个命中等级。</t>
  </si>
  <si>
    <t>铁骨冲劲</t>
  </si>
  <si>
    <t>普通攻击伤害 +4。</t>
  </si>
  <si>
    <t>稳步扎架</t>
  </si>
  <si>
    <t>无法被击飞、击倒或击退。</t>
  </si>
  <si>
    <t>中阶特性</t>
  </si>
  <si>
    <t>破甲劲力</t>
  </si>
  <si>
    <t>攻击时无视 10 点护甲。</t>
  </si>
  <si>
    <t>气血横生</t>
  </si>
  <si>
    <t>战斗开始时获得 20 点临时生命。</t>
  </si>
  <si>
    <t>残躯悍战</t>
  </si>
  <si>
    <t>生命值低于 50% 时，造成伤害增加 50%。</t>
  </si>
  <si>
    <t>千击破势</t>
  </si>
  <si>
    <t>当你成功招架一次攻击之后，招架攻击额外造成 2 次伤害。</t>
  </si>
  <si>
    <t>大师特性</t>
  </si>
  <si>
    <t>武元同归</t>
  </si>
  <si>
    <t>放大招后，接下来三次攻击伤害翻倍。</t>
  </si>
  <si>
    <t>万武归宗</t>
  </si>
  <si>
    <t>放大招后，接下来三次攻击必将触发额外效果。</t>
  </si>
  <si>
    <t>拳师</t>
  </si>
  <si>
    <t>你的拳法已达大师级别，基础伤害 +8。</t>
  </si>
  <si>
    <t>枪王</t>
  </si>
  <si>
    <t>你的枪法已达大师级别，基础伤害 +6。</t>
  </si>
  <si>
    <t>墨玉手</t>
  </si>
  <si>
    <t>你的手百毒不侵、水火不侵，基础伤害 +2。</t>
  </si>
  <si>
    <t>衔阳枪</t>
  </si>
  <si>
    <t>持有棍棒类物品也能发挥长枪威力，命中使敌人失明一回合，基础伤害 +4。</t>
  </si>
  <si>
    <t>10-20 特性</t>
  </si>
  <si>
    <t>附魔小成</t>
  </si>
  <si>
    <t>你的附魔效果增加 3 点。</t>
  </si>
  <si>
    <t>防护小成</t>
  </si>
  <si>
    <t>你的护盾强度增加 5 点。</t>
  </si>
  <si>
    <t>能力小成</t>
  </si>
  <si>
    <t>你的能力效果增加 8 点。</t>
  </si>
  <si>
    <t>醉红尘品鉴师</t>
  </si>
  <si>
    <t>醉红尘的效果对你翻倍。</t>
  </si>
  <si>
    <t>30-40 特性</t>
  </si>
  <si>
    <t>植物之友</t>
  </si>
  <si>
    <t>你可以识别各种植物。</t>
  </si>
  <si>
    <t>春回大地</t>
  </si>
  <si>
    <t>你每使用一个技能，可以给己方全体恢复 1 点生命。</t>
  </si>
  <si>
    <t>附魔大成</t>
  </si>
  <si>
    <t>你的附魔效果 +6。</t>
  </si>
  <si>
    <t>防护大成</t>
  </si>
  <si>
    <t>你的护盾强度 +15。</t>
  </si>
  <si>
    <t>能力大成</t>
  </si>
  <si>
    <t>每次战斗一次，当你击中对方时可以使自己造成满额双倍伤害。</t>
  </si>
  <si>
    <t>光合作用</t>
  </si>
  <si>
    <t>每天使用一次，恢复 50% 的 MP 与 HP。</t>
  </si>
  <si>
    <t>对他使用炎拳吧！</t>
  </si>
  <si>
    <t>你造成的伤害增加 1d8 的火伤。</t>
  </si>
  <si>
    <t>血饮</t>
  </si>
  <si>
    <t>你可以通过吸食鲜血恢复自身状态，比例 1:1。</t>
  </si>
  <si>
    <t>一级特性</t>
  </si>
  <si>
    <t>识草通灵</t>
  </si>
  <si>
    <t>可以通过感受植物的情绪分析周围是否安全。</t>
  </si>
  <si>
    <t>微火调元</t>
  </si>
  <si>
    <t>炼丹失败率降低 10%，并在炼药时增加药家派系 10 点。</t>
  </si>
  <si>
    <t>虫息相引</t>
  </si>
  <si>
    <t>野生毒虫不会攻击你。</t>
  </si>
  <si>
    <t>融丹饲蛊</t>
  </si>
  <si>
    <t>你可以给蛊虫使用你的丹药。</t>
  </si>
  <si>
    <t>二级特性</t>
  </si>
  <si>
    <t>凝丹聚形</t>
  </si>
  <si>
    <t>丹药炼制有 50% 的概率多一个。</t>
  </si>
  <si>
    <t>清浊分髓</t>
  </si>
  <si>
    <t>让炼丹炉失败概率 -5%。</t>
  </si>
  <si>
    <t>心虫相契</t>
  </si>
  <si>
    <t>在主要行动时，你可以一次性使用两只蛊虫。</t>
  </si>
  <si>
    <t>毒丹缓释</t>
  </si>
  <si>
    <t>你获得中毒状态时有 50% 判定成功则不中毒。</t>
  </si>
  <si>
    <t>三级特性</t>
  </si>
  <si>
    <t>药力蕴脉</t>
  </si>
  <si>
    <t>你炼的药可以附带临时生命 buff，食用后增加 10 点临时生命，累计最多 40。</t>
  </si>
  <si>
    <t>丹炉养炁</t>
  </si>
  <si>
    <t>每一次炼丹成功都让自身炼丹成功率增加 1%。</t>
  </si>
  <si>
    <t>万毒传身</t>
  </si>
  <si>
    <t>蛊虫造成的毒伤增加 100%。</t>
  </si>
  <si>
    <t>藏蛊丹匣</t>
  </si>
  <si>
    <t>蛊虫回复的效果增加 100%。</t>
  </si>
  <si>
    <t>四级特性</t>
  </si>
  <si>
    <t>丹纹印灵</t>
  </si>
  <si>
    <t>你炼出来的丹药效力增加 100%。</t>
  </si>
  <si>
    <t>辅药化珍</t>
  </si>
  <si>
    <t>你可以使用四种材料炼丹。</t>
  </si>
  <si>
    <t>虫蜕再生</t>
  </si>
  <si>
    <t>蛊虫可以抵挡一次致命攻击。</t>
  </si>
  <si>
    <t>丹引蛊媒</t>
  </si>
  <si>
    <t>蛊虫造成伤害后，可以召回蛊虫并回复等量生命值。</t>
  </si>
  <si>
    <t>五级特性</t>
  </si>
  <si>
    <t>九转回炉</t>
  </si>
  <si>
    <t>炼丹失败不再损失材料。</t>
  </si>
  <si>
    <t>丹道同元</t>
  </si>
  <si>
    <t>自己食用自身丹药时，每食用一颗全属性 +5 持续一天，累计临时属性最多不超过 100 点。</t>
  </si>
  <si>
    <t>群蛊噬命</t>
  </si>
  <si>
    <t>场上每存在一个蛊虫，蛊虫造成的效果增加一倍。</t>
  </si>
  <si>
    <t>九转蛊丹</t>
  </si>
  <si>
    <t>可将 9 种不同蛊虫炼制成致命丹药，内服后陷入濒死状态。</t>
  </si>
  <si>
    <t>5 灵魂音符特性</t>
  </si>
  <si>
    <t>音乐世家</t>
  </si>
  <si>
    <t>你的魅力天生 +5。</t>
  </si>
  <si>
    <t>管弦乐修习者</t>
  </si>
  <si>
    <t>当你使用管弦乐学习的时候，你的魅力 +5。</t>
  </si>
  <si>
    <t>打击乐修习者</t>
  </si>
  <si>
    <t>当你使用打击乐学习的时候，你的魅力 +5。</t>
  </si>
  <si>
    <t>7 灵魂音符特性</t>
  </si>
  <si>
    <t>谱师</t>
  </si>
  <si>
    <t>你可以消耗 1 个灵魂音符，将一个技能记录进灵魂音符中；释放技能并使用该音符时，储藏技能会一并释放，但储藏技能无法再使用灵魂音符强化。</t>
  </si>
  <si>
    <t>管弦精通</t>
  </si>
  <si>
    <t>当你使用管弦乐的时候，每天 1 次可以不消耗灵魂音符，直接使用 1 次灵魂音符强化技能。</t>
  </si>
  <si>
    <t>打击精通</t>
  </si>
  <si>
    <t>当你使用打击乐的时候，每天 1 次可以不消耗灵魂音符，直接使用 1 次灵魂音符强化技能。</t>
  </si>
  <si>
    <t>歌唱家</t>
  </si>
  <si>
    <t>你可以不使用乐器，直接使用带有管弦乐特效的技能。</t>
  </si>
  <si>
    <t>Bbox 歌手</t>
  </si>
  <si>
    <t>你可以不使用乐器，直接使用带有打击乐特效的技能。</t>
  </si>
  <si>
    <t>11 灵魂音符特性</t>
  </si>
  <si>
    <t>宫</t>
  </si>
  <si>
    <t>造成的所有音波物理伤害增加 5 点。</t>
  </si>
  <si>
    <t>商</t>
  </si>
  <si>
    <t>造成的所有治疗效果增加 10 点。</t>
  </si>
  <si>
    <t>角</t>
  </si>
  <si>
    <t>造成的所有 debuff 成功率增加 10。</t>
  </si>
  <si>
    <t>徵</t>
  </si>
  <si>
    <t>造成固定次数的技能时，可以使用 1 次灵魂音符额外增加 1 个命中目标。</t>
  </si>
  <si>
    <t>羽</t>
  </si>
  <si>
    <t>造成所有护盾效果增加 10 点；次数盾效果增加 1 次。</t>
  </si>
  <si>
    <t>15 灵魂音符特性</t>
  </si>
  <si>
    <t>律吕调阳</t>
  </si>
  <si>
    <t>在不同时间使用技能会有不同效果：水时可快速追加一次攻击，土时护盾 +15，木时治疗 +10，金时攻击成功等级 +1，火时伤害 +8。</t>
  </si>
  <si>
    <t>知音共鸣</t>
  </si>
  <si>
    <t>可以选择 1 名角色绑定为知音；双方受伤时可自愿互相承担至多 50% 的伤害。</t>
  </si>
  <si>
    <t>大音希声</t>
  </si>
  <si>
    <t>所有技能都可以选择静默两回合；期间视为隐身且不会成为单体攻击目标；结束后可释放 1 个必中且连发三次的技能。</t>
  </si>
  <si>
    <t>绕梁三日</t>
  </si>
  <si>
    <t>需要持续释放的技能，在你停止释放之后可以多持续 1 回合。</t>
  </si>
  <si>
    <t>八音克谐</t>
  </si>
  <si>
    <t>每天具有 3 次免疫特殊状态的机会。</t>
  </si>
  <si>
    <t>弦外之音</t>
  </si>
  <si>
    <t>你的每次攻击都有 20% 的概率造成第二次攻击。</t>
  </si>
  <si>
    <t>乐和民心</t>
  </si>
  <si>
    <t>你的演奏会大幅度增加他人对你的信任。</t>
  </si>
  <si>
    <t>黄钟大吕</t>
  </si>
  <si>
    <t>你获得 10 点生命值提升，且每次战斗开始时获得 35 点护盾。</t>
  </si>
  <si>
    <t>19 灵魂音符特性</t>
  </si>
  <si>
    <t>击缶而歌</t>
  </si>
  <si>
    <t>你不会被任何限制行动的 debuff 影响，但攻击仍然会打断演奏。</t>
  </si>
  <si>
    <t>乐不思蜀</t>
  </si>
  <si>
    <t>被你攻击的敌方有 10% 概率在下一次攻击时必定命中自己或者队友。</t>
  </si>
  <si>
    <t>大巧若拙</t>
  </si>
  <si>
    <t>你可以用喉咙模仿任何乐器。</t>
  </si>
  <si>
    <t>小雅鹿鸣</t>
  </si>
  <si>
    <t>当你演奏时，每次发动技能都会有一只灵魂小鹿对敌方造成 1 次 1 点灵魂伤害。</t>
  </si>
  <si>
    <t>23+ 大师特性</t>
  </si>
  <si>
    <t>打击乐大师</t>
  </si>
  <si>
    <t>你可以消耗 1 个灵魂音符虚空创造任何乐器；当你创造的是打击乐时不消耗音符；你造出的打击乐视为一个 10 血单位，可以自动使用你所学习的技能。</t>
  </si>
  <si>
    <t>管弦乐大师</t>
  </si>
  <si>
    <t>你可以消耗 1 个灵魂音符虚空创造任何乐器；当你创造的是管弦乐时不消耗音符；你造出的管弦乐视为一个 10 血单位，可以自动使用你所学习的技能。</t>
  </si>
  <si>
    <t>技能列表</t>
  </si>
  <si>
    <t>道术通用·入门</t>
  </si>
  <si>
    <t>掌心雷</t>
  </si>
  <si>
    <t>1d8+1 雷伤。</t>
  </si>
  <si>
    <t>50速</t>
  </si>
  <si>
    <t>3法力值</t>
  </si>
  <si>
    <t>风符</t>
  </si>
  <si>
    <t>增加闪避与敏捷值，每回合每增加一点消耗一点道力。</t>
  </si>
  <si>
    <t>按增幅消耗道力</t>
  </si>
  <si>
    <t>火符</t>
  </si>
  <si>
    <t>造成分配道力的火焰伤害，并根据剩余道力造成灼烧伤害。</t>
  </si>
  <si>
    <t>分配道力</t>
  </si>
  <si>
    <t>水符</t>
  </si>
  <si>
    <t>减少对面单体的敏捷与闪避。</t>
  </si>
  <si>
    <t>同风符</t>
  </si>
  <si>
    <t>土符</t>
  </si>
  <si>
    <t>造成禁锢护盾，土符存在时对方无法闪避。</t>
  </si>
  <si>
    <t>道术通用·初阶</t>
  </si>
  <si>
    <t>雷法</t>
  </si>
  <si>
    <t>造成基础 4+1dX 道力值的雷伤，并有概率造成麻痹。</t>
  </si>
  <si>
    <t>60速</t>
  </si>
  <si>
    <t>符法；当作术法时 5法力值</t>
  </si>
  <si>
    <t>传送</t>
  </si>
  <si>
    <t>可以传送至物理上可进出的区域。</t>
  </si>
  <si>
    <t>0速</t>
  </si>
  <si>
    <t>追踪</t>
  </si>
  <si>
    <t>根据目标相关物品或线索进行追踪。</t>
  </si>
  <si>
    <t>道术通用·中阶</t>
  </si>
  <si>
    <t>五行阵</t>
  </si>
  <si>
    <t>需要提前布阵，可镇压一切生于五行中的人或物。</t>
  </si>
  <si>
    <t>20速</t>
  </si>
  <si>
    <t>全部法力</t>
  </si>
  <si>
    <t>七星阵</t>
  </si>
  <si>
    <t>需要剑作为法器，准备后持续对敌方全体造成物理伤害。</t>
  </si>
  <si>
    <t>10法力值</t>
  </si>
  <si>
    <t>道术通用·进阶</t>
  </si>
  <si>
    <t>掣金</t>
  </si>
  <si>
    <t>召唤一把七星剑。</t>
  </si>
  <si>
    <t>8法力值</t>
  </si>
  <si>
    <t>逢春</t>
  </si>
  <si>
    <t>给一名角色附上回春 buff。</t>
  </si>
  <si>
    <t>30速</t>
  </si>
  <si>
    <t>5法力值</t>
  </si>
  <si>
    <t>叠浪</t>
  </si>
  <si>
    <t>造成群体伤害并制造水泽地形。</t>
  </si>
  <si>
    <t>5法力值 + 后续维持</t>
  </si>
  <si>
    <t>岩脊</t>
  </si>
  <si>
    <t>不造成伤害，根据角色意愿改变地形。</t>
  </si>
  <si>
    <t>商法技能</t>
  </si>
  <si>
    <t>和谈</t>
  </si>
  <si>
    <t>消耗所有法力值，强迫在场所有人停止其他一切动作，进入 5 分钟的和谈。</t>
  </si>
  <si>
    <t>钱力</t>
  </si>
  <si>
    <t>消耗所有法力值和一定数量的资金，让对方认同一件事情。</t>
  </si>
  <si>
    <t>全部法力 + 资金</t>
  </si>
  <si>
    <t>慧眼识珠</t>
  </si>
  <si>
    <t>消耗一半法力值，在一堆物品中挑选最有价值的东西。</t>
  </si>
  <si>
    <t>半数法力</t>
  </si>
  <si>
    <t>历史学</t>
  </si>
  <si>
    <t>消耗一半法力值，得知一个物品的一部分信息。</t>
  </si>
  <si>
    <t>本家术法·入门</t>
  </si>
  <si>
    <t>火域</t>
  </si>
  <si>
    <t>战斗开始时使用，提升己方火系伤害，并每回合灼烧敌方全体。</t>
  </si>
  <si>
    <t>90速</t>
  </si>
  <si>
    <t>雷海</t>
  </si>
  <si>
    <t>战斗开始时使用，提升己方雷系伤害，并让敌方行动时有概率麻痹。</t>
  </si>
  <si>
    <t>爆燃术</t>
  </si>
  <si>
    <t>1d8+1 火伤。</t>
  </si>
  <si>
    <t>雷法分支</t>
  </si>
  <si>
    <t>雷火淬体</t>
  </si>
  <si>
    <t>为自身增加基于总道力一半的护盾，不同雷种赋予不同护盾特效。</t>
  </si>
  <si>
    <t>本家法术·35-50</t>
  </si>
  <si>
    <t>九雷</t>
  </si>
  <si>
    <t>视为雷法，同时造成 9 次雷法攻击，每日仅可使用一次。</t>
  </si>
  <si>
    <t>80速</t>
  </si>
  <si>
    <t>落炎</t>
  </si>
  <si>
    <t>视为火法，对敌方所有人造成一次火法伤害，并可维持存在。</t>
  </si>
  <si>
    <t>70速</t>
  </si>
  <si>
    <t>5法力值 + 维持</t>
  </si>
  <si>
    <t>风起</t>
  </si>
  <si>
    <t>阵中己方闪避成功等级 +1。</t>
  </si>
  <si>
    <t>10速</t>
  </si>
  <si>
    <t>每回合 5法力值</t>
  </si>
  <si>
    <t>泽引</t>
  </si>
  <si>
    <t>消耗一张泽引，使一名敌方全属性和全能力 -10。</t>
  </si>
  <si>
    <t>1张泽引</t>
  </si>
  <si>
    <t>岩崩</t>
  </si>
  <si>
    <t>禁锢敌方全体一回合，若未冲破禁锢则追加物理伤害。</t>
  </si>
  <si>
    <t>雷法强化</t>
  </si>
  <si>
    <t>神霄裂雷印</t>
  </si>
  <si>
    <t>造成一次雷法伤害，并对护盾造成双倍伤害。</t>
  </si>
  <si>
    <t>万霆扫尘诀</t>
  </si>
  <si>
    <t>对至多三人造成必定麻痹效果。</t>
  </si>
  <si>
    <t>火法强化</t>
  </si>
  <si>
    <t>离炎铸身咒</t>
  </si>
  <si>
    <t>获得两个火元，火元能增伤并优先抵挡伤害。</t>
  </si>
  <si>
    <t>1法力值</t>
  </si>
  <si>
    <t>赤焰镇火符阵</t>
  </si>
  <si>
    <t>每回合自动生成 4 个火元。</t>
  </si>
  <si>
    <t>每回合 2法力值</t>
  </si>
  <si>
    <t>50-65 技能</t>
  </si>
  <si>
    <t>爆炎</t>
  </si>
  <si>
    <t>视为火法，对敌方全体造成一次 +5 伤害的火法，并附加阴燃。</t>
  </si>
  <si>
    <t>雷法终阶</t>
  </si>
  <si>
    <t>六天霆狱结界</t>
  </si>
  <si>
    <t>每次雷法攻击额外造成 3d8 雷法伤害。</t>
  </si>
  <si>
    <t>碎神劫雷印</t>
  </si>
  <si>
    <t>造成一次雷法伤害；若敌方生命低于 30%，则直接令其濒死。</t>
  </si>
  <si>
    <t>火法终阶</t>
  </si>
  <si>
    <t>九野燎原劫</t>
  </si>
  <si>
    <t>消耗所有火元，每消耗一枚火元造成一次 1d8 群体爆炸伤害。</t>
  </si>
  <si>
    <t>全部火元</t>
  </si>
  <si>
    <t>朱雀焚灵印</t>
  </si>
  <si>
    <t>按法力值数量生成火元，火元足够多时可抵挡一次致命伤害。</t>
  </si>
  <si>
    <t>全部法力值</t>
  </si>
  <si>
    <t>九霄天雷</t>
  </si>
  <si>
    <t>释放 9 次九雷，释放完毕进入濒死状态。</t>
  </si>
  <si>
    <t>高风险终极技</t>
  </si>
  <si>
    <t>大日墟焚无量诀</t>
  </si>
  <si>
    <t>按本次战斗中生成的火元数量再次生成火元。</t>
  </si>
  <si>
    <t>蒙天阵</t>
  </si>
  <si>
    <t>阵内己方成功率 +5，敌方成功率 -5。</t>
  </si>
  <si>
    <t>每回合 3法力值</t>
  </si>
  <si>
    <t>蒙天法（简略）</t>
  </si>
  <si>
    <t>三选一：让敌方无法闪避、让己方完全闪避下一次攻击、让己方全员逃脱。</t>
  </si>
  <si>
    <t>通用高阶</t>
  </si>
  <si>
    <t>调水命天术</t>
  </si>
  <si>
    <t>获得与本身道力同等的“势”，可自由增减百米内己敌双方骰子点数，但代价极大。</t>
  </si>
  <si>
    <t>生命与法力归零，12h 后灵魂死亡</t>
  </si>
  <si>
    <t>战士分支</t>
  </si>
  <si>
    <t>遣龙诀</t>
  </si>
  <si>
    <t>调取一处龙脉增强自身，在三小时内以龙脉数据代替本人数据。</t>
  </si>
  <si>
    <t>法力直至 1 点</t>
  </si>
  <si>
    <t>法师分支</t>
  </si>
  <si>
    <t>烟雨</t>
  </si>
  <si>
    <t>使对方命中率降低三分之一。</t>
  </si>
  <si>
    <t>伏龙</t>
  </si>
  <si>
    <t>一次性引动地下龙脉辅助己方，全员属性和技能加成 20。</t>
  </si>
  <si>
    <t>移山</t>
  </si>
  <si>
    <t>大型阵法，可对一平方公里地形进行改造。</t>
  </si>
  <si>
    <t>入界</t>
  </si>
  <si>
    <t>创造百平米的小型空间，可在非战斗中随意出入。</t>
  </si>
  <si>
    <t>1天构建</t>
  </si>
  <si>
    <t>35-50 技能</t>
  </si>
  <si>
    <t>控鹤擒龙</t>
  </si>
  <si>
    <t>造成普通攻击伤害并使对方倒地或者浮空。</t>
  </si>
  <si>
    <t>沉风</t>
  </si>
  <si>
    <t>改变部分区域质量造成重力压制；若敌人浮空则伤害更高。</t>
  </si>
  <si>
    <t>喷岩</t>
  </si>
  <si>
    <t>使地下岩石冲击敌人；敌方倒地时伤害提升并令其浮空。</t>
  </si>
  <si>
    <t>推窗望月</t>
  </si>
  <si>
    <t>防御反击技，可将敌人丢出并连带砸倒其他目标。</t>
  </si>
  <si>
    <t>萤火</t>
  </si>
  <si>
    <t>准备后令敌方每回合有概率失明一回合。</t>
  </si>
  <si>
    <t>战士强化</t>
  </si>
  <si>
    <t>双龙取水</t>
  </si>
  <si>
    <t>消耗生命对一名敌方造成两次 1d8 伤害。</t>
  </si>
  <si>
    <t>2生命值</t>
  </si>
  <si>
    <t>损则有孚</t>
  </si>
  <si>
    <t>消耗生命，获得 50% 吸血持续 2 回合。</t>
  </si>
  <si>
    <t>10生命值</t>
  </si>
  <si>
    <t>法师强化</t>
  </si>
  <si>
    <t>清微聚炁阵</t>
  </si>
  <si>
    <t>让所有物品效果翻倍。</t>
  </si>
  <si>
    <t>每回合 1法力值</t>
  </si>
  <si>
    <t>七星安魂灯阵</t>
  </si>
  <si>
    <t>阵内有人受到致命攻击时，以阵破代替。</t>
  </si>
  <si>
    <t>风引</t>
  </si>
  <si>
    <t>让己方所有技能速度 +20 或 -20，需要准备后发动。</t>
  </si>
  <si>
    <t>战士终阶</t>
  </si>
  <si>
    <t>潜龙勿用</t>
  </si>
  <si>
    <t>隐藏自身，并让下一次攻击双倍伤害且造成失明。</t>
  </si>
  <si>
    <t>1生命值</t>
  </si>
  <si>
    <t>见龙在田</t>
  </si>
  <si>
    <t>蓄力招架，按回合数倍增伤害。</t>
  </si>
  <si>
    <t>3生命值</t>
  </si>
  <si>
    <t>飞龙在天</t>
  </si>
  <si>
    <t>高跃打击敌人，造成 3d8 伤害并必定倒地。</t>
  </si>
  <si>
    <t>利涉大川</t>
  </si>
  <si>
    <t>将地脉龙气作为能量波射出，对敌方全体造成伤害并附带龙吟 buff。</t>
  </si>
  <si>
    <t>5生命值</t>
  </si>
  <si>
    <t>法师终阶</t>
  </si>
  <si>
    <t>五雷焚邪天枢阵</t>
  </si>
  <si>
    <t>对敌方全体每回合造成 2d8 雷罚伤害。</t>
  </si>
  <si>
    <t>每回合 10法力值</t>
  </si>
  <si>
    <t>八门锁神困天阵</t>
  </si>
  <si>
    <t>敌方必须移动困难检定以上才能成功移动自身。</t>
  </si>
  <si>
    <t>四象同元护道阵</t>
  </si>
  <si>
    <t>每回合回复全队生命，并随机触发四象 buff。</t>
  </si>
  <si>
    <t>乾坤颠倒幻戏阵</t>
  </si>
  <si>
    <t>搞笑向特殊阵法，具体效果参照独立文档。</t>
  </si>
  <si>
    <t>65-80 技能</t>
  </si>
  <si>
    <t>履霜冰至</t>
  </si>
  <si>
    <t>击破对方护盾并施加履霜 buff，使其无法回复生命。</t>
  </si>
  <si>
    <t>神龙摆尾</t>
  </si>
  <si>
    <t>造成 4d8 伤害；若在敌方背后攻击则提升至 12d8。</t>
  </si>
  <si>
    <t>九宫衍炁诀</t>
  </si>
  <si>
    <t>每存在一个阵法，我方攻击伤害增加 1d8。</t>
  </si>
  <si>
    <t>万阵归元焚箓</t>
  </si>
  <si>
    <t>消耗场上所有阵法，为己方回复生命与法力，并对敌方造成灵魂伤害。</t>
  </si>
  <si>
    <t>消耗全部阵法</t>
  </si>
  <si>
    <t>万龙归一</t>
  </si>
  <si>
    <t>以真龙罡气维持不死与追加攻击，属于战士路线终极技。</t>
  </si>
  <si>
    <t>消耗当前区域龙脉</t>
  </si>
  <si>
    <t>蒙天</t>
  </si>
  <si>
    <t>蒙天不再消耗法力，阵内非锁定技能无法命中目标。</t>
  </si>
  <si>
    <t>维持阵法时自身无法行动</t>
  </si>
  <si>
    <t>知天</t>
  </si>
  <si>
    <t>战斗开始时使用，退出战场换取敌方全部信息并提升队友闪避与反击等级。</t>
  </si>
  <si>
    <t>无消耗</t>
  </si>
  <si>
    <t>乱天</t>
  </si>
  <si>
    <t>每消耗 5 点法力，可为队友或自己增加一次奖励骰，或消除一次惩罚骰。</t>
  </si>
  <si>
    <t>铜钱分支</t>
  </si>
  <si>
    <t>金钱镖</t>
  </si>
  <si>
    <t>必中，造成 1d8+5 伤害。</t>
  </si>
  <si>
    <t>5法力值 + 1古币</t>
  </si>
  <si>
    <t>金钱剑</t>
  </si>
  <si>
    <t>制造可使用三次的金钱剑，并可额外消耗古币增伤。</t>
  </si>
  <si>
    <t>7古币 + 额外古币</t>
  </si>
  <si>
    <t>术阵分支</t>
  </si>
  <si>
    <t>掣旗</t>
  </si>
  <si>
    <t>挥舞大型阵旗作为武器，将阵法附着其上。</t>
  </si>
  <si>
    <t>附阵每次 5法力值</t>
  </si>
  <si>
    <t>请天问地</t>
  </si>
  <si>
    <t>以天意压迫敌方，每回合灵魂检定失败则承受真实伤害。</t>
  </si>
  <si>
    <t>每回合 8法力值</t>
  </si>
  <si>
    <t>金钱阵</t>
  </si>
  <si>
    <t>对方全体次要行动仅可以进行反击，无法闪避。</t>
  </si>
  <si>
    <t>每回合 2古币 + 2法力值</t>
  </si>
  <si>
    <t>御天雷</t>
  </si>
  <si>
    <t>把天谴引到敌方身上，对敌方造成最大生命值 50% 伤害，同时自己受伤。</t>
  </si>
  <si>
    <t>6法力值</t>
  </si>
  <si>
    <t>算天阵</t>
  </si>
  <si>
    <t>己方除 AOE 外必定闪避伤害。</t>
  </si>
  <si>
    <t>拂尘</t>
  </si>
  <si>
    <t>造成最大道力值 +5 伤害，同时自己需要休息三回合。</t>
  </si>
  <si>
    <t>必中，自身虚弱</t>
  </si>
  <si>
    <t>问天</t>
  </si>
  <si>
    <t>得知一名敌方的信息。</t>
  </si>
  <si>
    <t>3法力</t>
  </si>
  <si>
    <t>术阵强化</t>
  </si>
  <si>
    <t>九宸焚罡</t>
  </si>
  <si>
    <t>对敌方全体每人造成 n 点伤害（n≤20）。</t>
  </si>
  <si>
    <t>每回合 n法力值</t>
  </si>
  <si>
    <t>混元守一</t>
  </si>
  <si>
    <t>对己方全体增加当前护盾 10% 的护盾。</t>
  </si>
  <si>
    <t>太初定劫</t>
  </si>
  <si>
    <t>结算三回合阵法效果并让当前阵旗上的阵法全部结束。</t>
  </si>
  <si>
    <t>灵兵预敕诀</t>
  </si>
  <si>
    <t>战斗开始前提前把一个阵法加在阵旗之上。</t>
  </si>
  <si>
    <t>金钱强化</t>
  </si>
  <si>
    <t>五行破煞咒</t>
  </si>
  <si>
    <t>造成 3d8 伤害，可通过猜正反追加伤害并附带煞咒。</t>
  </si>
  <si>
    <t>1~2古币 + 3法力值</t>
  </si>
  <si>
    <t>太清玄元盾</t>
  </si>
  <si>
    <t>生成可完全抵挡两次攻击的护盾，猜中可增加层数。</t>
  </si>
  <si>
    <t>5~6古币 + 3法力值</t>
  </si>
  <si>
    <t>纯阳赐炁符</t>
  </si>
  <si>
    <t>给予一名角色 10% 真实伤害加成，可通过猜正反追加强化或承受代价。</t>
  </si>
  <si>
    <t>3~4古币 + 5法力值</t>
  </si>
  <si>
    <t>幽阴锁命箓</t>
  </si>
  <si>
    <t>削减敌方伤害，并可通过猜正反换取极端收益或代价。</t>
  </si>
  <si>
    <t>风雷七星阵</t>
  </si>
  <si>
    <t>需要七星剑，每回合对敌方造成两次不可闪避的雷法伤害。</t>
  </si>
  <si>
    <t>金钱终阶</t>
  </si>
  <si>
    <t>乾坤斡旋卦</t>
  </si>
  <si>
    <t>破坏敌方全体护盾，并可通过掷古币追加极强控制。</t>
  </si>
  <si>
    <t>15古币 + 20法力值</t>
  </si>
  <si>
    <t>扭天拗地诀</t>
  </si>
  <si>
    <t>将己方全体状态恢复至战斗开始时，并可通过掷古币搏额外行动。</t>
  </si>
  <si>
    <t>全部法力值 + 20古币</t>
  </si>
  <si>
    <t>术阵终阶</t>
  </si>
  <si>
    <t>万阵融炁箓</t>
  </si>
  <si>
    <t>引爆场上所有阵法，每个阵法都造成范围伤害，并可能引出天谴。</t>
  </si>
  <si>
    <t>无</t>
  </si>
  <si>
    <t>九宫衍阵诀</t>
  </si>
  <si>
    <t>使场上阵法效果翻倍。</t>
  </si>
  <si>
    <t>太微斡旋命卦</t>
  </si>
  <si>
    <t>我方全体获得先天免死，可再通过古币判定搏回满生命法力。</t>
  </si>
  <si>
    <t>四串五帝钱</t>
  </si>
  <si>
    <t>天衍星卜阵</t>
  </si>
  <si>
    <t>完全预知敌方意图，并可每回合主动触发一次造成最大生命值真伤的天谴。</t>
  </si>
  <si>
    <t>每回合 15法力值</t>
  </si>
  <si>
    <t>镇鬼符</t>
  </si>
  <si>
    <t>使一名亡灵生物无法移动。</t>
  </si>
  <si>
    <t>炼狱火</t>
  </si>
  <si>
    <t>火符升级版；对亡灵伤害翻倍，对非亡灵附带灼烧与灵魂伤害。</t>
  </si>
  <si>
    <t>鬼视</t>
  </si>
  <si>
    <t>给予自己和亡灵一样的视野，可以查看特殊事物。</t>
  </si>
  <si>
    <t>鬼冥</t>
  </si>
  <si>
    <t>将小鬼属性和能力暂时加在自身身上。</t>
  </si>
  <si>
    <t>鬼爆</t>
  </si>
  <si>
    <t>造成来自阴间的 3d10 爆炸伤害，并给予一回合寒冷。</t>
  </si>
  <si>
    <t>12法力值</t>
  </si>
  <si>
    <t>鬼灭</t>
  </si>
  <si>
    <t>阵中敌方陷入失明，并每回合受到 1d5 真实伤害。</t>
  </si>
  <si>
    <t>每回合 7法力值</t>
  </si>
  <si>
    <t>炼鬼分支</t>
  </si>
  <si>
    <t>操鬼</t>
  </si>
  <si>
    <t>让小鬼本回合多一个主要或次要行动。</t>
  </si>
  <si>
    <t>震鬼</t>
  </si>
  <si>
    <t>让小鬼立即做出一次 80 速行动。</t>
  </si>
  <si>
    <t>护鬼</t>
  </si>
  <si>
    <t>让小鬼及时替你阻挡一次攻击。</t>
  </si>
  <si>
    <t>令鬼</t>
  </si>
  <si>
    <t>令小鬼的下一次行动造成 2 倍效果。</t>
  </si>
  <si>
    <t>幽冥火</t>
  </si>
  <si>
    <t>视为火法，对生命生物造成双倍伤害，并附着阴燃。</t>
  </si>
  <si>
    <t>炼鬼阵</t>
  </si>
  <si>
    <t>小鬼在阵中造成双倍伤害，敌方每回合失败则受到寒冷。</t>
  </si>
  <si>
    <t>每回合 4法力值</t>
  </si>
  <si>
    <t>自爆</t>
  </si>
  <si>
    <t>同归于尽型法术，造成 40d20 伤害。</t>
  </si>
  <si>
    <t>极高代价</t>
  </si>
  <si>
    <t>鬼身</t>
  </si>
  <si>
    <t>敌方攻击有 40% 概率不会命中你。</t>
  </si>
  <si>
    <t>清心符</t>
  </si>
  <si>
    <t>恢复 3 点灵魂力，解除眩晕、昏迷、疯狂状态。</t>
  </si>
  <si>
    <t>鬼镰</t>
  </si>
  <si>
    <t>召唤一把镰刀，造成 4d8 物理伤害和 1 点灵魂伤害。</t>
  </si>
  <si>
    <t>月引</t>
  </si>
  <si>
    <t>给一名小鬼附上回春 5 的 buff。</t>
  </si>
  <si>
    <t>梦中此月明！</t>
  </si>
  <si>
    <t>准备后令敌方全体昏睡，并造成 2d10 真实伤害。</t>
  </si>
  <si>
    <t>15法力值</t>
  </si>
  <si>
    <t>鬼火</t>
  </si>
  <si>
    <t>给你的小鬼攻击增加一次火法伤害，并附着阴燃。</t>
  </si>
  <si>
    <t>鬼神</t>
  </si>
  <si>
    <t>让己方小鬼属性技能全部翻倍，并造成三倍伤害。</t>
  </si>
  <si>
    <t>一半法力值</t>
  </si>
  <si>
    <t>阴煞炼魂契</t>
  </si>
  <si>
    <t>小鬼每次攻击为敌方叠加噬魂 buff，层数越高受到的小鬼伤害越高。</t>
  </si>
  <si>
    <t>幽骨聚兵符</t>
  </si>
  <si>
    <t>让一名小鬼拥有一个属性完全相同的分身，持续至战斗结束。</t>
  </si>
  <si>
    <t>灵鬼守躯环</t>
  </si>
  <si>
    <t>小鬼存活时，你的生命值不会低于 1。</t>
  </si>
  <si>
    <t>幽魂引命术</t>
  </si>
  <si>
    <t>让自己的小鬼陷入濒死，让一名濒死队友回复全部生命值。</t>
  </si>
  <si>
    <t>万鬼噬血咒</t>
  </si>
  <si>
    <t>自身濒死换取 7 个小鬼虚影分身，每个分身都会让小鬼伤害增加一倍。</t>
  </si>
  <si>
    <t>自身濒死</t>
  </si>
  <si>
    <t>阴魂渡厄诀</t>
  </si>
  <si>
    <t>让小鬼附身于自己，获得其全部属性和无限法力，并挥舞造成灵魂伤害的鬼镰。</t>
  </si>
  <si>
    <t>附身后首次攻击翻倍</t>
  </si>
  <si>
    <t>入门技能</t>
  </si>
  <si>
    <t>双拳</t>
  </si>
  <si>
    <t>可以让自己回合的主要行动变成次要行动。</t>
  </si>
  <si>
    <t>回马枪</t>
  </si>
  <si>
    <t>在闪避成功后追加一次主要行动。</t>
  </si>
  <si>
    <t>10-20 拳系</t>
  </si>
  <si>
    <t>上勾拳</t>
  </si>
  <si>
    <t>造成正常伤害，并使对方浮空。</t>
  </si>
  <si>
    <t>连拳</t>
  </si>
  <si>
    <t>造成两次普通攻击伤害。</t>
  </si>
  <si>
    <t>10-20 枪系</t>
  </si>
  <si>
    <t>枪花</t>
  </si>
  <si>
    <t>使对方命中等级降低 1 回合。</t>
  </si>
  <si>
    <t>点枪</t>
  </si>
  <si>
    <t>造成普通攻击伤害；闪避成功后使用时必中。</t>
  </si>
  <si>
    <t>20-30 拳系</t>
  </si>
  <si>
    <t>蓄力拳</t>
  </si>
  <si>
    <t>蓄力一回合后，在下次攻击时造成四倍伤害。</t>
  </si>
  <si>
    <t>震，立，炮，破，绝！</t>
  </si>
  <si>
    <t>五段成长型技能，最高可造成 5d8 + 25 点固定伤害。</t>
  </si>
  <si>
    <t>钢筋铁骨</t>
  </si>
  <si>
    <t>不受任何控制技能效果，但会受到 DOT 伤害，且受到的伤害减少 50%。</t>
  </si>
  <si>
    <t>100速</t>
  </si>
  <si>
    <t>持续一回合</t>
  </si>
  <si>
    <t>你过来啊！</t>
  </si>
  <si>
    <t>嘲讽一名敌人。</t>
  </si>
  <si>
    <t>20-30 枪系</t>
  </si>
  <si>
    <t>挑枪</t>
  </si>
  <si>
    <t>造成普通攻击伤害并让对方浮空。</t>
  </si>
  <si>
    <t>追风刺</t>
  </si>
  <si>
    <t>快速造成四次普通攻击伤害；若对方浮空则必中并追加两次伤害。</t>
  </si>
  <si>
    <t>横扫千军</t>
  </si>
  <si>
    <t>对至多三名敌方造成普通攻击伤害，并使其倒地。</t>
  </si>
  <si>
    <t>泰山压顶</t>
  </si>
  <si>
    <t>高跃砸枪，造成普通攻击+体型/3 的伤害；若敌方倒地则伤害翻倍。</t>
  </si>
  <si>
    <t>40-50 拳系</t>
  </si>
  <si>
    <t>葵花点穴手</t>
  </si>
  <si>
    <t>普通攻击命中后，可选择定身、截脉或断命之一。</t>
  </si>
  <si>
    <t>大日九雷拳</t>
  </si>
  <si>
    <t>造成 4 次雷属性与 4 次火属性普通攻击伤害，并附带概率眩晕与灼热。</t>
  </si>
  <si>
    <t>磐岩金刚掌</t>
  </si>
  <si>
    <t>强制嘲讽并在敌方命中后对其造成 5 次普通攻击伤害，且必定眩晕。</t>
  </si>
  <si>
    <t>40-50 枪系</t>
  </si>
  <si>
    <t>风火穿心脚</t>
  </si>
  <si>
    <t>挺枪攻击接飞脚，造成额外伤害并使对方沉默一回合。</t>
  </si>
  <si>
    <t>怒龙穿心</t>
  </si>
  <si>
    <t>五段普通攻击 +1d8 火伤，每段有 50% 概率暴击。</t>
  </si>
  <si>
    <t>伏龙潜涛</t>
  </si>
  <si>
    <t>防御反击，对至多 5 名敌人造成三次可暴击的普通攻击伤害。</t>
  </si>
  <si>
    <t>50-60 大招</t>
  </si>
  <si>
    <t>吊睛伏虎穿心破！</t>
  </si>
  <si>
    <t>造成 25 点固定伤害 + 四次普通攻击伤害，并有 10% 概率秒杀敌人。</t>
  </si>
  <si>
    <t>九千连镇火尖枪！</t>
  </si>
  <si>
    <t>造成 20 点固定伤害 + 两次普通攻击伤害，可对至多 5 名敌人释放。</t>
  </si>
  <si>
    <t>通用技能</t>
  </si>
  <si>
    <t>一阶无属性附魔</t>
  </si>
  <si>
    <t>使武器多一点无属性法术伤害（需要祭坛）。</t>
  </si>
  <si>
    <t>一阶无属性护盾</t>
  </si>
  <si>
    <t>召唤一个仅有 2 点生命的护盾。</t>
  </si>
  <si>
    <t>一阶无属性拳爆</t>
  </si>
  <si>
    <t>空手打入巫术力量后引爆，造成 1d3+1d6 伤害。</t>
  </si>
  <si>
    <t>一阶御风</t>
  </si>
  <si>
    <t>漂浮在离地面三米高度的地方。</t>
  </si>
  <si>
    <t>每小时 1法力值</t>
  </si>
  <si>
    <t>附魔系</t>
  </si>
  <si>
    <t>一阶火属性附魔</t>
  </si>
  <si>
    <t>使武器获得 3 点额外火属性伤害。</t>
  </si>
  <si>
    <t>一阶风属性附魔</t>
  </si>
  <si>
    <t>使武器获得 1 点额外风属性伤害，并无视速度先攻。</t>
  </si>
  <si>
    <t>一阶水属性附魔</t>
  </si>
  <si>
    <t>使武器获得 1 点额外水伤，并让持有者每回合获得一点护盾。</t>
  </si>
  <si>
    <t>一阶金属性附魔</t>
  </si>
  <si>
    <t>使武器增加 4 点额外金属性伤害与 1 点穿甲。</t>
  </si>
  <si>
    <t>防护系</t>
  </si>
  <si>
    <t>一阶水属性护盾</t>
  </si>
  <si>
    <t>召唤一个 3 点生命的护盾，未被击破则下回合回满。</t>
  </si>
  <si>
    <t>一阶金属性护盾</t>
  </si>
  <si>
    <t>召唤一个 4 点生命值的护盾，并获得嘲讽。</t>
  </si>
  <si>
    <t>一阶土属性护盾</t>
  </si>
  <si>
    <t>召唤一个 5 点生命值的护盾，并获得一点反伤。</t>
  </si>
  <si>
    <t>一阶风属性护盾</t>
  </si>
  <si>
    <t>召唤 1 点生命的护盾，并让敏捷与闪避 +10。</t>
  </si>
  <si>
    <t>能力系</t>
  </si>
  <si>
    <t>爆炎拳</t>
  </si>
  <si>
    <t>空手释放，造成 2d6 伤害。</t>
  </si>
  <si>
    <t>踏风</t>
  </si>
  <si>
    <t>纵跃到最高 10 米的高度。</t>
  </si>
  <si>
    <t>制酒</t>
  </si>
  <si>
    <t>粗浅酿酒，并可加快发酵进程。</t>
  </si>
  <si>
    <t>辟空</t>
  </si>
  <si>
    <t>获得一个 1 立方米的个人空间。</t>
  </si>
  <si>
    <t>萨满系</t>
  </si>
  <si>
    <t>青狼刃附</t>
  </si>
  <si>
    <t>双手化作狼爪，每次攻击造成 2d8 物理伤害。</t>
  </si>
  <si>
    <t>幼熊土纹</t>
  </si>
  <si>
    <t>吸收大地之力，让自身力量达到 80，护甲 +10。</t>
  </si>
  <si>
    <t>雏鹰风痕</t>
  </si>
  <si>
    <t>吸收巽风之力，让敏捷达到 80，并在下回合增加一个次要行动。</t>
  </si>
  <si>
    <t>青棘缠身</t>
  </si>
  <si>
    <t>禁锢一名敌方一回合。</t>
  </si>
  <si>
    <t>嫩蕊愈息</t>
  </si>
  <si>
    <t>回复一名角色 3 点生命。</t>
  </si>
  <si>
    <t>20-30 通用</t>
  </si>
  <si>
    <t>新增目明</t>
  </si>
  <si>
    <t>获得夜视效果。</t>
  </si>
  <si>
    <t>20-30 附魔</t>
  </si>
  <si>
    <t>重炎附魔</t>
  </si>
  <si>
    <t>击中敌人后有 50% 概率附加重炎效果，使其受到的火属性伤害 +50%。</t>
  </si>
  <si>
    <t>利风附魔</t>
  </si>
  <si>
    <t>击中敌人时 20% 概率多造成一次攻击。</t>
  </si>
  <si>
    <t>若水附魔</t>
  </si>
  <si>
    <t>击中敌人时 50% 概率降低敌方敏捷与闪避。</t>
  </si>
  <si>
    <t>精金附魔</t>
  </si>
  <si>
    <t>武器更贵重且穿甲 +4。</t>
  </si>
  <si>
    <t>20-30 防护</t>
  </si>
  <si>
    <t>流水盾</t>
  </si>
  <si>
    <t>50% 概率抵消 50% 受到的伤害。</t>
  </si>
  <si>
    <t>坚金盾</t>
  </si>
  <si>
    <t>敌方对坚金盾造成的伤害变成 70%。</t>
  </si>
  <si>
    <t>刺土盾</t>
  </si>
  <si>
    <t>反伤可以对至多三人同时造成伤害。</t>
  </si>
  <si>
    <t>飓风盾</t>
  </si>
  <si>
    <t>获得 50% 闪躲攻击效果，被打中一次后护盾消失。</t>
  </si>
  <si>
    <t>20-30 能力</t>
  </si>
  <si>
    <t>刺风拳</t>
  </si>
  <si>
    <t>造成 4d6 伤害并强力击退敌人。</t>
  </si>
  <si>
    <t>高阶御风</t>
  </si>
  <si>
    <t>可以漂浮在踏风所达到的高度。</t>
  </si>
  <si>
    <t>高阶制酒</t>
  </si>
  <si>
    <t>可以做出普通的醉红尘。</t>
  </si>
  <si>
    <t>3天制作</t>
  </si>
  <si>
    <t>瞬移</t>
  </si>
  <si>
    <t>进行三米内的短距离瞬移。</t>
  </si>
  <si>
    <t>20-30 萨满</t>
  </si>
  <si>
    <t>苍啸巨狼</t>
  </si>
  <si>
    <t>狼形强化，附带流血 buff。</t>
  </si>
  <si>
    <t>巨熊山岚</t>
  </si>
  <si>
    <t>力量增至 120，护甲 +20，无法被击飞击退击倒。</t>
  </si>
  <si>
    <t>金雕凌霄风</t>
  </si>
  <si>
    <t>敏捷与移动提升，并让攻击有概率追击。</t>
  </si>
  <si>
    <t>苍藤狱缚</t>
  </si>
  <si>
    <t>禁锢至多三名敌人一回合。</t>
  </si>
  <si>
    <t>琼华共生蕊</t>
  </si>
  <si>
    <t>回复一名角色 10 点生命，并给予回春 5。</t>
  </si>
  <si>
    <t>40-50 附魔</t>
  </si>
  <si>
    <t>凌霄火附魔</t>
  </si>
  <si>
    <t>增加火伤并叠加凌霄火标记，标记叠满可秒杀。</t>
  </si>
  <si>
    <t>流云风附魔</t>
  </si>
  <si>
    <t>增加风伤并让下次命中伤害翻倍。</t>
  </si>
  <si>
    <t>芷箬水附魔</t>
  </si>
  <si>
    <t>增加水伤，并让雷火属性对标记者提升 50% 伤害。</t>
  </si>
  <si>
    <t>剑锋金附魔</t>
  </si>
  <si>
    <t>增加 7 点金伤，并让伤害增加 50%。</t>
  </si>
  <si>
    <t>40-50 防护</t>
  </si>
  <si>
    <t>叠浪盾</t>
  </si>
  <si>
    <t>增加护盾值，并令属性伤害减半。</t>
  </si>
  <si>
    <t>御铁盾</t>
  </si>
  <si>
    <t>增加护盾值，并免疫物理伤害。</t>
  </si>
  <si>
    <t>盘岩盾</t>
  </si>
  <si>
    <t>每次受击释放地震波，并有概率眩晕。</t>
  </si>
  <si>
    <t>柔风盾</t>
  </si>
  <si>
    <t>增加护盾值，并每三回合获得一次奖励骰。</t>
  </si>
  <si>
    <t>40-50 能力</t>
  </si>
  <si>
    <t>弱水拳</t>
  </si>
  <si>
    <t>造成 6d6 伤害，并使敌人持续承受不可抑制伤害。</t>
  </si>
  <si>
    <t>探金掌</t>
  </si>
  <si>
    <t>造成 4d6 伤害，并使敌人流血；攻击流血目标时伤害翻倍。</t>
  </si>
  <si>
    <t>纵云</t>
  </si>
  <si>
    <t>可以在千米的低空下飞行。</t>
  </si>
  <si>
    <t>终极制酒</t>
  </si>
  <si>
    <t>可以制作醉红尘仙酿。</t>
  </si>
  <si>
    <t>成功率 30%</t>
  </si>
  <si>
    <t>巫法体术</t>
  </si>
  <si>
    <t>空手伤害增加 50%，同时力量、敏捷 +10。</t>
  </si>
  <si>
    <t>40-50 萨满</t>
  </si>
  <si>
    <t>万狼吞魂</t>
  </si>
  <si>
    <t>高阶狼形态，附带灵魂伤害并对低生命目标造成濒死。</t>
  </si>
  <si>
    <t>万熊固山</t>
  </si>
  <si>
    <t>高阶熊形态，护甲更高并额外抵挡一次致命伤害。</t>
  </si>
  <si>
    <t>万隼碎空</t>
  </si>
  <si>
    <t>指定一名角色，在发动瞬间额外行动 3 次。</t>
  </si>
  <si>
    <t>万藤枯寂</t>
  </si>
  <si>
    <t>禁锢敌方全体 2 回合，并持续造成真实伤害。</t>
  </si>
  <si>
    <t>千华生命神域</t>
  </si>
  <si>
    <t>每回合给己方全体回复生命并增加回春。</t>
  </si>
  <si>
    <t>5 灵魂音符·通用技法</t>
  </si>
  <si>
    <t>安眠曲</t>
  </si>
  <si>
    <t>造成一次 50% 成功率的催眠效果；可消耗 1 个灵魂音符让效果必然成功，或把效果扩成“对三”。</t>
  </si>
  <si>
    <t>按强化消耗灵魂音符</t>
  </si>
  <si>
    <t>震响</t>
  </si>
  <si>
    <t>快速音波造成 1d3 灵魂伤害；累计造成 5 点灵魂伤害时目标必定晕眩 1 回合；打击乐会让晕眩时间延长 1 回合。</t>
  </si>
  <si>
    <t>音刃</t>
  </si>
  <si>
    <t>快速造成一次 1d8 物理伤害并附带 3 点穿甲；每多消耗 1 个灵魂音符额外增加 1d8 伤害，最高 5d8；管弦乐再 +2 伤害。</t>
  </si>
  <si>
    <t>战歌</t>
  </si>
  <si>
    <t>让己方下一次攻击必定成为本回合最快行动；强化后可改为指定 1 名己方接下来的 3 次攻击都必定最快。</t>
  </si>
  <si>
    <t>7 灵魂音符·本家技法</t>
  </si>
  <si>
    <t>死亡和弦</t>
  </si>
  <si>
    <t>造成 1d2 灵魂伤害并使敌方恐惧 1 回合；可消耗 1 个灵魂音符让敌方直接脱战；管弦乐使恐惧延长 1 回合。</t>
  </si>
  <si>
    <t>致命节奏</t>
  </si>
  <si>
    <t>速度可自定义为 0-100 速；若连续在同一阶段、同一速度使用，伤害会在 1d5 的基础上逐回合叠增；可消耗 1 个灵魂音符让技能必中。</t>
  </si>
  <si>
    <t>0-100速（自定）</t>
  </si>
  <si>
    <t>共鸣粉碎</t>
  </si>
  <si>
    <t>先标记敌人并在第二回合触发共振，造成 8 点真实伤害；可消耗 1 个灵魂音符让共振即时发生；打击乐时伤害 +2。</t>
  </si>
  <si>
    <t>安魂曲</t>
  </si>
  <si>
    <t>对一名已标记敌人持续演奏五回合；若五回合内未被打断，则其生命值视为 1 并昏睡 24 小时；管弦乐时第一回合必定发动成功。</t>
  </si>
  <si>
    <t>不可用灵魂音符</t>
  </si>
  <si>
    <t>11 灵魂音符·打击乐分支</t>
  </si>
  <si>
    <t>行军战歌</t>
  </si>
  <si>
    <t>使己方下回合速度分配 +20，且造成伤害时额外造成一次 1d2 连携攻击；强化后连携伤害变为 1d3。</t>
  </si>
  <si>
    <t>节奏格挡</t>
  </si>
  <si>
    <t>宣言一个 20 以内的速度阈值；本回合凡是落在阈值内的敌方伤害技能触发时，获得 10 点物抗和 20 点法抗；强化后变成 30 点物抗和 40 点法抗。</t>
  </si>
  <si>
    <t>爆裂摇滚</t>
  </si>
  <si>
    <t>对敌方 1 至 2 名目标造成两次 2d8 音波爆炸伤害，两次伤害可分配给不同敌人；强化后附带 50% 晕眩。</t>
  </si>
  <si>
    <t>亚音速护盾（打击乐分支）</t>
  </si>
  <si>
    <t>用低频音波保护自身，减少 30% 受到的物理伤害，并获得 20 点护盾值。</t>
  </si>
  <si>
    <t>11 灵魂音符·管弦乐分支</t>
  </si>
  <si>
    <t>治愈乐章</t>
  </si>
  <si>
    <t>恢复己方全体成员 1d8 生命值；消耗 1 个灵魂音符后，治疗效果额外增加 1d8。</t>
  </si>
  <si>
    <t>静谧屏障</t>
  </si>
  <si>
    <t>创造一个静音区域，抵挡 2 次任何飞行道具类型攻击；强化后改为可以抵挡 1 次任何能量攻击。</t>
  </si>
  <si>
    <t>音速箭矢</t>
  </si>
  <si>
    <t>打出一道如箭矢般的音波，造成 1d10+5 伤害；可消耗 1 个灵魂音符改为不造成伤害，但有 40% 概率缴械。</t>
  </si>
  <si>
    <t>亚音速护盾（管弦乐分支）</t>
  </si>
  <si>
    <t>15 灵魂音符·进阶技法</t>
  </si>
  <si>
    <t>生命交响曲</t>
  </si>
  <si>
    <t>持续演奏期间，所有己方每回合恢复 5 点生命值；若分支与无器演奏特性配合，还能获得全体护盾；可每回合消耗 1 个灵魂音符把治疗提升到 15、护盾提升到 20。</t>
  </si>
  <si>
    <t>持续演奏 / 可追加灵魂音符</t>
  </si>
  <si>
    <t>休止符</t>
  </si>
  <si>
    <t>使一名敌人在本回合的所有行动都改为慢速阶段释放；可消耗 1 个灵魂音符删除其 1 次行动机会。</t>
  </si>
  <si>
    <t>噪音区</t>
  </si>
  <si>
    <t>对敌方全体造成 1 点不可闪避的灵魂伤害；消耗 1 个灵魂音符后，伤害变成 1d2。</t>
  </si>
  <si>
    <t>BGM 领域！</t>
  </si>
  <si>
    <t>可以让你的 KP 播放你指定的任何曲目给所有 PL 听。</t>
  </si>
  <si>
    <t>200速</t>
  </si>
  <si>
    <t>五音裂魄</t>
  </si>
  <si>
    <t>依次演奏宫、商、角、徵、羽五音，每次造成 1 点灵魂伤害；五次全部成功时额外造成 5 点灵魂伤害；可消耗 1 个灵魂音符把 1 次失败改为成功。</t>
  </si>
  <si>
    <t>破阵曲</t>
  </si>
  <si>
    <t>对所有敌人造成一次 2d8 的音波攻击；每使用 1 个灵魂音符，攻击伤害增加 1d4，最多使用 3 个灵魂音符。</t>
  </si>
  <si>
    <t>最多 3 灵魂音符</t>
  </si>
  <si>
    <t>19 灵魂音符·终曲技法</t>
  </si>
  <si>
    <t>广陵止息</t>
  </si>
  <si>
    <t>借助古乐杀伐之音进行攻伐，造成 5d8 伤害；消耗 1 个灵魂音符后，可抹杀生命值低于 30% 的角色；管弦乐时伤害变为 7d8。</t>
  </si>
  <si>
    <t>编钟震岳</t>
  </si>
  <si>
    <t>造成群体 2d10 伤害并必定眩晕 1 回合；消耗 1 个灵魂音符后伤害翻倍；打击乐时伤害变为 3d10。</t>
  </si>
  <si>
    <t>幽怨埙言</t>
  </si>
  <si>
    <t>持续 1 回合，任何接近你的敌方都会受到恐惧效果；消耗 1 个灵魂音符后，可指定 1 名敌人必定恐惧；管弦乐时获得 10 点护盾。</t>
  </si>
  <si>
    <t>十面埋伏</t>
  </si>
  <si>
    <t>持续演奏期间，敌方至多 3 人每回合只能进行 1 次行动；强化后可改为让至多 1 人无法行动；打击乐时普通 / 强化目标数分别提升到 5 / 2。</t>
  </si>
  <si>
    <t>阳春白雪</t>
  </si>
  <si>
    <t>持续演奏期间，己方全体每回合恢复 20 点生命；消耗 1 个灵魂音符后，让己方本回合均获得 1 个奖励骰；管弦乐时恢复量额外 +10 且奖励骰再 +1。</t>
  </si>
  <si>
    <t>梅花三弄</t>
  </si>
  <si>
    <t>持续演奏期间，己方全体完全免疫飞行道具类攻击；消耗 1 个灵魂音符后，让己方每人本回合获得 1 次免疫伤害的机会；打击乐时敌方敏捷 -20。</t>
  </si>
  <si>
    <t>装备列表</t>
  </si>
  <si>
    <t>按防具、饰品、武器与功能装备整理；本人与随从装备/武器栏将关联此页。</t>
  </si>
  <si>
    <t>大类</t>
  </si>
  <si>
    <t>子类</t>
  </si>
  <si>
    <t>名称</t>
  </si>
  <si>
    <t>效果</t>
  </si>
  <si>
    <t>价格</t>
  </si>
  <si>
    <t>魔抗</t>
  </si>
  <si>
    <t>耐久</t>
  </si>
  <si>
    <t>需求</t>
  </si>
  <si>
    <t>伤害</t>
  </si>
  <si>
    <t>饰品</t>
  </si>
  <si>
    <t>大印</t>
  </si>
  <si>
    <t>万年寒玉印</t>
  </si>
  <si>
    <t>你的召唤物造成伤害为300%你自身造成伤害150%</t>
  </si>
  <si>
    <t>雷霆都司印</t>
  </si>
  <si>
    <t>你的造成的雷法伤害的10%的额外真实伤害</t>
  </si>
  <si>
    <t>灵宝大法司印</t>
  </si>
  <si>
    <t>你造成的术法伤害+5，你造成的伤害的20%转化为护盾，战斗结束后消失</t>
  </si>
  <si>
    <t>红莲火印</t>
  </si>
  <si>
    <t>你造成150%火法伤害，当你无论因为什么死亡，恢复全满状态（包括灵魂），然后印变为破损的红莲火印</t>
  </si>
  <si>
    <t>司辰挂印</t>
  </si>
  <si>
    <t>你的所有阵法效果翻倍，且在持续两回合后，后续不需要持续消耗法力</t>
  </si>
  <si>
    <t>五雷斩勘印</t>
  </si>
  <si>
    <t>你造成150%的雷法伤害</t>
  </si>
  <si>
    <t>金光抖银印</t>
  </si>
  <si>
    <t>你可以使用古币增幅技能，每一枚古币视为1点道力，消耗等量古币</t>
  </si>
  <si>
    <t>天挂水印</t>
  </si>
  <si>
    <t>你使用的符法术法有50%概率造成双倍效果</t>
  </si>
  <si>
    <t>斩妖缚邪印</t>
  </si>
  <si>
    <t>你的所有伤害增加5点金属性伤害，并且可以消耗5枚古币让单次伤害翻倍</t>
  </si>
  <si>
    <t>北极驱邪印</t>
  </si>
  <si>
    <t>你的小鬼伤害150%且你与鬼怪战斗时成功等级+1</t>
  </si>
  <si>
    <t>紫府丹鼎印</t>
  </si>
  <si>
    <t>你造成的所有伤害+10</t>
  </si>
  <si>
    <t>五岳真形印</t>
  </si>
  <si>
    <t>在你造成伤害后，你可以选择将印丢出镇压对方，被镇压的角色无法行动，对方需要判定体质和力量均成功才能逃脱</t>
  </si>
  <si>
    <t>铁麟印</t>
  </si>
  <si>
    <t>你在使用符法和术法的时候可以拿着这个印同时拍击敌人，造成2d10的物理伤害</t>
  </si>
  <si>
    <t>阴阳八卦印</t>
  </si>
  <si>
    <t>你的阵法准备回合-1每回合法力消耗-2</t>
  </si>
  <si>
    <t>九天玄女印</t>
  </si>
  <si>
    <t>你的魅力+20你造成的伤害+3你可以自由转变自身的性别</t>
  </si>
  <si>
    <t>幽冥印</t>
  </si>
  <si>
    <t>每天一次，让你的随从（召唤物）造成一次四倍伤害</t>
  </si>
  <si>
    <t>太乙救苦天尊印</t>
  </si>
  <si>
    <t>你每次使用术法符法阵法，你回复5点生命值</t>
  </si>
  <si>
    <t>玉皇敕命印</t>
  </si>
  <si>
    <t>每天一次，让你自己无条件造成一次必中且双倍伤害的攻击</t>
  </si>
  <si>
    <t>东极青华印</t>
  </si>
  <si>
    <t>你构建的护盾值翻三倍</t>
  </si>
  <si>
    <t>南极长生印</t>
  </si>
  <si>
    <t>当你受到致命伤害的时候，你获得一个10点的护盾，并且无视本次攻击，每天一次</t>
  </si>
  <si>
    <t>二十八宿印</t>
  </si>
  <si>
    <t>你每次术法攻击额外造成1d8的伤害</t>
  </si>
  <si>
    <t>雷击木印</t>
  </si>
  <si>
    <t>你的雷法伤害+5</t>
  </si>
  <si>
    <t>摄召亡魂印</t>
  </si>
  <si>
    <t>仅有一次，你可以强行征兆一位活着的生物签订不平等条约，让他变成小鬼，该生物不得高于你两个大等级</t>
  </si>
  <si>
    <t>禹步锁关印</t>
  </si>
  <si>
    <t>你每次造成伤害之后，会对对方造成一回合禁锢效果</t>
  </si>
  <si>
    <t>净明法主印</t>
  </si>
  <si>
    <t>你可以消耗自己的任何行动，清除自身一个负面效果</t>
  </si>
  <si>
    <t>桃木斩邪印</t>
  </si>
  <si>
    <t>符咒伤害+2</t>
  </si>
  <si>
    <t>青铜符咒印</t>
  </si>
  <si>
    <t>火属性伤害+3</t>
  </si>
  <si>
    <t>破损的红莲火印</t>
  </si>
  <si>
    <t>灼烧伤害+1</t>
  </si>
  <si>
    <t>朱砂丹鼎印</t>
  </si>
  <si>
    <t>你使用丹药的效果翻倍</t>
  </si>
  <si>
    <t>黑石镇煞印</t>
  </si>
  <si>
    <t>你对鬼怪生物造成的伤害+10</t>
  </si>
  <si>
    <t>黄铜法事印</t>
  </si>
  <si>
    <t>你的阵法效果+2</t>
  </si>
  <si>
    <t>灵竹清心印</t>
  </si>
  <si>
    <t>当你受到不大于2的灵魂伤害时，每六小时恢复1灵魂力</t>
  </si>
  <si>
    <t>净水去秽印</t>
  </si>
  <si>
    <t>每天抵挡一次受到的灵魂伤害</t>
  </si>
  <si>
    <t>白石守一印</t>
  </si>
  <si>
    <t>有且仅有三次，当你陷入灵魂衰竭的时候不进入debuff，使用完毕之后变成破瓦碎运印</t>
  </si>
  <si>
    <t>松纹剑令印</t>
  </si>
  <si>
    <t>你的剑伤害增加1d8</t>
  </si>
  <si>
    <t>阴煞反噬印</t>
  </si>
  <si>
    <t>你每次号令你的小鬼都要消耗1点生命值</t>
  </si>
  <si>
    <t>赤血催功印</t>
  </si>
  <si>
    <t>你可以消耗1点生命值换取1点法力值</t>
  </si>
  <si>
    <t>三枯三荣印</t>
  </si>
  <si>
    <t>在单数天造成伤害+2在双数天造成伤害-2</t>
  </si>
  <si>
    <t>折寿问天印</t>
  </si>
  <si>
    <t>你每天有10%无缘无故挨一下天谴</t>
  </si>
  <si>
    <t>五鬼搬运印</t>
  </si>
  <si>
    <t>你可以消耗5点灵魂让自己的攻击造成5点灵魂伤害</t>
  </si>
  <si>
    <t>裂魂分神印</t>
  </si>
  <si>
    <t>你受到的灵魂伤害+1</t>
  </si>
  <si>
    <t>防具</t>
  </si>
  <si>
    <t>胸甲（轻）</t>
  </si>
  <si>
    <t>飞云氅</t>
  </si>
  <si>
    <t>云隐：成功闪避攻击后，敏捷提升20持续两回合</t>
  </si>
  <si>
    <t>敏捷40</t>
  </si>
  <si>
    <t>蝉翼衫</t>
  </si>
  <si>
    <t>金蝉脱壳：当受到致命伤害时，免疫本次伤害并脱离战斗，一天一次</t>
  </si>
  <si>
    <t>敏捷20</t>
  </si>
  <si>
    <t>流风袍</t>
  </si>
  <si>
    <t>风息：当你攻击时获得一层流风，每层流风增加10闪避最多3层，持续本场战斗</t>
  </si>
  <si>
    <t>敏捷60</t>
  </si>
  <si>
    <t>竹影甲</t>
  </si>
  <si>
    <t>竹韧：生命低于一半的时候，获得一个等同于最大生命值30%的护盾</t>
  </si>
  <si>
    <t>敏捷50</t>
  </si>
  <si>
    <t>燕翎铠</t>
  </si>
  <si>
    <t>燕返：你的潜行技能增加20成功率</t>
  </si>
  <si>
    <t>敏捷80</t>
  </si>
  <si>
    <t>月华帔</t>
  </si>
  <si>
    <t>月凝：在有月亮的照耀下，你造成的伤害增加5点真实伤害</t>
  </si>
  <si>
    <t>霓裳羽衣</t>
  </si>
  <si>
    <t>虹舞：你的攻击附带50%魔抗数值的伤害</t>
  </si>
  <si>
    <t>龙绡软甲</t>
  </si>
  <si>
    <t>水御：在水中或雨天环境下，获得20%伤害减免，且每回合恢复2生命</t>
  </si>
  <si>
    <t>步光铠</t>
  </si>
  <si>
    <t>光逝：每进行5次行动，就可以额外获得一次主要行动或者次要行动</t>
  </si>
  <si>
    <t>敏捷45</t>
  </si>
  <si>
    <t>百草霜衣</t>
  </si>
  <si>
    <t>药香：你不会因为植物的毒性受伤</t>
  </si>
  <si>
    <t>纸鸢甲</t>
  </si>
  <si>
    <t>乘风：你免疫摔落伤害，且可以进行滑翔</t>
  </si>
  <si>
    <t>敏捷30</t>
  </si>
  <si>
    <t>松烟战袍</t>
  </si>
  <si>
    <t>烟遁：你可以主动脱离战斗，一天一次</t>
  </si>
  <si>
    <t>敏捷70</t>
  </si>
  <si>
    <t>镜花水月</t>
  </si>
  <si>
    <t>幻身：受到致命伤害后，会召唤一个具有嘲讽的幻象20生命值，你的生命视为1</t>
  </si>
  <si>
    <t>敏捷55</t>
  </si>
  <si>
    <t>柳叶绵甲</t>
  </si>
  <si>
    <t>柳拂：你受到的控制效果最多为一个回合阶段</t>
  </si>
  <si>
    <t>青萍履甲</t>
  </si>
  <si>
    <t>萍踪：你的行动不会留下踪迹</t>
  </si>
  <si>
    <t>敏捷75</t>
  </si>
  <si>
    <t>蝶舞护心</t>
  </si>
  <si>
    <t>心舞：当你受到灵魂伤害的时候，免疫它并且下次你的攻击造成同等灵魂伤害，一天一次</t>
  </si>
  <si>
    <t>千蝉丝甲</t>
  </si>
  <si>
    <t>千丝：你每次受到攻击都会获得1d3的护盾</t>
  </si>
  <si>
    <t>敏捷35</t>
  </si>
  <si>
    <t>浮光掠影</t>
  </si>
  <si>
    <t>惑光：在你完全不动的状态下，视为光学隐身</t>
  </si>
  <si>
    <t>雪狐裘甲</t>
  </si>
  <si>
    <t>霜刺：你的攻击对灼烧状态的敌人造成双倍伤害</t>
  </si>
  <si>
    <t>无尘道衣</t>
  </si>
  <si>
    <t>清静：自动抵挡三次负面效果，每日重制</t>
  </si>
  <si>
    <t>胸甲（重）</t>
  </si>
  <si>
    <t>不动明王铠</t>
  </si>
  <si>
    <t>明王身：每次战斗开始获得20护盾</t>
  </si>
  <si>
    <t>力量60</t>
  </si>
  <si>
    <t>玄武镇岳甲</t>
  </si>
  <si>
    <t>镇岳：当你的生命低于10%时，造成4倍伤害</t>
  </si>
  <si>
    <t>力量80</t>
  </si>
  <si>
    <t>龙鳞撼地铠</t>
  </si>
  <si>
    <t>龙傲：当你不穿着腿铠的时候，你的双抗+7</t>
  </si>
  <si>
    <t>力量50</t>
  </si>
  <si>
    <t>饕餮吞肩</t>
  </si>
  <si>
    <t>吞噬：当你击杀敌方，恢复1d10生命和法力</t>
  </si>
  <si>
    <t>山岳担肩</t>
  </si>
  <si>
    <t>担山：你的敏捷和闪避-40，你获得15双抗</t>
  </si>
  <si>
    <t>朱雀焚城甲</t>
  </si>
  <si>
    <t>焚城：你造成的所有火属性伤害视为群伤</t>
  </si>
  <si>
    <t>力量40</t>
  </si>
  <si>
    <t>麒麟踏云铠</t>
  </si>
  <si>
    <t>祥瑞：你每次战斗获得两个奖励骰</t>
  </si>
  <si>
    <t>刑天舞干戚</t>
  </si>
  <si>
    <t>战意：你的战斗每过去一回合，你获得2点全伤害加成</t>
  </si>
  <si>
    <t>夔牛震鼓铠</t>
  </si>
  <si>
    <t>震鼓：你的攻击造成30%眩晕效果</t>
  </si>
  <si>
    <t>力量55</t>
  </si>
  <si>
    <t>狴犴司狱甲</t>
  </si>
  <si>
    <t>囚牢：你可以把你和一名敌人关进囚牢，强迫其进行1v1</t>
  </si>
  <si>
    <t>力量70</t>
  </si>
  <si>
    <t>睚眦必报铠</t>
  </si>
  <si>
    <t>荆棘：你获得1d5的反伤</t>
  </si>
  <si>
    <t>赑屃负碑甲</t>
  </si>
  <si>
    <t>负碑：任何在你附近修习的朋友获得5点成功率</t>
  </si>
  <si>
    <t>力量65</t>
  </si>
  <si>
    <t>混沌玄甲</t>
  </si>
  <si>
    <t>混沌：当你穿上这身铠甲，你的战斗操作就不属于你自己了</t>
  </si>
  <si>
    <t>力量10</t>
  </si>
  <si>
    <t>穷奇掠空铠</t>
  </si>
  <si>
    <t>掠空：若对方浮空，则造成双倍伤害</t>
  </si>
  <si>
    <t>力量35</t>
  </si>
  <si>
    <t>烛龙衔炎甲</t>
  </si>
  <si>
    <t>晦明：在每次战斗开始选择一个属性，战斗中该属性伤害+5</t>
  </si>
  <si>
    <t>力量45</t>
  </si>
  <si>
    <t>白泽辟邪铠</t>
  </si>
  <si>
    <t>召唤单位无法对你造成任何伤害</t>
  </si>
  <si>
    <t>毕方雳天甲</t>
  </si>
  <si>
    <t>闪电：你造成的雷属性伤害额外增加一次2d8的雷伤</t>
  </si>
  <si>
    <t>重玄铁浮屠</t>
  </si>
  <si>
    <t>铁壁：你增加你护甲50%数值的伤害</t>
  </si>
  <si>
    <t>陨星千钧甲</t>
  </si>
  <si>
    <t>千钧：一天一次，你造成的伤害增加你已经损失的生命值，持续一回合</t>
  </si>
  <si>
    <t>玄甲·苍云</t>
  </si>
  <si>
    <t>苍云阵：你受到的伤害翻倍，你和你的队友获得20%概率不受到伤害</t>
  </si>
  <si>
    <t>力量75</t>
  </si>
  <si>
    <t>头盔</t>
  </si>
  <si>
    <t>龙首兜鍪</t>
  </si>
  <si>
    <t>龙威：敌方在攻击的时候有20%概率恐惧</t>
  </si>
  <si>
    <t>智力30</t>
  </si>
  <si>
    <t>凤翅盔</t>
  </si>
  <si>
    <t>涅槃：受到致命伤害的时候，摧毁这件装备并且满血复活</t>
  </si>
  <si>
    <t>智力50</t>
  </si>
  <si>
    <t>七星额子</t>
  </si>
  <si>
    <t>星佑：每天一次，抵挡一次灵魂伤害</t>
  </si>
  <si>
    <t>智力80</t>
  </si>
  <si>
    <t>朱雀冠</t>
  </si>
  <si>
    <t>离火：造成的灼烧伤害+3</t>
  </si>
  <si>
    <t>智力60</t>
  </si>
  <si>
    <t>白虎盔</t>
  </si>
  <si>
    <t>煞气：你的攻击可以直接斩杀生命值低于10%的敌人</t>
  </si>
  <si>
    <t>智力40</t>
  </si>
  <si>
    <t>玄武盔</t>
  </si>
  <si>
    <t>灵壳：你的护甲和魔抗视为同一个数值</t>
  </si>
  <si>
    <t>智力10</t>
  </si>
  <si>
    <t>麒麟盔</t>
  </si>
  <si>
    <t>祥瑞：你每次战斗获得一个奖励骰</t>
  </si>
  <si>
    <t>狻猊盔</t>
  </si>
  <si>
    <t>吞烟：免疫所有相关移动的debuff</t>
  </si>
  <si>
    <t>饕餮盔</t>
  </si>
  <si>
    <t>吞噬：当你击杀敌方的时候，10%概率恢复1点灵魂</t>
  </si>
  <si>
    <t>穷奇盔</t>
  </si>
  <si>
    <t>恶念：你的攻击有30%再次攻击</t>
  </si>
  <si>
    <t>混沌盔</t>
  </si>
  <si>
    <t>混沌：有些铠甲是成套的对吧</t>
  </si>
  <si>
    <t>智力45</t>
  </si>
  <si>
    <t>梼杌盔</t>
  </si>
  <si>
    <t>顽固：造成的控制效果增加一回合</t>
  </si>
  <si>
    <t>智力55</t>
  </si>
  <si>
    <t>毕方盔</t>
  </si>
  <si>
    <t>焚风：你可以免疫40以下的任何火焰伤害</t>
  </si>
  <si>
    <t>白泽盔</t>
  </si>
  <si>
    <t>通明：你修习的成功率+10</t>
  </si>
  <si>
    <t>智力70</t>
  </si>
  <si>
    <t>飞廉盔</t>
  </si>
  <si>
    <t>风行：增加20敏捷</t>
  </si>
  <si>
    <t>刑天盔</t>
  </si>
  <si>
    <t>战魂：你每战斗一回合，你的护甲和魔抗+1</t>
  </si>
  <si>
    <t>山文盔</t>
  </si>
  <si>
    <t>山岳：你受到的正面伤害减少30%</t>
  </si>
  <si>
    <t>镜面盔</t>
  </si>
  <si>
    <t>反射：你受到的法术伤害20%概率反射回去</t>
  </si>
  <si>
    <t>笠铁盔</t>
  </si>
  <si>
    <t>鱼钓：你绝对不会空军！</t>
  </si>
  <si>
    <t>金瓯冠</t>
  </si>
  <si>
    <t>永固：提升所有队友双抗5点</t>
  </si>
  <si>
    <t>腿甲</t>
  </si>
  <si>
    <t>岳峙胫甲</t>
  </si>
  <si>
    <t>山稳：你不会被击退击飞击倒</t>
  </si>
  <si>
    <t>移动50</t>
  </si>
  <si>
    <t>风行绑腿</t>
  </si>
  <si>
    <t>疾走：你的移动力+20</t>
  </si>
  <si>
    <t>玄武腿缚</t>
  </si>
  <si>
    <t>水御：在水中或者雨重作战，护甲+20</t>
  </si>
  <si>
    <t>移动40</t>
  </si>
  <si>
    <t>登云靴甲</t>
  </si>
  <si>
    <t>云踏：二段跳</t>
  </si>
  <si>
    <t>移动60</t>
  </si>
  <si>
    <t>混沌腿铠</t>
  </si>
  <si>
    <t>混沌：这玩意当然是整套的</t>
  </si>
  <si>
    <t>移动25</t>
  </si>
  <si>
    <t>石犀护腿</t>
  </si>
  <si>
    <t>犀拒：非boss和精英敌人对你造成的伤害减半</t>
  </si>
  <si>
    <t>灵鹤胫甲</t>
  </si>
  <si>
    <t>鹤舞：你可以本回合不改变技能速度，换取一次主要行动</t>
  </si>
  <si>
    <t>移动30</t>
  </si>
  <si>
    <t>虎胫护膝</t>
  </si>
  <si>
    <t>虎跃：每次战斗一次，你可以不用消耗行动扑击一次50米内敌人</t>
  </si>
  <si>
    <t>磐石腿甲</t>
  </si>
  <si>
    <t>磐石：你的总护甲视为原本值得二倍</t>
  </si>
  <si>
    <t>追月胫甲</t>
  </si>
  <si>
    <t>逐月：你的敏捷视为100</t>
  </si>
  <si>
    <t>夔牛战靴</t>
  </si>
  <si>
    <t>战鼓：你每进行三回合行动，你和你的队友获得一次额外得次要行动</t>
  </si>
  <si>
    <t>移动65</t>
  </si>
  <si>
    <t>金乌飞羽</t>
  </si>
  <si>
    <t>日炎：你对靠近你的敌人造成每回合3点得火焰伤害</t>
  </si>
  <si>
    <t>蝉影护胫</t>
  </si>
  <si>
    <t>蝉蜕：当你受到控制效果得时候，解除控制效果并且召唤一个1点生命具有嘲讽得幻影</t>
  </si>
  <si>
    <t>移动75</t>
  </si>
  <si>
    <t>贪狼腿铠</t>
  </si>
  <si>
    <t>贪狼：全伤害+3</t>
  </si>
  <si>
    <t>移动55</t>
  </si>
  <si>
    <t>墨家机关胫</t>
  </si>
  <si>
    <t>附带抓钩：你可以在任何平面上行走</t>
  </si>
  <si>
    <t>烛龙胫甲</t>
  </si>
  <si>
    <t>阴影：你在潜行状态下造成得攻击伤害翻倍</t>
  </si>
  <si>
    <t>移动70</t>
  </si>
  <si>
    <t>不动尊护膝</t>
  </si>
  <si>
    <t>不动：当你得生命值低于50%时获得20双抗</t>
  </si>
  <si>
    <t>移动35</t>
  </si>
  <si>
    <t>八卦阵图腿甲</t>
  </si>
  <si>
    <t>八卦：50%不受到伤害（必中除外）</t>
  </si>
  <si>
    <t>移动80</t>
  </si>
  <si>
    <t>同心环</t>
  </si>
  <si>
    <t>你与其他佩戴同心环得队友共享收到的伤害</t>
  </si>
  <si>
    <t>魅力60</t>
  </si>
  <si>
    <t>相思红豆</t>
  </si>
  <si>
    <t>如果你与另一个人互为情侣，则你二人获得30%伤害提升</t>
  </si>
  <si>
    <t>魅力70</t>
  </si>
  <si>
    <t>步摇金钗</t>
  </si>
  <si>
    <t>你每一次攻击会留下一道流光印记，敌方对你进行行动时，流光印记造成5点伤害</t>
  </si>
  <si>
    <t>魅力50</t>
  </si>
  <si>
    <t>君子玉玦</t>
  </si>
  <si>
    <t>增加20法力值</t>
  </si>
  <si>
    <t>魅力30</t>
  </si>
  <si>
    <t>玲珑骰子</t>
  </si>
  <si>
    <t>你有10%概率完全抵挡一次攻击</t>
  </si>
  <si>
    <t>安息香囊</t>
  </si>
  <si>
    <t>每次战斗一次，接触一个负面效果</t>
  </si>
  <si>
    <t>七宝璎珞</t>
  </si>
  <si>
    <t>每次战斗开始获得10点护盾</t>
  </si>
  <si>
    <t>魅力40</t>
  </si>
  <si>
    <t>青铜纵目</t>
  </si>
  <si>
    <t>你可以完全抵挡不高于1点得灵魂伤害</t>
  </si>
  <si>
    <t>朱雀翎</t>
  </si>
  <si>
    <t>你造成伤害后敌方获得“灼羽”效果，受到得火焰伤害+20%</t>
  </si>
  <si>
    <t>魅力35</t>
  </si>
  <si>
    <t>玄武甲片</t>
  </si>
  <si>
    <t>当你受到debuff时获得5点双抗</t>
  </si>
  <si>
    <t>魅力45</t>
  </si>
  <si>
    <t>青龙逆鳞</t>
  </si>
  <si>
    <t>当你单次受到超过生命值50%伤害，你释放一次强大得冲击波，造成3d10得伤害并击飞对手</t>
  </si>
  <si>
    <t>白虎牙饰</t>
  </si>
  <si>
    <t>你造成得伤害+2</t>
  </si>
  <si>
    <t>望舒簪</t>
  </si>
  <si>
    <t>你的炼药成功率+10</t>
  </si>
  <si>
    <t>魅力55</t>
  </si>
  <si>
    <t>羲和璧</t>
  </si>
  <si>
    <t>你的修习成功率+5</t>
  </si>
  <si>
    <t>魅力75</t>
  </si>
  <si>
    <t>捆仙绳</t>
  </si>
  <si>
    <t>如果你使用技能让敌方无法移动，则他受到得伤害+50%</t>
  </si>
  <si>
    <t>魅力65</t>
  </si>
  <si>
    <t>赶山鞭</t>
  </si>
  <si>
    <t>你可以不费吹灰之力拆掉各种建筑</t>
  </si>
  <si>
    <t>魅力10</t>
  </si>
  <si>
    <t>孟婆铃</t>
  </si>
  <si>
    <t>你的攻击有10%概率让敌方忘记自己是来干嘛的</t>
  </si>
  <si>
    <t>判官笔</t>
  </si>
  <si>
    <t>你的攻击会标记敌人，让其受到得下一次伤害翻倍</t>
  </si>
  <si>
    <t>生死簿</t>
  </si>
  <si>
    <t>当你击败一名敌人得时候，获得全伤害提升+1双抗+1持续3天</t>
  </si>
  <si>
    <t>风伯袋</t>
  </si>
  <si>
    <t>你的移动敏捷+10</t>
  </si>
  <si>
    <t>雷公凿</t>
  </si>
  <si>
    <t>当你造成暴击得时候，你的暴击伤害增加50%</t>
  </si>
  <si>
    <t>雨师笠</t>
  </si>
  <si>
    <t>在水中或者雨天得时候，你的闪避+30</t>
  </si>
  <si>
    <t>云母屏</t>
  </si>
  <si>
    <t>当你双足立于大地之上不移动得时候，你的双抗+10</t>
  </si>
  <si>
    <t>蜃楼珠</t>
  </si>
  <si>
    <t>你的攻击有30%概率造成失明</t>
  </si>
  <si>
    <t>绕梁琴</t>
  </si>
  <si>
    <t>啊哈！你无师自通了一门乐器</t>
  </si>
  <si>
    <t>洛神坠</t>
  </si>
  <si>
    <t>你的魅力+30</t>
  </si>
  <si>
    <t>和氏璧</t>
  </si>
  <si>
    <t>你的销售额+30%</t>
  </si>
  <si>
    <t>镇魂钉</t>
  </si>
  <si>
    <t>你的攻击对亡灵造成100%得禁锢</t>
  </si>
  <si>
    <t>八卦镜</t>
  </si>
  <si>
    <t>我一眼就看出来你不是人！可以知晓一名敌人得一个属性（生命，技能成功率，某个技能介绍）</t>
  </si>
  <si>
    <t>岐山挂饰</t>
  </si>
  <si>
    <t>你无视山石，森林，水泽地形</t>
  </si>
  <si>
    <t>长剑</t>
  </si>
  <si>
    <t>青萍剑</t>
  </si>
  <si>
    <t>道韵：每次普攻命中敌人，增加自己20敏捷一回合</t>
  </si>
  <si>
    <t>2d8</t>
  </si>
  <si>
    <t>斩妖剑</t>
  </si>
  <si>
    <t>敕令：对亡灵生物伤害翻倍</t>
  </si>
  <si>
    <t>1d8+1d4</t>
  </si>
  <si>
    <t>破邪：手持该剑可以看见平常看不见得鬼怪</t>
  </si>
  <si>
    <t>1d8</t>
  </si>
  <si>
    <t>七星龙渊剑</t>
  </si>
  <si>
    <t>每七次攻击后，额外造成一次七次攻击伤害综合得伤害</t>
  </si>
  <si>
    <t>松纹古铜剑</t>
  </si>
  <si>
    <t>养炁：每次击败一个单位就可以恢复1d5法力值</t>
  </si>
  <si>
    <t>水火锋</t>
  </si>
  <si>
    <t>淬炼：当造成火焰伤害得时候，额外造成一个同等数值得水属性伤害</t>
  </si>
  <si>
    <t>1d8+4</t>
  </si>
  <si>
    <t>三宝玉如意</t>
  </si>
  <si>
    <t>三宝：持有此剑，每次进行攻击恢复1d10生命</t>
  </si>
  <si>
    <t>1d4</t>
  </si>
  <si>
    <t>太极两仪剑</t>
  </si>
  <si>
    <t>两仪：当你造成魔法伤害时，造成一次等额物理伤害，当你造成物理伤害时，造成一次等额魔法伤害</t>
  </si>
  <si>
    <t>3d8</t>
  </si>
  <si>
    <t>金光剑</t>
  </si>
  <si>
    <t>造成得法术伤害+5</t>
  </si>
  <si>
    <t>2d8+4</t>
  </si>
  <si>
    <t>五明降魔扇</t>
  </si>
  <si>
    <t>造成的伤害至多传递给其他两名敌人</t>
  </si>
  <si>
    <t>阵旗</t>
  </si>
  <si>
    <t>八卦阵旗</t>
  </si>
  <si>
    <t>可以附着8个阵法</t>
  </si>
  <si>
    <t>阵旗没有价格，仅可以随机获取</t>
  </si>
  <si>
    <t>阵旗没有价格的项目保留原表说明</t>
  </si>
  <si>
    <t>星斗阵旗</t>
  </si>
  <si>
    <t>可以附着一个阵法，同时阵法伤害增加1d8</t>
  </si>
  <si>
    <t>1d10</t>
  </si>
  <si>
    <t>四象阵旗</t>
  </si>
  <si>
    <t>可以附着一个阵法随机获得青龙（提升伤害3点）、朱雀（提升移动10）、白虎（提升双抗穿透5）、玄武（提升双抗10点）效果一次战斗只能获得一个效果</t>
  </si>
  <si>
    <t>六合阵旗</t>
  </si>
  <si>
    <t>可以附着两个阵法，你没有死亡敌方无法从阵法里出来</t>
  </si>
  <si>
    <t>九宫阵旗</t>
  </si>
  <si>
    <t>可以附着三个阵法，阵法消耗-3</t>
  </si>
  <si>
    <t>太乙阵旗</t>
  </si>
  <si>
    <t>可以附着三个阵法，你可以消耗阵旗中的一个阵法为一名友方恢复10生命</t>
  </si>
  <si>
    <t>奇门遁甲旗</t>
  </si>
  <si>
    <t>可以附着一个阵法，当你攻击命中敌人，可以立即给予一名友方一次次要行动使用速攻技能的机会</t>
  </si>
  <si>
    <t>万兽阵旗</t>
  </si>
  <si>
    <t>可以附着两个阵法，被攻击的敌方会50%眩晕</t>
  </si>
  <si>
    <t>寒冰阵旗</t>
  </si>
  <si>
    <t>可以附着三个阵法：被攻击的敌人无法闪避</t>
  </si>
  <si>
    <t>2d10</t>
  </si>
  <si>
    <t>雷池阵旗</t>
  </si>
  <si>
    <t>可以附着三个阵法，雷电伤害翻倍</t>
  </si>
  <si>
    <t>2d10雷电</t>
  </si>
  <si>
    <t>长枪</t>
  </si>
  <si>
    <t>弑神戟</t>
  </si>
  <si>
    <t>30%概率造成敌方30%最大生命值的真实伤害</t>
  </si>
  <si>
    <t>5d8</t>
  </si>
  <si>
    <t>天帝旌旗</t>
  </si>
  <si>
    <t>持有时提高我方全属性5点</t>
  </si>
  <si>
    <t>混沌开天矛</t>
  </si>
  <si>
    <t>每次攻击视为三次普通攻击</t>
  </si>
  <si>
    <t>万龙祖鳞枪</t>
  </si>
  <si>
    <t>持有时获得同等与血量的护盾</t>
  </si>
  <si>
    <t>轩辕夏禹枪</t>
  </si>
  <si>
    <t>对非人生物造成200%伤害</t>
  </si>
  <si>
    <t>龙胆亮银枪</t>
  </si>
  <si>
    <t>每面对一个敌方伤害增加10%</t>
  </si>
  <si>
    <t>4d8</t>
  </si>
  <si>
    <t>虎头湛金枪</t>
  </si>
  <si>
    <t>有50%概率眩晕敌方</t>
  </si>
  <si>
    <t>沥泉枪</t>
  </si>
  <si>
    <t>每次攻击增加4点伤害，直到受到伤害重制</t>
  </si>
  <si>
    <t>梅花亮银枪</t>
  </si>
  <si>
    <t>攻击扩散至其他至多两名敌方</t>
  </si>
  <si>
    <t>神威烈水枪</t>
  </si>
  <si>
    <t>每场战斗一次，攻击命中可以击碎一件护甲</t>
  </si>
  <si>
    <t>蟠龙枪</t>
  </si>
  <si>
    <t>使用技能后，下一次普攻翻倍</t>
  </si>
  <si>
    <t>穿云枪</t>
  </si>
  <si>
    <t>你的攻击距离增加20米</t>
  </si>
  <si>
    <t>梨花枪</t>
  </si>
  <si>
    <t>你的回合增加一次次要行动</t>
  </si>
  <si>
    <t>钩镰枪</t>
  </si>
  <si>
    <t>命中时10%概率缴械</t>
  </si>
  <si>
    <t>雁翎枪</t>
  </si>
  <si>
    <t>击败敌人时恢复1d5生命</t>
  </si>
  <si>
    <t>素缨枪</t>
  </si>
  <si>
    <t>伤害+2</t>
  </si>
  <si>
    <t>黑铁枪</t>
  </si>
  <si>
    <t>对倒地伤害+4</t>
  </si>
  <si>
    <t>白蜡杆</t>
  </si>
  <si>
    <t>对空伤害+4</t>
  </si>
  <si>
    <t>红缨枪</t>
  </si>
  <si>
    <t>枪花效果延长一回合</t>
  </si>
  <si>
    <t>制式长枪</t>
  </si>
  <si>
    <t>不是所有的玩意都有效果</t>
  </si>
  <si>
    <t>饮血噬魂枪</t>
  </si>
  <si>
    <t>20%吸血，受到的伤害增加50%</t>
  </si>
  <si>
    <t>碎星陨铁枪</t>
  </si>
  <si>
    <t>造成双倍伤害，但自身行动仅有主要行动</t>
  </si>
  <si>
    <t>七杀破军戟</t>
  </si>
  <si>
    <t>50%暴击，每次暴击受到1d5伤害</t>
  </si>
  <si>
    <t>怨灵白骨枪</t>
  </si>
  <si>
    <t>造成魔法伤害，但命中降低10%</t>
  </si>
  <si>
    <t>逆鳞戟</t>
  </si>
  <si>
    <t>当生命只有1的时候造成8倍伤害，战斗后武器损毁</t>
  </si>
  <si>
    <t>朽木枪</t>
  </si>
  <si>
    <t>每次攻击有10%概率坏掉</t>
  </si>
  <si>
    <t>诅咒之矛</t>
  </si>
  <si>
    <t>每回合受到1点生命值伤害</t>
  </si>
  <si>
    <t>厄运缠身戟</t>
  </si>
  <si>
    <t>你的所有行动均为劣势</t>
  </si>
  <si>
    <t>离心离德枪</t>
  </si>
  <si>
    <t>你的友方属性降低5点</t>
  </si>
  <si>
    <t>噬主凶刃</t>
  </si>
  <si>
    <t>攻击有30%概率打向自己</t>
  </si>
  <si>
    <t>拳套</t>
  </si>
  <si>
    <t>乾坤一气腕</t>
  </si>
  <si>
    <t>你的生命值和法力可以互相转化</t>
  </si>
  <si>
    <t>5d6</t>
  </si>
  <si>
    <t>女娲补天手</t>
  </si>
  <si>
    <t>你可以普通攻击队友，恢复其造成伤害的生命，无法攻击自己</t>
  </si>
  <si>
    <t>昊天上帝拳</t>
  </si>
  <si>
    <t>你的每一次攻击都有10%打出天谴</t>
  </si>
  <si>
    <t>盘古开天臂</t>
  </si>
  <si>
    <t>你的普通攻击有5%概率秒杀对方</t>
  </si>
  <si>
    <t>东皇太一钟</t>
  </si>
  <si>
    <t>你可以把任意数量的敌人和队友拉入绝对禁域，来形成你希望的战场</t>
  </si>
  <si>
    <t>八极震山靠</t>
  </si>
  <si>
    <t>你的攻击必定造成一回合眩晕</t>
  </si>
  <si>
    <t>4d6</t>
  </si>
  <si>
    <t>太极两仪环</t>
  </si>
  <si>
    <t>你可以在反击的时候选择将对方的伤害还给对方，四两拨千斤</t>
  </si>
  <si>
    <t>降龙十八掌</t>
  </si>
  <si>
    <t>你的攻击距离+10米，你的攻击伤害+5，并且无法闪避</t>
  </si>
  <si>
    <t>风云手甲</t>
  </si>
  <si>
    <t>你的双抗+15</t>
  </si>
  <si>
    <t>金乌焚天爪</t>
  </si>
  <si>
    <t>你的火属性伤害翻倍</t>
  </si>
  <si>
    <t>点穴判官笔</t>
  </si>
  <si>
    <t>你的普攻造成截脉效果</t>
  </si>
  <si>
    <t>3d6</t>
  </si>
  <si>
    <t>缠丝擒拿手</t>
  </si>
  <si>
    <t>你可以擒拿一名敌方，擒拿三回合整视为对方无力反抗（扭断筋骨但活着）</t>
  </si>
  <si>
    <t>金钟罩铁布衫</t>
  </si>
  <si>
    <t>那你的双抗+10</t>
  </si>
  <si>
    <t>燕子抄水</t>
  </si>
  <si>
    <t>你的敏捷和闪避+30</t>
  </si>
  <si>
    <t>螳螂双刀腕</t>
  </si>
  <si>
    <t>你的每次攻击都有30%概率再打一次</t>
  </si>
  <si>
    <t>牛皮护腕</t>
  </si>
  <si>
    <t>获得10点生命值</t>
  </si>
  <si>
    <t>精铁拳扣</t>
  </si>
  <si>
    <t>获得2点穿甲</t>
  </si>
  <si>
    <t>布艺绑手</t>
  </si>
  <si>
    <t>每次战斗一次，你可以随时在任意攻击后再攻击一次</t>
  </si>
  <si>
    <t>竹片护臂</t>
  </si>
  <si>
    <t>闪避+10</t>
  </si>
  <si>
    <t>麻绳拳套</t>
  </si>
  <si>
    <t>这玩意没效果</t>
  </si>
  <si>
    <t>七伤拳套</t>
  </si>
  <si>
    <t>伤害+5，受到你造成伤害20%的伤害</t>
  </si>
  <si>
    <t>1d6</t>
  </si>
  <si>
    <t>血噬护腕</t>
  </si>
  <si>
    <t>装备时法力值视为0，获得50%吸血</t>
  </si>
  <si>
    <t>逆经手甲</t>
  </si>
  <si>
    <t>造成三倍伤害，但你只有主要阶段，且受到伤害翻倍</t>
  </si>
  <si>
    <t>怨憎丝</t>
  </si>
  <si>
    <t>攻击造成额外一点灵魂伤害，自己受到一点灵魂伤害</t>
  </si>
  <si>
    <t>天魔解体带</t>
  </si>
  <si>
    <t>自爆造成20d20伤害，无法复活</t>
  </si>
  <si>
    <t>朽木护腕</t>
  </si>
  <si>
    <t>10%损坏</t>
  </si>
  <si>
    <t>漏气皮囊</t>
  </si>
  <si>
    <t>你的生命上限-10</t>
  </si>
  <si>
    <t>失衡铁块</t>
  </si>
  <si>
    <t>你无法闪避</t>
  </si>
  <si>
    <t>离心镣铐</t>
  </si>
  <si>
    <t>你的命中等级-1</t>
  </si>
  <si>
    <t>诅咒绷带</t>
  </si>
  <si>
    <t>你的所有行动拥有惩罚骰</t>
  </si>
  <si>
    <t>功能装备</t>
  </si>
  <si>
    <t>祭坛</t>
  </si>
  <si>
    <t>混沌祭坛</t>
  </si>
  <si>
    <t>攻击时造成对方护甲+魔抗的额外伤害</t>
  </si>
  <si>
    <t>太极祭坛</t>
  </si>
  <si>
    <t>被攻击的敌人获得阴阳属性，受到的所有伤害+50%</t>
  </si>
  <si>
    <t>五行祭坛</t>
  </si>
  <si>
    <t>五行之理，让你附魔的武器拥有5点真实伤害</t>
  </si>
  <si>
    <t>星辰祭坛</t>
  </si>
  <si>
    <t>每次攻击会有一个2d8伤害的小行星坠落</t>
  </si>
  <si>
    <t>轮回祭坛</t>
  </si>
  <si>
    <t>持有附魔武器的角色生命增加20法力增加5</t>
  </si>
  <si>
    <t>九天玄火坛</t>
  </si>
  <si>
    <t>获得玄火属性，在攻击后，武器会自动造成一次2倍攻击伤害的火属性攻击</t>
  </si>
  <si>
    <t>九幽寒冰坛</t>
  </si>
  <si>
    <t>获得玄冰属性，攻击必定造成冻结，对方无法行动一回合</t>
  </si>
  <si>
    <t>庚金锐气坛</t>
  </si>
  <si>
    <t>获得庚金属性，完全破甲破魔抗，并造成额外10点金属性伤害</t>
  </si>
  <si>
    <t>乙木生机坛</t>
  </si>
  <si>
    <t>获得乙木属性，每回合恢复1d10生命</t>
  </si>
  <si>
    <t>戊土厚重坛</t>
  </si>
  <si>
    <t>获得戊土属性，每回合获得5点护盾，可以叠加</t>
  </si>
  <si>
    <t>离火阵坛</t>
  </si>
  <si>
    <t>获得离火属性，在攻击后，武器会自动造成一次一倍攻击伤害的火属性攻击</t>
  </si>
  <si>
    <t>坎水阵坛</t>
  </si>
  <si>
    <t>获得坎水属性，命中敌人后降低敌人20敏捷闪避一回合</t>
  </si>
  <si>
    <t>震雷阵坛</t>
  </si>
  <si>
    <t>获得震雷属性，武器会造成连锁闪电，对至多3人造成伤害</t>
  </si>
  <si>
    <t>巽风阵坛</t>
  </si>
  <si>
    <t>获得巽风属性，敏捷和闪避+20</t>
  </si>
  <si>
    <t>诛邪阵坛</t>
  </si>
  <si>
    <t>对亡灵生物伤害翻倍</t>
  </si>
  <si>
    <t>烈焰祭坛</t>
  </si>
  <si>
    <t>火附魔效果+3</t>
  </si>
  <si>
    <t>冰霜祭坛</t>
  </si>
  <si>
    <t>水附魔效果+3</t>
  </si>
  <si>
    <t>雷电祭坛</t>
  </si>
  <si>
    <t>武器获得5点雷附魔</t>
  </si>
  <si>
    <t>剧毒祭坛</t>
  </si>
  <si>
    <t>武器获得毒属性，每回合对对方造成1d3伤害，持续三回合不可叠加</t>
  </si>
  <si>
    <t>圣光祭坛</t>
  </si>
  <si>
    <t>附魔效果+2</t>
  </si>
  <si>
    <t>血祭之坛</t>
  </si>
  <si>
    <t>消耗20生命值才能附魔，附魔武器获得10%吸血</t>
  </si>
  <si>
    <t>魂噬之坛</t>
  </si>
  <si>
    <t>消耗5点灵魂值才能附魔，附魔武器获得50%造成1点灵魂伤害的效果</t>
  </si>
  <si>
    <t>手环</t>
  </si>
  <si>
    <t>击倒手环</t>
  </si>
  <si>
    <t>你的攻击必定击倒敌人，无论任何情况下</t>
  </si>
  <si>
    <t>现实覆写器</t>
  </si>
  <si>
    <t>在一立方米空间内改变这里的物理法则</t>
  </si>
  <si>
    <t>存在置换手环</t>
  </si>
  <si>
    <t>你可以于视野里的人交换位置</t>
  </si>
  <si>
    <t>时间锚点</t>
  </si>
  <si>
    <t>设置一个锚点，持续十秒（一回合），十秒后你回到十秒前的状态</t>
  </si>
  <si>
    <t>创世者蓝图</t>
  </si>
  <si>
    <t>当你持有这个手环的时候，你的巫术等阶+30</t>
  </si>
  <si>
    <t>进化手环</t>
  </si>
  <si>
    <t>你可以让任何的人变成动物化状态，比如猫娘，不会影响基础属性，纯乐子</t>
  </si>
  <si>
    <t>神话手环</t>
  </si>
  <si>
    <t>你可以通解你看到的任何神话生物</t>
  </si>
  <si>
    <t>性别流转之环</t>
  </si>
  <si>
    <t>改变自己或者他人的性别</t>
  </si>
  <si>
    <t>种族变迁手环</t>
  </si>
  <si>
    <t>改变自己或者他人的种族</t>
  </si>
  <si>
    <t>灵魂缝纫手环</t>
  </si>
  <si>
    <t>让两个人共感</t>
  </si>
  <si>
    <t>薛定谔的猫手环</t>
  </si>
  <si>
    <t>你造成的伤害增加1-20即时骰点决定</t>
  </si>
  <si>
    <t>龙纹墨玉镯</t>
  </si>
  <si>
    <t>免疫震慑和恐惧效果</t>
  </si>
  <si>
    <t>镜花水月手环</t>
  </si>
  <si>
    <t>创造一个你的幻像，拥有30生命和物理接触，但是没有战斗能力</t>
  </si>
  <si>
    <t>情绪染色手环</t>
  </si>
  <si>
    <t>你可以将自己的情绪传递给其他人，强制改变他人情绪</t>
  </si>
  <si>
    <t>概率扭曲手环</t>
  </si>
  <si>
    <t>你可以让一个人的所有概率性（眩晕秒杀等buff）强制增加50%成功率</t>
  </si>
  <si>
    <t>美食家手环</t>
  </si>
  <si>
    <t>你可以把一些非食物的东西变成食物的样子，但不具有食物的营养</t>
  </si>
  <si>
    <t>万物拟猫手环</t>
  </si>
  <si>
    <t>给我变猫娘吧！</t>
  </si>
  <si>
    <t>语言通晓手环</t>
  </si>
  <si>
    <t>你可以懂得所有语言包括动物</t>
  </si>
  <si>
    <t>生长加速手环</t>
  </si>
  <si>
    <t>你可以让植物加速生长</t>
  </si>
  <si>
    <t>色彩汲取手环</t>
  </si>
  <si>
    <t>你可以改变体表颜色</t>
  </si>
  <si>
    <t>随机变形手环</t>
  </si>
  <si>
    <t>你每天会随机变形成某种生物一小时</t>
  </si>
  <si>
    <t>厄运传播手环</t>
  </si>
  <si>
    <t>你可以让你自己无限制的获得奖励骰，代价是一个队友自愿获得惩罚骰</t>
  </si>
  <si>
    <t>吊坠</t>
  </si>
  <si>
    <t>娲皇补天石</t>
  </si>
  <si>
    <t>一天一次，给予友方一个无法被击破的护盾，持续三回合</t>
  </si>
  <si>
    <t>东皇钟坠</t>
  </si>
  <si>
    <t>护盾强效增加30</t>
  </si>
  <si>
    <t>太极图坠</t>
  </si>
  <si>
    <t>护盾持续期间，每回合恢复1d5的生命和法力</t>
  </si>
  <si>
    <t>诸天庆云坠</t>
  </si>
  <si>
    <t>无敌的法术护盾，但没有任何物理防御</t>
  </si>
  <si>
    <t>昊天镜坠</t>
  </si>
  <si>
    <t>护盾破裂时造成护盾总值二倍伤害</t>
  </si>
  <si>
    <t>五方旗坠</t>
  </si>
  <si>
    <t>可以同时给五个队友上护盾</t>
  </si>
  <si>
    <t>四海瓶坠</t>
  </si>
  <si>
    <t>护盾每回合恢复10点护盾值</t>
  </si>
  <si>
    <t>清净琉璃坠</t>
  </si>
  <si>
    <t>持有护盾时无法获得debuff</t>
  </si>
  <si>
    <t>风火轮坠</t>
  </si>
  <si>
    <t>持有护盾时风火属性伤害+10</t>
  </si>
  <si>
    <t>金刚琢坠</t>
  </si>
  <si>
    <t>免疫远程伤害</t>
  </si>
  <si>
    <t>八卦护心镜</t>
  </si>
  <si>
    <t>护盾可以抵挡3一下的灵魂伤害</t>
  </si>
  <si>
    <t>乙木长生坠</t>
  </si>
  <si>
    <t>护盾持续期间，每回合恢复1d5生命</t>
  </si>
  <si>
    <t>戊土麒麟坠</t>
  </si>
  <si>
    <t>护盾持续期间可以使用两个奖励骰</t>
  </si>
  <si>
    <t>庚金白虎坠</t>
  </si>
  <si>
    <t>护盾持续期间伤害+3</t>
  </si>
  <si>
    <t>玄水灵龟坠</t>
  </si>
  <si>
    <t>护盾被击破时，立即生成一个一样的护盾，一场战斗触发一次</t>
  </si>
  <si>
    <t>精金守护坠</t>
  </si>
  <si>
    <t>护盾量增加持有护盾者的第一次攻击伤害</t>
  </si>
  <si>
    <t>灵玉屏障坠</t>
  </si>
  <si>
    <t>护盾量增加持有护盾者的护甲魔抗值</t>
  </si>
  <si>
    <t>百炼钢坠</t>
  </si>
  <si>
    <t>护盾强度+15</t>
  </si>
  <si>
    <t>复苏之风坠</t>
  </si>
  <si>
    <t>护盾消失时恢复护盾值的生命值</t>
  </si>
  <si>
    <t>稳固磐石坠</t>
  </si>
  <si>
    <t>护盾持续期间无法受到移动方面的debuff</t>
  </si>
  <si>
    <t>血玉坠</t>
  </si>
  <si>
    <t>会自动吸取护盾持有者的生命值补充护盾，直到持有者生命值1</t>
  </si>
  <si>
    <t>魂灯坠</t>
  </si>
  <si>
    <t>消耗持有者5点灵魂值，必定阻挡3此攻击</t>
  </si>
  <si>
    <t>丹炉</t>
  </si>
  <si>
    <t>乾坤造化炉</t>
  </si>
  <si>
    <t>炼药有50%概率不消耗药材，50%概率丹药效果翻倍</t>
  </si>
  <si>
    <t>阴阳混沌鼎</t>
  </si>
  <si>
    <t>50%概率丹药效果翻四倍50%炼药失败</t>
  </si>
  <si>
    <t>太极八卦炉</t>
  </si>
  <si>
    <t>同时可以炼制8颗丹药</t>
  </si>
  <si>
    <t>万物归元釜</t>
  </si>
  <si>
    <t>炼药百分之50概率出现3倍丹药</t>
  </si>
  <si>
    <t>时空淬炼壶</t>
  </si>
  <si>
    <t>一天一次，瞬间炼一炉丹药</t>
  </si>
  <si>
    <t>八景宫灯</t>
  </si>
  <si>
    <t>丹药随机获得恢复1d5生命恢复1d5蓝量和获得10护盾三选一</t>
  </si>
  <si>
    <t>九龙神火罩</t>
  </si>
  <si>
    <t>丹药提供3消失火免疫</t>
  </si>
  <si>
    <t>五色神石鼎</t>
  </si>
  <si>
    <t>恢复类丹药效果翻倍</t>
  </si>
  <si>
    <t>神农鼎</t>
  </si>
  <si>
    <t>遇到不认识的药材，扔进去，就知道有啥用了。丹药30%获得双倍丹药</t>
  </si>
  <si>
    <t>朱雀离火炉</t>
  </si>
  <si>
    <t>炼制丹药失败后可以继续炼制下一次</t>
  </si>
  <si>
    <t>紫金丹炉</t>
  </si>
  <si>
    <t>炼丹的时间缩短三分之一</t>
  </si>
  <si>
    <t>冰心玉髓鼎</t>
  </si>
  <si>
    <t>练出来的丹药药效持续时间翻倍</t>
  </si>
  <si>
    <t>子母同心炉</t>
  </si>
  <si>
    <t>炼药成功有30%概率随机获得一个同等级丹药</t>
  </si>
  <si>
    <t>万象千机炉</t>
  </si>
  <si>
    <t>这个炉子可以变成任何形状，居家旅行必备之品</t>
  </si>
  <si>
    <t>乙木青华鼎</t>
  </si>
  <si>
    <t>炼制的丹药具有恢复1d10生命效果</t>
  </si>
  <si>
    <t>三阳炼器炉</t>
  </si>
  <si>
    <t>炼制的丹药可以增加1点全伤害</t>
  </si>
  <si>
    <t>厚土载物鼎</t>
  </si>
  <si>
    <t>炼制的丹药可以增加5点护盾</t>
  </si>
  <si>
    <t>风行急速炉</t>
  </si>
  <si>
    <t>炼丹时间缩短至三分之一，成功率下降20%</t>
  </si>
  <si>
    <t>潮汐韵律壶</t>
  </si>
  <si>
    <t>在子时，午时炼药不会失败</t>
  </si>
  <si>
    <t>百炼钢炉</t>
  </si>
  <si>
    <t>普通的炉子，丹药属性+1</t>
  </si>
  <si>
    <t>血炼妖炉</t>
  </si>
  <si>
    <t>当药材不够的时候可以使用5点生命上限代替药材</t>
  </si>
  <si>
    <t>窃天机炉</t>
  </si>
  <si>
    <t>炼药的时候有10%遭天谴</t>
  </si>
  <si>
    <t>手杖</t>
  </si>
  <si>
    <t>万灵祖木杖</t>
  </si>
  <si>
    <t>所有萨满技能无消耗</t>
  </si>
  <si>
    <t>山海共生圣杖</t>
  </si>
  <si>
    <t>可以选择一名队友平分受到的伤害，每回合受到的第一次伤害减半</t>
  </si>
  <si>
    <t>九霄隼风古杖</t>
  </si>
  <si>
    <t>持有时每回合拥有三个次要行动</t>
  </si>
  <si>
    <t>群山熊魂权杖</t>
  </si>
  <si>
    <t>最大生命值+100</t>
  </si>
  <si>
    <t>万物随心杖</t>
  </si>
  <si>
    <t>所有技能数值不变，造成的效果随机且翻倍</t>
  </si>
  <si>
    <t>苍啸巨狼骨杖</t>
  </si>
  <si>
    <t>使用狼系的时候伤害增加2d8，并且获得10%吸血</t>
  </si>
  <si>
    <t>千棘狱藤杖</t>
  </si>
  <si>
    <t>被禁锢的敌人每回合受到1d8伤害</t>
  </si>
  <si>
    <t>金雕风羽杖</t>
  </si>
  <si>
    <t>自身敏捷增加20点</t>
  </si>
  <si>
    <t>巨熊山岚杖</t>
  </si>
  <si>
    <t>最大生命值增加40点获得6点护甲</t>
  </si>
  <si>
    <t>流萤幻花杖</t>
  </si>
  <si>
    <t>可以将自己幻化成其他的形态</t>
  </si>
  <si>
    <t>凶狼噬血杖</t>
  </si>
  <si>
    <t>使用狼系的时候伤害增加固定4点，并且获得10%吸血</t>
  </si>
  <si>
    <t>毒蕊孢子杖</t>
  </si>
  <si>
    <t>受到攻击的敌方无法回血</t>
  </si>
  <si>
    <t>猎隼裂风杖</t>
  </si>
  <si>
    <t>可以把自己回合的主要行动变成次要行动</t>
  </si>
  <si>
    <t>百木厚土杖</t>
  </si>
  <si>
    <t>最大生命值增加20点，获得3点护甲</t>
  </si>
  <si>
    <t>啼鸣青鸟杖</t>
  </si>
  <si>
    <t>变声器</t>
  </si>
  <si>
    <t>木杖</t>
  </si>
  <si>
    <t>图腾杖</t>
  </si>
  <si>
    <t>变身伤害+4</t>
  </si>
  <si>
    <t>很长很长的杖</t>
  </si>
  <si>
    <t>直接打人伤害为2d8</t>
  </si>
  <si>
    <t>草叉</t>
  </si>
  <si>
    <t>攻击造成破伤风效果，破伤风让敌方每回合受到1d3伤害</t>
  </si>
  <si>
    <t>铁杖</t>
  </si>
  <si>
    <t>直接打人伤害6d2</t>
  </si>
  <si>
    <t>石骨杖</t>
  </si>
  <si>
    <t>变身消耗生命值10点，生命值上限+10</t>
  </si>
  <si>
    <t>毒木杖</t>
  </si>
  <si>
    <t>持有时自身每回合受到1d3伤害，攻击伤害增加1d8</t>
  </si>
  <si>
    <t>饰品与大印</t>
  </si>
  <si>
    <t>随从武器</t>
  </si>
  <si>
    <t>【药家】草药学列表</t>
  </si>
  <si>
    <t>按阶段整理草药、蛊术进阶、药方与特殊规则；当前主题切换为药家时显示。</t>
  </si>
  <si>
    <t>阶段</t>
  </si>
  <si>
    <t>类别</t>
  </si>
  <si>
    <t>入门</t>
  </si>
  <si>
    <t>草药</t>
  </si>
  <si>
    <t>肉叶</t>
  </si>
  <si>
    <t>回血用，直接吃2份+3hp，炼药会使药物属性+4hp</t>
  </si>
  <si>
    <t>解离草</t>
  </si>
  <si>
    <t>解毒药 必要三份才会有解毒效果，可以配合更强力的解毒药使用</t>
  </si>
  <si>
    <t>红山</t>
  </si>
  <si>
    <t>壮骨药，单一塞进炼药可以使自身护甲+1 但塞三份可以获得伤害+1</t>
  </si>
  <si>
    <t>谈碎叶</t>
  </si>
  <si>
    <t>泻药，不敢与其他药一起用</t>
  </si>
  <si>
    <t>绿火</t>
  </si>
  <si>
    <t>毒药的基药，当多种毒药混合的时候，加入绿火不至于药性抵消，但绿火本身无效果</t>
  </si>
  <si>
    <t>入夜青宫</t>
  </si>
  <si>
    <t>毒药，单一获得2+3*1d3效果，如果放三份进去则获得6+3*4效果，同时自身在炼药时获得3*3的中毒，且会有一定的失败几率（30%）</t>
  </si>
  <si>
    <t>随心株</t>
  </si>
  <si>
    <t>致幻药（毒），降低所有技能属性值10点，多放不会有更多的效果</t>
  </si>
  <si>
    <t>清心</t>
  </si>
  <si>
    <t>如其名，加一份可以获得解除异常效果的作用，加三份可以解除强力异常效果</t>
  </si>
  <si>
    <t>油玉</t>
  </si>
  <si>
    <t>硕大的果实，虽然大小仅为苹果，但可以给人极强的饱腹感以及能量，建议不要加超过一份</t>
  </si>
  <si>
    <t>玄果</t>
  </si>
  <si>
    <t>黑色的果实，加入药材之后可以获得夜视效果，加入三份可以让自己全身发亮变身手电筒</t>
  </si>
  <si>
    <t>进阶（蛊术）</t>
  </si>
  <si>
    <t>小强草</t>
  </si>
  <si>
    <t>可以使药效增加1倍</t>
  </si>
  <si>
    <t>灰燃草</t>
  </si>
  <si>
    <t>加入一份两份可以让药材增加一次5+1*4的火毒，放入三份则造成一次2d10的火毒伤</t>
  </si>
  <si>
    <t>冰木</t>
  </si>
  <si>
    <t>冰毒药 加入份数不影响效果，使对方无法行动一天，如和火毒一起使用则让火毒伤害翻倍</t>
  </si>
  <si>
    <t>烛火</t>
  </si>
  <si>
    <t>手电筒 5灼烧需要主要行动解除 肉叶，红山，入夜青宫 50速度</t>
  </si>
  <si>
    <t>灵明</t>
  </si>
  <si>
    <t>清除眩晕 灵魂恢复2 对敌方眩晕打断 清心，玄果 70速度</t>
  </si>
  <si>
    <t>窥山</t>
  </si>
  <si>
    <t>与飞虫通感 三份玄果 30速度</t>
  </si>
  <si>
    <t>嗜钢</t>
  </si>
  <si>
    <t>可以啃食钢铁的虫子 造成1d8的物理伤害 三份绿火 60速度</t>
  </si>
  <si>
    <t>情忠</t>
  </si>
  <si>
    <t>命中使敌方爱上你或者忠于你让对方三次行动具有惩罚骰 三份随心株 30速度</t>
  </si>
  <si>
    <t>饮月</t>
  </si>
  <si>
    <t>食用后提升自身所有技能成功率10点3次 三份油玉 30速度</t>
  </si>
  <si>
    <t>药方</t>
  </si>
  <si>
    <t>伤药</t>
  </si>
  <si>
    <t>三份肉叶</t>
  </si>
  <si>
    <t>解毒药</t>
  </si>
  <si>
    <t>三份解毒草</t>
  </si>
  <si>
    <t>沸血丹</t>
  </si>
  <si>
    <t>三份红山</t>
  </si>
  <si>
    <t>泻药</t>
  </si>
  <si>
    <t>三份谈碎叶</t>
  </si>
  <si>
    <t>毒药</t>
  </si>
  <si>
    <t>一份绿火两份入夜青宫</t>
  </si>
  <si>
    <t>醒神汤</t>
  </si>
  <si>
    <t>两份清心一份油玉</t>
  </si>
  <si>
    <t>中阶</t>
  </si>
  <si>
    <t>星夜草</t>
  </si>
  <si>
    <t>食用可以增加目力，获得5点闪避加成3回合，炼药会加进去这个属性</t>
  </si>
  <si>
    <t>火绮罗</t>
  </si>
  <si>
    <t>使用可以增加解毒，属于更强力的解毒药，可以同解离草一起用</t>
  </si>
  <si>
    <t>幽铃</t>
  </si>
  <si>
    <t>配到药方里可以有感应鬼魂的能力，单食用无用</t>
  </si>
  <si>
    <t>断肠</t>
  </si>
  <si>
    <t>单一造成5+永久1d5的效果，多方效果可以叠加，直接使用三份炼制出现同入夜青宫一样的副作用</t>
  </si>
  <si>
    <t>陆云叶</t>
  </si>
  <si>
    <t>单一塞进炼药可以获得物理护甲+2，三份同时放进去获得护甲+4法抗+4</t>
  </si>
  <si>
    <t>随风</t>
  </si>
  <si>
    <t>食用后可以增加脚力敏捷+5闪避+5，放三份可以叠加</t>
  </si>
  <si>
    <t>九叶红果</t>
  </si>
  <si>
    <t>单一食用可以获得3点hp恢复，三份可以叠加</t>
  </si>
  <si>
    <t>路莫明</t>
  </si>
  <si>
    <t>致幻药，可以让一个人直接陷入疯狂</t>
  </si>
  <si>
    <t>炸果</t>
  </si>
  <si>
    <t>炼药时加入此药可以让药丸受到冲击时炸裂</t>
  </si>
  <si>
    <t>意明</t>
  </si>
  <si>
    <t>可以解除疯狂状态，炼药里可以恢复1灵魂值</t>
  </si>
  <si>
    <t>进阶</t>
  </si>
  <si>
    <t>风月叶</t>
  </si>
  <si>
    <t>春药 不同于昊阳果，风月叶可以自由的加在任何的药方中，但不具有空蓝效果</t>
  </si>
  <si>
    <t>红尘果</t>
  </si>
  <si>
    <t>可以加入到任一药方中，增加恢复1d5血量和蓝量的效果</t>
  </si>
  <si>
    <t>三星白葵</t>
  </si>
  <si>
    <t>强烈的致幻药物，加入药方后使食用者所有行为随机三回合</t>
  </si>
  <si>
    <t>驰木</t>
  </si>
  <si>
    <t>必中，造成1d8伤害，具有极高的初始速度，使敌方致盲3个行动 炸果 意明 100速</t>
  </si>
  <si>
    <t>风毒</t>
  </si>
  <si>
    <t>造成3的毒伤，若此时敌方中毒，则额外造成一次满额毒伤（延迟毒伤全部爆发）断肠 30速</t>
  </si>
  <si>
    <t>酒神</t>
  </si>
  <si>
    <t>对敌方造成三回合的惩罚骰并且造成1d8的伤害 路莫明 三星白葵 红尘果 30速</t>
  </si>
  <si>
    <t>腐身</t>
  </si>
  <si>
    <t>对敌方造成1d8的腐蚀伤害，有40%概率破坏对方防具 幽铃 断肠 50速</t>
  </si>
  <si>
    <t>对敌方造成1点毒伤，在五回合后造成30点真实伤害 三份断肠 50速</t>
  </si>
  <si>
    <t>解忧</t>
  </si>
  <si>
    <t>恢复1d10的生命和蓝量，同时恢复3点灵魂，九叶红果，红尘果 30速</t>
  </si>
  <si>
    <t>明星丹</t>
  </si>
  <si>
    <t>三份星夜草</t>
  </si>
  <si>
    <t>红云汤</t>
  </si>
  <si>
    <t>三份火绮罗</t>
  </si>
  <si>
    <t>神龟丹</t>
  </si>
  <si>
    <t>三份陆云叶</t>
  </si>
  <si>
    <t>断肠散</t>
  </si>
  <si>
    <t>两份断肠一份绿火</t>
  </si>
  <si>
    <t>金创药</t>
  </si>
  <si>
    <t>三份九叶红果</t>
  </si>
  <si>
    <t>路不明</t>
  </si>
  <si>
    <t>两份路莫明 一份意明 可以让一个生物每时有一半几率陷入疯狂。</t>
  </si>
  <si>
    <t>高阶</t>
  </si>
  <si>
    <t>破妄花</t>
  </si>
  <si>
    <t>食用可解除精神系能力对自己的干扰，直接食用解除效果有限，可三份叠加</t>
  </si>
  <si>
    <t>莫草</t>
  </si>
  <si>
    <t>其植物汁液有极强的腐蚀性，不可与其他药材混用，三份叠加可制作腐蚀粉</t>
  </si>
  <si>
    <t>黄金叶</t>
  </si>
  <si>
    <t>食用可以增加自身机体的韧性，不可与其他药材混用，三份叠加可以制作金身丸</t>
  </si>
  <si>
    <t>翠枝</t>
  </si>
  <si>
    <t>食用可以恢复3点hp 三份叠加可以制作回春散。</t>
  </si>
  <si>
    <t>魔玉叶</t>
  </si>
  <si>
    <t>食用可以恢复一点法力值 三份叠加可以制作复神散 可以恢复8点法力值</t>
  </si>
  <si>
    <t>迷踪</t>
  </si>
  <si>
    <t>高级致幻药使用时必须非常小心，但和路莫明不同的是，其致幻效果可以根据炼药师而有所指向性。不会使人陷入疯狂。</t>
  </si>
  <si>
    <t>刀木</t>
  </si>
  <si>
    <t>一种坚硬的木材，以其作为燃料烟熏药材制作的时候，药材统一呈现粉末状，不会出现药丸。</t>
  </si>
  <si>
    <t>七叶重楼</t>
  </si>
  <si>
    <t>强力内伤药，治疗效果仅恢复1hp，但是可以直接解除濒死状态</t>
  </si>
  <si>
    <t>昊阳果</t>
  </si>
  <si>
    <t>春药，若对方没有解除，则对方空蓝，其效用会被意明中和</t>
  </si>
  <si>
    <t>梦吟</t>
  </si>
  <si>
    <t>蒙汗药，其效用会被意明中和</t>
  </si>
  <si>
    <t>日月绮罗</t>
  </si>
  <si>
    <t>使效果增加5倍，炼药时有80%的概率使自己陷入昏迷，使用时有80%概率让自己失去行动能力一回合</t>
  </si>
  <si>
    <t>龙涎</t>
  </si>
  <si>
    <t>恢复1点永久灵魂，可加入任何药方中使用</t>
  </si>
  <si>
    <t>路通通</t>
  </si>
  <si>
    <t>强力泻药，食用后会造成立即不可抵抗的喷射</t>
  </si>
  <si>
    <t>箭虫</t>
  </si>
  <si>
    <t>造成2d8的物理伤害，可附带任何的药物进攻，刀木，50速</t>
  </si>
  <si>
    <t>幽梦</t>
  </si>
  <si>
    <t>命中则对敌方造成睡眠效果 梦吟 迷踪 0速</t>
  </si>
  <si>
    <t>百足</t>
  </si>
  <si>
    <t>体型硕大的虫子 命中对敌方造成束缚效果和2d8的伤害 魔玉叶 刀木 50速</t>
  </si>
  <si>
    <t>命破</t>
  </si>
  <si>
    <t>极致的毒虫，造成1+Ax1d8的毒伤，其中A为无限，配合风毒时A=8 迷踪 日月绮罗 断肠 50速</t>
  </si>
  <si>
    <t>鸡尾</t>
  </si>
  <si>
    <t>身体耐药性极好的虫子，可以携带至多3份药草攻击，七夜重楼，刀木，魔玉叶。50速</t>
  </si>
  <si>
    <t>解炉</t>
  </si>
  <si>
    <t>会爆炸的虫子，命中则可以选择脱离战场，造成3d10+5的爆炸伤害，刀木，路通通，谈碎叶，60速</t>
  </si>
  <si>
    <t>破妄丹</t>
  </si>
  <si>
    <t>三份破妄花</t>
  </si>
  <si>
    <t>腐蚀粉</t>
  </si>
  <si>
    <t>三份莫草</t>
  </si>
  <si>
    <t>金身丸</t>
  </si>
  <si>
    <t>三份黄金叶</t>
  </si>
  <si>
    <t>回春散</t>
  </si>
  <si>
    <t>三份翠枝</t>
  </si>
  <si>
    <t>复神散</t>
  </si>
  <si>
    <t>三份魔玉叶</t>
  </si>
  <si>
    <t>特殊</t>
  </si>
  <si>
    <t>三月翠花</t>
  </si>
  <si>
    <t>凤尾</t>
  </si>
  <si>
    <t>指足虫</t>
  </si>
  <si>
    <t>三叶明果</t>
  </si>
  <si>
    <t>九转青藤</t>
  </si>
  <si>
    <t>清白木</t>
  </si>
  <si>
    <t>回魂丹</t>
  </si>
  <si>
    <t>一份龙涎 两份七叶重楼 成功率50%</t>
  </si>
  <si>
    <t>融火散</t>
  </si>
  <si>
    <t>一份凤尾 两份莫草 成功率70%</t>
  </si>
  <si>
    <t>夺魂丹</t>
  </si>
  <si>
    <t>一份指足虫 两份迷踪 炼药师的一撮头发 成功率70%</t>
  </si>
  <si>
    <t>丸剑</t>
  </si>
  <si>
    <t>一份三叶明果 两份刀木成功率100%</t>
  </si>
  <si>
    <t>招魂散</t>
  </si>
  <si>
    <t>一份九转青藤 两份梦吟 成功率70% 灵魂值低于20可以使用，灵魂值+20，如果灵魂高于20，灵魂值-20</t>
  </si>
  <si>
    <t>忘红尘</t>
  </si>
  <si>
    <t>三份红尘果 成功率100%</t>
  </si>
  <si>
    <t>药品</t>
  </si>
  <si>
    <t>特殊药品：肾宝去质器：让别人获得肾虚buff</t>
  </si>
  <si>
    <t>通用规则</t>
  </si>
  <si>
    <t>购买与炼药</t>
  </si>
  <si>
    <t>草药获取与票券价格</t>
  </si>
  <si>
    <t>当每次到达新等级的时候，获得该等级每份草药 3 份。购买方面，低阶草药一票券可以购买 3 份，中阶一票券购买 2 份，高阶一票券购买 1 份。低阶药方和虫子售价每个 2 票券，中阶 4 票券，高阶 6 票券。每次炼药低阶半小时，中阶 1 小时，高阶 1 小时。</t>
  </si>
  <si>
    <t>源自原表第 55 行说明</t>
  </si>
  <si>
    <t>经验成长</t>
  </si>
  <si>
    <t>药家经验体系</t>
  </si>
  <si>
    <t>每 20 经验一级，成长为大成功 +10、极难 +7+1d3、困难 +5+1d5、普通 +1+1d9、失败 +2。</t>
  </si>
  <si>
    <t>源自原表第 64 行说明</t>
  </si>
  <si>
    <t>随从1</t>
  </si>
  <si>
    <t>随从2</t>
  </si>
  <si>
    <t>随从3</t>
  </si>
  <si>
    <t>随从4</t>
  </si>
  <si>
    <t>技能栏</t>
  </si>
  <si>
    <t>武器栏</t>
  </si>
  <si>
    <t>物品栏</t>
  </si>
  <si>
    <t>武器名称</t>
  </si>
  <si>
    <t>物品名称</t>
  </si>
  <si>
    <t>技能介绍</t>
    <phoneticPr fontId="13" type="noConversion"/>
  </si>
  <si>
    <t>武器介绍</t>
    <phoneticPr fontId="13" type="noConversion"/>
  </si>
  <si>
    <t>物品介绍</t>
    <phoneticPr fontId="13" type="noConversion"/>
  </si>
  <si>
    <t>占位</t>
  </si>
  <si>
    <t>同主人</t>
    <phoneticPr fontId="13" type="noConversion"/>
  </si>
  <si>
    <t>2d6</t>
    <phoneticPr fontId="13" type="noConversion"/>
  </si>
  <si>
    <t>乐正家</t>
    <phoneticPr fontId="13" type="noConversion"/>
  </si>
  <si>
    <t>风雅、共鸣、控场支援</t>
    <phoneticPr fontId="13" type="noConversion"/>
  </si>
  <si>
    <t>擅长以乐器和灵魂音符进行控制、治疗、增速与灵魂打击</t>
    <phoneticPr fontId="13" type="noConversion"/>
  </si>
  <si>
    <t>雅乐金</t>
    <phoneticPr fontId="13" type="noConversion"/>
  </si>
  <si>
    <t>家族概览与升级方式</t>
    <phoneticPr fontId="13" type="noConversion"/>
  </si>
  <si>
    <t>家族</t>
    <phoneticPr fontId="13" type="noConversion"/>
  </si>
  <si>
    <t>核心定位</t>
    <phoneticPr fontId="13" type="noConversion"/>
  </si>
  <si>
    <t>家族描述</t>
    <phoneticPr fontId="13" type="noConversion"/>
  </si>
  <si>
    <t>升级方式</t>
    <phoneticPr fontId="13" type="noConversion"/>
  </si>
  <si>
    <t>代表体系</t>
    <phoneticPr fontId="13" type="noConversion"/>
  </si>
  <si>
    <t>备注</t>
    <phoneticPr fontId="13" type="noConversion"/>
  </si>
  <si>
    <t>雷火道法正宗</t>
    <phoneticPr fontId="13" type="noConversion"/>
  </si>
  <si>
    <t>玖镇最强势的道法家族之一，以雷法、火法和高压正统术法见长，路线鲜明，爆发和压制能力都很高。</t>
    <phoneticPr fontId="13" type="noConversion"/>
  </si>
  <si>
    <t>经验 0-20 入门、20-50 初阶、50-80 中阶、80+ 高阶；10、35、65 为关键节点。道力成长：大成功+10、极难+7+1d3、困难+5+1d5、普通+1+1d9、失败+2；符数成长：大成功+5、极难+3+1d2、困难+1+1d4、普通+1+1d2、失败+0。</t>
    <phoneticPr fontId="13" type="noConversion"/>
  </si>
  <si>
    <t>雷法 / 火法 / 阵符剑术</t>
    <phoneticPr fontId="13" type="noConversion"/>
  </si>
  <si>
    <t>20-35 道力开始决定雷法或火法主路线，后期拥有明确的大招与对应高阶特性。</t>
    <phoneticPr fontId="13" type="noConversion"/>
  </si>
  <si>
    <t>纯武学前线</t>
    <phoneticPr fontId="13" type="noConversion"/>
  </si>
  <si>
    <t>以拳法、枪法与硬桥硬马著称的武斗家族，依靠生命成长、武技连段和站场能力建立优势。</t>
    <phoneticPr fontId="13" type="noConversion"/>
  </si>
  <si>
    <t>每 10 经验为一个阶级。力量成长：大成功+7、极难+5+1d2、困难+3+1d4、普通+1+1d6、失败+1；多个阶段还会追加生命值成长。</t>
    <phoneticPr fontId="13" type="noConversion"/>
  </si>
  <si>
    <t>拳系 / 枪系 / 属性路线</t>
    <phoneticPr fontId="13" type="noConversion"/>
  </si>
  <si>
    <t>0-10 先选拳或枪，20-30 与 40-50 两次集中获得核心输出技能，50 级后解锁拳枪终极技。</t>
    <phoneticPr fontId="13" type="noConversion"/>
  </si>
  <si>
    <t>风水龙脉操盘</t>
    <phoneticPr fontId="13" type="noConversion"/>
  </si>
  <si>
    <t>擅长风水、龙脉和地形改造的隐世家族，既能走地脉战士路线，也能走法阵与蒙天的控制路线。</t>
    <phoneticPr fontId="13" type="noConversion"/>
  </si>
  <si>
    <t>经验 0-20 入门、20-50 初阶、50-80 中阶、80+ 高阶；10、35、65 为关键节点。道力与符数成长口径与张家一致。</t>
    <phoneticPr fontId="13" type="noConversion"/>
  </si>
  <si>
    <t>风水 / 龙脉 / 蒙天 / 战士或法师分支</t>
    <phoneticPr fontId="13" type="noConversion"/>
  </si>
  <si>
    <t>20-35 道力时分为战士和法师，前者吃生命与地脉，后者吃阵法与空间控制。</t>
    <phoneticPr fontId="13" type="noConversion"/>
  </si>
  <si>
    <t>占卜与天谴</t>
    <phoneticPr fontId="13" type="noConversion"/>
  </si>
  <si>
    <t>通过铜钱、卦象和阵旗改写战场走势的家族，擅长预测、资源博弈与高风险高回报的天机玩法。</t>
    <phoneticPr fontId="13" type="noConversion"/>
  </si>
  <si>
    <t>铜钱 / 占卜 / 术阵</t>
    <phoneticPr fontId="13" type="noConversion"/>
  </si>
  <si>
    <t>20-35 道力时分铜钱与术阵两路，后期都能把资源和天谴转化为极强的战场压制。</t>
    <phoneticPr fontId="13" type="noConversion"/>
  </si>
  <si>
    <t>商法与资源转换</t>
    <phoneticPr fontId="13" type="noConversion"/>
  </si>
  <si>
    <t>不靠常规战斗法门取胜，而是通过鉴价、议价、谈判和资金操盘把资源直接变成行动力与局势优势。</t>
    <phoneticPr fontId="13" type="noConversion"/>
  </si>
  <si>
    <t>文档中未采用常规经验分阶，整体更像一套独立的商法体系：角色直接获得商法特性与特殊技能，以资源与社交能力推动成长。</t>
    <phoneticPr fontId="13" type="noConversion"/>
  </si>
  <si>
    <t>商法 / 交涉 / 资源调度</t>
    <phoneticPr fontId="13" type="noConversion"/>
  </si>
  <si>
    <t>适合放在非战斗、交易、信息差与事件解决型场景中发力。</t>
    <phoneticPr fontId="13" type="noConversion"/>
  </si>
  <si>
    <t>机关与工巧格</t>
    <phoneticPr fontId="13" type="noConversion"/>
  </si>
  <si>
    <t>以工巧格、机械背包、魁人和各种墨器为核心的机关技术家族，强调背包管理、职业分化和现场工具学。</t>
    <phoneticPr fontId="13" type="noConversion"/>
  </si>
  <si>
    <t>基础 15 工巧格；成长检定成功等级决定工巧格增量。20 格转职为机巧师 / 偃师 / 布设师，25 格解锁每日一次特殊成长，30 格获得核心技能，35 格职业成熟，40 格获得究极技能。</t>
    <phoneticPr fontId="13" type="noConversion"/>
  </si>
  <si>
    <t>工巧格 / 魁人 / 机巧师-偃师-布设师</t>
    <phoneticPr fontId="13" type="noConversion"/>
  </si>
  <si>
    <t>新版中魁人与角色共享工巧格，墨器与魁人模组统一占用槽位。</t>
    <phoneticPr fontId="13" type="noConversion"/>
  </si>
  <si>
    <t>丹蛊与持续经营</t>
    <phoneticPr fontId="13" type="noConversion"/>
  </si>
  <si>
    <t>围绕炼丹、草药、蛊虫与药效叠加展开的家族，强在长期准备、恢复、增益与毒伤经营。</t>
    <phoneticPr fontId="13" type="noConversion"/>
  </si>
  <si>
    <t>每 20 经验一级。成长：大成功+10、极难+7+1d3、困难+5+1d5、普通+1+1d9、失败+2；每级四选二特性，逐级堆叠丹药与蛊虫强度。</t>
    <phoneticPr fontId="13" type="noConversion"/>
  </si>
  <si>
    <t>炼丹 / 蛊虫 / 药效叠加</t>
    <phoneticPr fontId="13" type="noConversion"/>
  </si>
  <si>
    <t>文档以等级特性为主，技能更像丹蛊结果而非传统主动技。</t>
    <phoneticPr fontId="13" type="noConversion"/>
  </si>
  <si>
    <t>附魔防护全能术</t>
    <phoneticPr fontId="13" type="noConversion"/>
  </si>
  <si>
    <t>拥有附魔、防护、能力和萨满分系的全能型家族，可兼顾强化、坦度、机动与持续支援。</t>
    <phoneticPr fontId="13" type="noConversion"/>
  </si>
  <si>
    <t>巫术每 10 点为一个等级。成长：大成功+7、极难+4+1d3、困难+2+1d5、普通+1d7、失败+2。起步选择主系统，中级后可补一个副系统。</t>
    <phoneticPr fontId="13" type="noConversion"/>
  </si>
  <si>
    <t>附魔 / 防护 / 能力 / 萨满</t>
    <phoneticPr fontId="13" type="noConversion"/>
  </si>
  <si>
    <t>越到后期越像可切换打法的模块化体系，适合多场景适配。</t>
    <phoneticPr fontId="13" type="noConversion"/>
  </si>
  <si>
    <t>炼鬼与术阵异道</t>
    <phoneticPr fontId="13" type="noConversion"/>
  </si>
  <si>
    <t>擅长契约小鬼、炼鬼和幽冥术法的异道家族，依赖魍魉分身、附体和亡灵系控制建立优势。</t>
    <phoneticPr fontId="13" type="noConversion"/>
  </si>
  <si>
    <t>小鬼 / 炼鬼 / 术阵</t>
    <phoneticPr fontId="13" type="noConversion"/>
  </si>
  <si>
    <t>20-35 道力起在术阵与炼鬼间分路，后期能把小鬼成长成核心输出与替命资源。</t>
    <phoneticPr fontId="13" type="noConversion"/>
  </si>
  <si>
    <t>音律控场与共鸣支援</t>
    <phoneticPr fontId="13" type="noConversion"/>
  </si>
  <si>
    <t>以乐器、灵魂音符与持续演奏为核心的风雅家族，兼具控场、治疗、增速、群体增援与灵魂伤害。</t>
    <phoneticPr fontId="13" type="noConversion"/>
  </si>
  <si>
    <t>每 20 经验成长 1 阶，上不封顶。成长：大成功+10、极难+7+1d3、困难+5+1d5、普通+1+1d9、失败+2；学习属性为魅力。初始 5 个灵魂音符，第一次成长后为 2 个灵魂音符，此后每成长 1 阶 +4。</t>
    <phoneticPr fontId="13" type="noConversion"/>
  </si>
  <si>
    <t>灵魂音符 / 打击乐 / 管弦乐 / 持续演奏</t>
    <phoneticPr fontId="13" type="noConversion"/>
  </si>
  <si>
    <t>11 音符阶段分打击乐与管弦乐；23+ 可成为对应乐器大师。注意乐正家的特性和技能要严格分开维护，不能把特性写入技能目录。</t>
    <phoneticPr fontId="13" type="noConversion"/>
  </si>
  <si>
    <t>武器伤害</t>
  </si>
  <si>
    <t>武器介绍</t>
  </si>
  <si>
    <t>技能配置</t>
    <phoneticPr fontId="13" type="noConversion"/>
  </si>
  <si>
    <t>空</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</si>
</sst>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宋体"/>
      <charset val="134"/>
      <scheme val="minor"/>
    </font>
    <font>
      <sz val="11"/>
      <color theme="1"/>
      <name val="KaiTi"/>
      <charset val="134"/>
    </font>
    <font>
      <sz val="11"/>
      <color rgb="FF1A1A1E"/>
      <name val="KaiTi"/>
      <charset val="134"/>
    </font>
    <font>
      <b/>
      <sz val="13.5"/>
      <color rgb="FFF7F7F9"/>
      <name val="KaiTi"/>
      <charset val="134"/>
    </font>
    <font>
      <b/>
      <sz val="11.5"/>
      <color rgb="FF1A1A1E"/>
      <name val="KaiTi"/>
      <charset val="134"/>
    </font>
    <font>
      <b/>
      <sz val="11.5"/>
      <color rgb="FFF7F7F9"/>
      <name val="KaiTi"/>
      <charset val="134"/>
    </font>
    <font>
      <b/>
      <sz val="11"/>
      <color rgb="FF1A1A1E"/>
      <name val="KaiTi"/>
      <charset val="134"/>
    </font>
    <font>
      <b/>
      <sz val="12"/>
      <color rgb="FFF7F7F9"/>
      <name val="KaiTi"/>
      <charset val="134"/>
    </font>
    <font>
      <sz val="11"/>
      <name val="Carlito"/>
      <family val="1"/>
    </font>
    <font>
      <sz val="9"/>
      <name val="宋体"/>
      <family val="3"/>
      <charset val="134"/>
    </font>
    <font>
      <sz val="12"/>
      <name val="楷体"/>
      <family val="3"/>
      <charset val="134"/>
    </font>
    <font>
      <sz val="10"/>
      <name val="宋体"/>
      <family val="3"/>
      <charset val="134"/>
    </font>
    <font>
      <sz val="12"/>
      <color rgb="FF000000"/>
      <name val="楷体"/>
      <family val="3"/>
      <charset val="134"/>
    </font>
    <font>
      <sz val="9"/>
      <name val="宋体"/>
      <family val="3"/>
      <charset val="134"/>
      <scheme val="minor"/>
    </font>
    <font>
      <sz val="11"/>
      <color theme="1"/>
      <name val="KaiTi"/>
      <family val="3"/>
      <charset val="134"/>
    </font>
    <font>
      <sz val="11.5"/>
      <color theme="1"/>
      <name val="KaiTi"/>
      <family val="3"/>
      <charset val="134"/>
    </font>
    <font>
      <sz val="11"/>
      <name val="KaiTi"/>
      <family val="3"/>
      <charset val="134"/>
    </font>
    <font>
      <b/>
      <sz val="11"/>
      <color rgb="FFF7F7F9"/>
      <name val="KaiTi"/>
      <family val="3"/>
      <charset val="134"/>
    </font>
    <font>
      <sz val="11"/>
      <color rgb="FF1A1A1E"/>
      <name val="KaiTi"/>
      <family val="3"/>
      <charset val="134"/>
    </font>
    <font>
      <sz val="11"/>
      <color rgb="FF1F2937"/>
      <name val="KaiTi"/>
      <family val="3"/>
      <charset val="134"/>
    </font>
    <font>
      <b/>
      <sz val="12.5"/>
      <color rgb="FFF9F9F9"/>
      <name val="KaiTi"/>
      <family val="3"/>
      <charset val="134"/>
    </font>
    <font>
      <b/>
      <sz val="11"/>
      <color rgb="FF2E2E2E"/>
      <name val="KaiTi"/>
      <family val="3"/>
      <charset val="134"/>
    </font>
    <font>
      <sz val="10.5"/>
      <color rgb="FF2E2E2E"/>
      <name val="KaiTi"/>
      <family val="3"/>
      <charset val="134"/>
    </font>
    <font>
      <b/>
      <sz val="10.5"/>
      <color rgb="FFF9F9F9"/>
      <name val="KaiTi"/>
      <family val="3"/>
      <charset val="134"/>
    </font>
    <font>
      <sz val="10"/>
      <color theme="1"/>
      <name val="KaiTi"/>
      <family val="3"/>
      <charset val="134"/>
    </font>
    <font>
      <b/>
      <sz val="13"/>
      <color rgb="FFFFFBF5"/>
      <name val="KaiTi"/>
      <family val="3"/>
      <charset val="134"/>
    </font>
    <font>
      <b/>
      <sz val="11"/>
      <color rgb="FF483819"/>
      <name val="KaiTi"/>
      <family val="3"/>
      <charset val="134"/>
    </font>
    <font>
      <b/>
      <sz val="11.5"/>
      <color rgb="FF483819"/>
      <name val="KaiTi"/>
      <family val="3"/>
      <charset val="134"/>
    </font>
    <font>
      <b/>
      <sz val="11.5"/>
      <color rgb="FFFFFBF5"/>
      <name val="KaiTi"/>
      <family val="3"/>
      <charset val="134"/>
    </font>
    <font>
      <sz val="11"/>
      <color rgb="FF483819"/>
      <name val="KaiTi"/>
      <family val="3"/>
      <charset val="134"/>
    </font>
    <font>
      <sz val="11"/>
      <color rgb="FFFFFBF5"/>
      <name val="KaiTi"/>
      <family val="3"/>
      <charset val="134"/>
    </font>
    <font>
      <b/>
      <sz val="13.5"/>
      <color rgb="FFFFFBF5"/>
      <name val="KaiTi"/>
      <family val="3"/>
      <charset val="134"/>
    </font>
    <font>
      <b/>
      <sz val="12"/>
      <color rgb="FFFFFBF5"/>
      <name val="KaiTi"/>
      <family val="3"/>
      <charset val="134"/>
    </font>
    <font>
      <b/>
      <sz val="12.5"/>
      <color rgb="FFFFFBF5"/>
      <name val="KaiTi"/>
      <family val="3"/>
      <charset val="134"/>
    </font>
    <font>
      <sz val="11.5"/>
      <color rgb="FF483819"/>
      <name val="KaiTi"/>
      <family val="3"/>
      <charset val="134"/>
    </font>
    <font>
      <sz val="10.5"/>
      <color rgb="FF483819"/>
      <name val="KaiTi"/>
      <family val="3"/>
      <charset val="134"/>
    </font>
    <font>
      <sz val="11"/>
      <color rgb="FF2E2E2E"/>
      <name val="KaiTi"/>
      <family val="3"/>
      <charset val="134"/>
    </font>
    <font>
      <sz val="11.8"/>
      <color theme="1"/>
      <name val="KaiTi"/>
      <family val="3"/>
      <charset val="134"/>
    </font>
    <font>
      <sz val="11.8"/>
      <color rgb="FF483819"/>
      <name val="KaiTi"/>
      <family val="3"/>
      <charset val="134"/>
    </font>
    <font>
      <b/>
      <sz val="11.8"/>
      <color rgb="FF483819"/>
      <name val="KaiTi"/>
      <family val="3"/>
      <charset val="134"/>
    </font>
    <font>
      <sz val="11.3"/>
      <color rgb="FF483819"/>
      <name val="KaiTi"/>
      <family val="3"/>
      <charset val="134"/>
    </font>
    <font>
      <b/>
      <sz val="11.3"/>
      <color rgb="FF483819"/>
      <name val="KaiTi"/>
      <family val="3"/>
      <charset val="134"/>
    </font>
    <font>
      <sz val="11.2"/>
      <color rgb="FF483819"/>
      <name val="KaiTi"/>
      <family val="3"/>
      <charset val="134"/>
    </font>
    <font>
      <b/>
      <sz val="11.2"/>
      <color rgb="FF483819"/>
      <name val="KaiTi"/>
      <family val="3"/>
      <charset val="134"/>
    </font>
    <font>
      <b/>
      <sz val="12"/>
      <color rgb="FF483819"/>
      <name val="KaiTi"/>
      <family val="3"/>
      <charset val="134"/>
    </font>
    <font>
      <b/>
      <sz val="12.5"/>
      <color rgb="FF483819"/>
      <name val="KaiTi"/>
      <family val="3"/>
      <charset val="134"/>
    </font>
    <font>
      <sz val="11.6"/>
      <color rgb="FF483819"/>
      <name val="KaiTi"/>
      <family val="3"/>
      <charset val="134"/>
    </font>
    <font>
      <b/>
      <sz val="10.5"/>
      <color rgb="FF2E2E2E"/>
      <name val="KaiTi"/>
      <family val="3"/>
      <charset val="134"/>
    </font>
    <font>
      <sz val="10.5"/>
      <color rgb="FFF9F9F9"/>
      <name val="KaiTi"/>
      <family val="3"/>
      <charset val="134"/>
    </font>
    <font>
      <b/>
      <sz val="13"/>
      <color rgb="FFF9F9F9"/>
      <name val="KaiTi"/>
      <family val="3"/>
      <charset val="134"/>
    </font>
    <font>
      <b/>
      <sz val="11.5"/>
      <color rgb="FFF9F9F9"/>
      <name val="KaiTi"/>
      <family val="3"/>
      <charset val="134"/>
    </font>
  </fonts>
  <fills count="37">
    <fill>
      <patternFill patternType="none"/>
    </fill>
    <fill>
      <patternFill patternType="gray125"/>
    </fill>
    <fill>
      <patternFill patternType="solid">
        <fgColor rgb="FF4D6070"/>
        <bgColor indexed="64"/>
      </patternFill>
    </fill>
    <fill>
      <patternFill patternType="solid">
        <fgColor rgb="FFE7E7EA"/>
        <bgColor indexed="64"/>
      </patternFill>
    </fill>
    <fill>
      <patternFill patternType="solid">
        <fgColor rgb="FF1C1C1F"/>
        <bgColor indexed="64"/>
      </patternFill>
    </fill>
    <fill>
      <patternFill patternType="solid">
        <fgColor rgb="FFA4A5AE"/>
        <bgColor indexed="64"/>
      </patternFill>
    </fill>
    <fill>
      <patternFill patternType="solid">
        <fgColor rgb="FF3E3E46"/>
        <bgColor indexed="64"/>
      </patternFill>
    </fill>
    <fill>
      <patternFill patternType="solid">
        <fgColor rgb="FFF4F4F7"/>
        <bgColor indexed="64"/>
      </patternFill>
    </fill>
    <fill>
      <patternFill patternType="solid">
        <fgColor rgb="FF59384C"/>
        <bgColor indexed="64"/>
      </patternFill>
    </fill>
    <fill>
      <patternFill patternType="solid">
        <fgColor rgb="FFDDDDE2"/>
        <bgColor indexed="64"/>
      </patternFill>
    </fill>
    <fill>
      <patternFill patternType="solid">
        <fgColor rgb="FFBCBDC5"/>
        <bgColor indexed="64"/>
      </patternFill>
    </fill>
    <fill>
      <patternFill patternType="solid">
        <fgColor rgb="FF7452C4"/>
        <bgColor indexed="64"/>
      </patternFill>
    </fill>
    <fill>
      <patternFill patternType="solid">
        <fgColor rgb="FFB54E34"/>
        <bgColor indexed="64"/>
      </patternFill>
    </fill>
    <fill>
      <patternFill patternType="solid">
        <fgColor rgb="FF3F8678"/>
        <bgColor indexed="64"/>
      </patternFill>
    </fill>
    <fill>
      <patternFill patternType="solid">
        <fgColor rgb="FF456DB5"/>
        <bgColor indexed="64"/>
      </patternFill>
    </fill>
    <fill>
      <patternFill patternType="solid">
        <fgColor rgb="FF188C94"/>
        <bgColor indexed="64"/>
      </patternFill>
    </fill>
    <fill>
      <patternFill patternType="solid">
        <fgColor rgb="FF4A843E"/>
        <bgColor indexed="64"/>
      </patternFill>
    </fill>
    <fill>
      <patternFill patternType="solid">
        <fgColor rgb="FFB6688B"/>
        <bgColor indexed="64"/>
      </patternFill>
    </fill>
    <fill>
      <patternFill patternType="solid">
        <fgColor rgb="FF8C2234"/>
        <bgColor indexed="64"/>
      </patternFill>
    </fill>
    <fill>
      <patternFill patternType="solid">
        <fgColor rgb="FFBA9038"/>
        <bgColor indexed="64"/>
      </patternFill>
    </fill>
    <fill>
      <patternFill patternType="solid">
        <fgColor rgb="FFF9F4E8"/>
        <bgColor indexed="64"/>
      </patternFill>
    </fill>
    <fill>
      <patternFill patternType="solid">
        <fgColor rgb="FF70541D"/>
        <bgColor indexed="64"/>
      </patternFill>
    </fill>
    <fill>
      <patternFill patternType="solid">
        <fgColor rgb="FFE2CEA6"/>
        <bgColor indexed="64"/>
      </patternFill>
    </fill>
    <fill>
      <patternFill patternType="solid">
        <fgColor rgb="FFFDF9F2"/>
        <bgColor indexed="64"/>
      </patternFill>
    </fill>
    <fill>
      <patternFill patternType="solid">
        <fgColor rgb="FFF5ECDB"/>
        <bgColor indexed="64"/>
      </patternFill>
    </fill>
    <fill>
      <patternFill patternType="solid">
        <fgColor rgb="FF9A7934"/>
        <bgColor indexed="64"/>
      </patternFill>
    </fill>
    <fill>
      <patternFill patternType="solid">
        <fgColor rgb="FFEFE4CC"/>
        <bgColor indexed="64"/>
      </patternFill>
    </fill>
    <fill>
      <patternFill patternType="solid">
        <fgColor rgb="FFD6B260"/>
        <bgColor indexed="64"/>
      </patternFill>
    </fill>
    <fill>
      <patternFill patternType="solid">
        <fgColor rgb="FFF9F6EF"/>
        <bgColor indexed="64"/>
      </patternFill>
    </fill>
    <fill>
      <patternFill patternType="solid">
        <fgColor rgb="FF59451B"/>
        <bgColor indexed="64"/>
      </patternFill>
    </fill>
    <fill>
      <patternFill patternType="solid">
        <fgColor rgb="FFE8D9BB"/>
        <bgColor indexed="64"/>
      </patternFill>
    </fill>
    <fill>
      <patternFill patternType="solid">
        <fgColor rgb="FFFCFBF7"/>
        <bgColor indexed="64"/>
      </patternFill>
    </fill>
    <fill>
      <patternFill patternType="solid">
        <fgColor rgb="FFECDDB8"/>
        <bgColor indexed="64"/>
      </patternFill>
    </fill>
    <fill>
      <patternFill patternType="solid">
        <fgColor rgb="FF56595E"/>
        <bgColor indexed="64"/>
      </patternFill>
    </fill>
    <fill>
      <patternFill patternType="solid">
        <fgColor rgb="FFF5EFE3"/>
        <bgColor indexed="64"/>
      </patternFill>
    </fill>
    <fill>
      <patternFill patternType="solid">
        <fgColor rgb="FF866828"/>
        <bgColor indexed="64"/>
      </patternFill>
    </fill>
    <fill>
      <patternFill patternType="solid">
        <fgColor rgb="FF705622"/>
        <bgColor indexed="64"/>
      </patternFill>
    </fill>
  </fills>
  <borders count="36">
    <border>
      <left/>
      <right/>
      <top/>
      <bottom/>
      <diagonal/>
    </border>
    <border>
      <left style="thin">
        <color auto="1"/>
      </left>
      <right style="thin">
        <color auto="1"/>
      </right>
      <top style="thin">
        <color auto="1"/>
      </top>
      <bottom style="thin">
        <color auto="1"/>
      </bottom>
      <diagonal/>
    </border>
    <border>
      <left style="thin">
        <color rgb="FFC7D2DA"/>
      </left>
      <right style="thin">
        <color auto="1"/>
      </right>
      <top style="thin">
        <color rgb="FFC7D2DA"/>
      </top>
      <bottom style="thin">
        <color rgb="FFC7D2DA"/>
      </bottom>
      <diagonal/>
    </border>
    <border>
      <left style="thin">
        <color auto="1"/>
      </left>
      <right style="thin">
        <color auto="1"/>
      </right>
      <top style="thin">
        <color rgb="FFC7D2DA"/>
      </top>
      <bottom style="thin">
        <color rgb="FFC7D2DA"/>
      </bottom>
      <diagonal/>
    </border>
    <border>
      <left style="thin">
        <color auto="1"/>
      </left>
      <right style="thin">
        <color rgb="FFC7D2DA"/>
      </right>
      <top style="thin">
        <color rgb="FFC7D2DA"/>
      </top>
      <bottom style="thin">
        <color rgb="FFC7D2DA"/>
      </bottom>
      <diagonal/>
    </border>
    <border>
      <left style="thin">
        <color auto="1"/>
      </left>
      <right style="thin">
        <color auto="1"/>
      </right>
      <top style="thin">
        <color rgb="FFC7D2DA"/>
      </top>
      <bottom style="thin">
        <color auto="1"/>
      </bottom>
      <diagonal/>
    </border>
    <border>
      <left style="thin">
        <color rgb="FFC7D2DA"/>
      </left>
      <right style="thin">
        <color auto="1"/>
      </right>
      <top style="thin">
        <color auto="1"/>
      </top>
      <bottom style="thin">
        <color auto="1"/>
      </bottom>
      <diagonal/>
    </border>
    <border>
      <left style="thin">
        <color rgb="FFC7D2DA"/>
      </left>
      <right style="thin">
        <color rgb="FFC7D2DA"/>
      </right>
      <top style="thin">
        <color rgb="FFC7D2DA"/>
      </top>
      <bottom style="thin">
        <color rgb="FFC7D2DA"/>
      </bottom>
      <diagonal/>
    </border>
    <border>
      <left style="thin">
        <color rgb="FFC7D2DA"/>
      </left>
      <right style="thin">
        <color rgb="FFC7D2DA"/>
      </right>
      <top/>
      <bottom style="thin">
        <color rgb="FFC7D2DA"/>
      </bottom>
      <diagonal/>
    </border>
    <border>
      <left style="thin">
        <color auto="1"/>
      </left>
      <right style="thin">
        <color auto="1"/>
      </right>
      <top style="thin">
        <color auto="1"/>
      </top>
      <bottom style="thin">
        <color rgb="FFC7D2DA"/>
      </bottom>
      <diagonal/>
    </border>
    <border>
      <left style="thin">
        <color rgb="FFC7D2DA"/>
      </left>
      <right style="thin">
        <color rgb="FFC7D2DA"/>
      </right>
      <top style="thin">
        <color rgb="FFC7D2DA"/>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dashed">
        <color auto="1"/>
      </left>
      <right style="dashed">
        <color auto="1"/>
      </right>
      <top style="dashed">
        <color auto="1"/>
      </top>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style="thin">
        <color auto="1"/>
      </top>
      <bottom style="thin">
        <color auto="1"/>
      </bottom>
      <diagonal/>
    </border>
  </borders>
  <cellStyleXfs count="3">
    <xf numFmtId="0" fontId="0" fillId="0" borderId="0">
      <alignment vertical="center"/>
    </xf>
    <xf numFmtId="0" fontId="8" fillId="0" borderId="0"/>
    <xf numFmtId="0" fontId="8" fillId="0" borderId="0"/>
  </cellStyleXfs>
  <cellXfs count="216">
    <xf numFmtId="0" fontId="0" fillId="0" borderId="0" xfId="0" applyAlignment="1">
      <alignment vertical="center"/>
    </xf>
    <xf numFmtId="0" fontId="1" fillId="0" borderId="0" xfId="0" applyFont="1" applyAlignment="1">
      <alignment vertical="center"/>
    </xf>
    <xf numFmtId="0" fontId="1" fillId="3" borderId="0" xfId="0" applyFont="1" applyFill="1" applyAlignment="1">
      <alignment vertical="center"/>
    </xf>
    <xf numFmtId="0" fontId="4" fillId="5" borderId="1" xfId="0" applyFont="1" applyFill="1" applyBorder="1" applyAlignment="1">
      <alignment horizontal="center" vertical="center" wrapText="1"/>
    </xf>
    <xf numFmtId="0" fontId="2" fillId="7" borderId="1" xfId="0" applyFont="1" applyFill="1" applyBorder="1" applyAlignment="1">
      <alignment vertical="center" wrapText="1"/>
    </xf>
    <xf numFmtId="0" fontId="6"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10"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4" fillId="0" borderId="0" xfId="0" applyFont="1" applyAlignment="1">
      <alignment vertical="center"/>
    </xf>
    <xf numFmtId="0" fontId="15" fillId="0" borderId="0" xfId="0" applyFont="1" applyAlignment="1">
      <alignment vertical="center" wrapText="1"/>
    </xf>
    <xf numFmtId="0" fontId="16" fillId="0" borderId="0" xfId="2" applyFont="1"/>
    <xf numFmtId="0" fontId="19" fillId="3" borderId="7" xfId="1" applyFont="1" applyFill="1" applyBorder="1" applyAlignment="1">
      <alignment horizontal="left" vertical="center" wrapText="1"/>
    </xf>
    <xf numFmtId="0" fontId="16" fillId="3" borderId="0" xfId="2" applyFont="1" applyFill="1"/>
    <xf numFmtId="0" fontId="14" fillId="20" borderId="0" xfId="0" applyFont="1" applyFill="1" applyAlignment="1">
      <alignment vertical="center"/>
    </xf>
    <xf numFmtId="0" fontId="17" fillId="20" borderId="0" xfId="1" applyFont="1" applyFill="1" applyAlignment="1">
      <alignment horizontal="center" vertical="center" wrapText="1"/>
    </xf>
    <xf numFmtId="0" fontId="16" fillId="20" borderId="0" xfId="2" applyFont="1" applyFill="1"/>
    <xf numFmtId="0" fontId="18" fillId="20" borderId="7" xfId="1" applyFont="1" applyFill="1" applyBorder="1" applyAlignment="1">
      <alignment horizontal="left" vertical="center" wrapText="1"/>
    </xf>
    <xf numFmtId="0" fontId="18" fillId="20" borderId="8" xfId="1" applyFont="1" applyFill="1" applyBorder="1" applyAlignment="1">
      <alignment horizontal="left" vertical="center" wrapText="1"/>
    </xf>
    <xf numFmtId="0" fontId="19" fillId="20" borderId="7" xfId="1" applyFont="1" applyFill="1" applyBorder="1" applyAlignment="1">
      <alignment horizontal="left" vertical="center" wrapText="1"/>
    </xf>
    <xf numFmtId="0" fontId="19" fillId="20" borderId="10" xfId="1" applyFont="1" applyFill="1" applyBorder="1" applyAlignment="1">
      <alignment horizontal="left" vertical="center" wrapText="1"/>
    </xf>
    <xf numFmtId="0" fontId="19" fillId="20" borderId="8" xfId="1" applyFont="1" applyFill="1" applyBorder="1" applyAlignment="1">
      <alignment horizontal="left" vertical="center" wrapText="1"/>
    </xf>
    <xf numFmtId="0" fontId="27" fillId="22" borderId="2" xfId="1" applyFont="1" applyFill="1" applyBorder="1" applyAlignment="1">
      <alignment horizontal="center" vertical="center" wrapText="1"/>
    </xf>
    <xf numFmtId="0" fontId="27" fillId="22" borderId="3" xfId="1" applyFont="1" applyFill="1" applyBorder="1" applyAlignment="1">
      <alignment horizontal="center" vertical="center" wrapText="1"/>
    </xf>
    <xf numFmtId="0" fontId="27" fillId="22" borderId="4" xfId="1" applyFont="1" applyFill="1" applyBorder="1" applyAlignment="1">
      <alignment horizontal="center" vertical="center" wrapText="1"/>
    </xf>
    <xf numFmtId="0" fontId="27" fillId="22" borderId="6" xfId="1" applyFont="1" applyFill="1" applyBorder="1" applyAlignment="1">
      <alignment horizontal="center" vertical="center" wrapText="1"/>
    </xf>
    <xf numFmtId="0" fontId="29" fillId="23" borderId="2" xfId="1" applyFont="1" applyFill="1" applyBorder="1" applyAlignment="1">
      <alignment horizontal="left" vertical="center" wrapText="1"/>
    </xf>
    <xf numFmtId="0" fontId="29" fillId="23" borderId="3" xfId="1" applyFont="1" applyFill="1" applyBorder="1" applyAlignment="1">
      <alignment horizontal="center" vertical="center" wrapText="1"/>
    </xf>
    <xf numFmtId="0" fontId="29" fillId="23" borderId="3" xfId="1" applyFont="1" applyFill="1" applyBorder="1" applyAlignment="1">
      <alignment horizontal="left" vertical="center" wrapText="1"/>
    </xf>
    <xf numFmtId="0" fontId="29" fillId="23" borderId="4" xfId="1" applyFont="1" applyFill="1" applyBorder="1" applyAlignment="1">
      <alignment horizontal="left" vertical="center" wrapText="1"/>
    </xf>
    <xf numFmtId="0" fontId="29" fillId="23" borderId="6" xfId="1" applyFont="1" applyFill="1" applyBorder="1" applyAlignment="1">
      <alignment horizontal="left" vertical="center" wrapText="1"/>
    </xf>
    <xf numFmtId="0" fontId="29" fillId="23" borderId="9" xfId="1" applyFont="1" applyFill="1" applyBorder="1" applyAlignment="1">
      <alignment horizontal="left" vertical="center" wrapText="1"/>
    </xf>
    <xf numFmtId="0" fontId="29" fillId="23" borderId="9" xfId="1" applyFont="1" applyFill="1" applyBorder="1" applyAlignment="1">
      <alignment horizontal="center" vertical="center" wrapText="1"/>
    </xf>
    <xf numFmtId="0" fontId="24" fillId="28" borderId="0" xfId="0" applyFont="1" applyFill="1" applyAlignment="1">
      <alignment vertical="center" wrapText="1"/>
    </xf>
    <xf numFmtId="0" fontId="14" fillId="23" borderId="11" xfId="0" applyFont="1" applyFill="1" applyBorder="1" applyAlignment="1">
      <alignment horizontal="center" vertical="center" wrapText="1"/>
    </xf>
    <xf numFmtId="0" fontId="14" fillId="23" borderId="1" xfId="0" applyFont="1" applyFill="1" applyBorder="1" applyAlignment="1">
      <alignment horizontal="center" vertical="center" wrapText="1"/>
    </xf>
    <xf numFmtId="0" fontId="14" fillId="32" borderId="1" xfId="0" applyFont="1" applyFill="1" applyBorder="1" applyAlignment="1">
      <alignment horizontal="center" vertical="center"/>
    </xf>
    <xf numFmtId="0" fontId="34" fillId="23" borderId="21" xfId="0" applyFont="1" applyFill="1" applyBorder="1" applyAlignment="1">
      <alignment horizontal="center" vertical="center" wrapText="1"/>
    </xf>
    <xf numFmtId="0" fontId="14" fillId="23" borderId="12" xfId="0" applyFont="1" applyFill="1" applyBorder="1" applyAlignment="1">
      <alignment horizontal="center" vertical="center" wrapText="1"/>
    </xf>
    <xf numFmtId="0" fontId="14" fillId="23" borderId="13" xfId="0" applyFont="1" applyFill="1" applyBorder="1" applyAlignment="1">
      <alignment horizontal="center" vertical="center" wrapText="1"/>
    </xf>
    <xf numFmtId="0" fontId="25" fillId="21" borderId="1" xfId="0" applyFont="1" applyFill="1" applyBorder="1" applyAlignment="1">
      <alignment horizontal="center" vertical="center" wrapText="1"/>
    </xf>
    <xf numFmtId="0" fontId="28" fillId="19" borderId="1" xfId="0" applyFont="1" applyFill="1" applyBorder="1" applyAlignment="1">
      <alignment horizontal="center" vertical="center" wrapText="1"/>
    </xf>
    <xf numFmtId="0" fontId="35" fillId="26" borderId="0" xfId="0" applyFont="1" applyFill="1" applyAlignment="1">
      <alignment horizontal="center" vertical="center" wrapText="1"/>
    </xf>
    <xf numFmtId="0" fontId="31" fillId="21" borderId="15" xfId="0" applyFont="1" applyFill="1" applyBorder="1" applyAlignment="1">
      <alignment horizontal="center" vertical="center" wrapText="1"/>
    </xf>
    <xf numFmtId="0" fontId="31" fillId="19" borderId="15" xfId="0" applyFont="1" applyFill="1" applyBorder="1" applyAlignment="1">
      <alignment horizontal="center" vertical="center" wrapText="1"/>
    </xf>
    <xf numFmtId="0" fontId="31" fillId="25" borderId="15" xfId="0" applyFont="1" applyFill="1" applyBorder="1" applyAlignment="1">
      <alignment horizontal="center" vertical="center" wrapText="1"/>
    </xf>
    <xf numFmtId="0" fontId="32" fillId="25" borderId="0" xfId="0" applyFont="1" applyFill="1" applyAlignment="1">
      <alignment horizontal="center" vertical="center" wrapText="1"/>
    </xf>
    <xf numFmtId="0" fontId="32" fillId="20" borderId="0" xfId="0" applyFont="1" applyFill="1" applyAlignment="1">
      <alignment horizontal="center" vertical="center" wrapText="1"/>
    </xf>
    <xf numFmtId="0" fontId="35" fillId="20" borderId="0" xfId="0" applyFont="1" applyFill="1" applyAlignment="1">
      <alignment horizontal="center" vertical="center" wrapText="1"/>
    </xf>
    <xf numFmtId="0" fontId="33" fillId="19" borderId="1" xfId="0" applyFont="1" applyFill="1" applyBorder="1" applyAlignment="1">
      <alignment horizontal="center" vertical="center" wrapText="1"/>
    </xf>
    <xf numFmtId="0" fontId="34" fillId="23" borderId="21" xfId="0" applyFont="1" applyFill="1" applyBorder="1" applyAlignment="1">
      <alignment horizontal="center" vertical="center" wrapText="1"/>
    </xf>
    <xf numFmtId="0" fontId="33" fillId="21" borderId="1" xfId="0" applyFont="1" applyFill="1" applyBorder="1" applyAlignment="1">
      <alignment horizontal="center" vertical="center" wrapText="1"/>
    </xf>
    <xf numFmtId="0" fontId="33" fillId="20" borderId="1" xfId="0" applyFont="1" applyFill="1" applyBorder="1" applyAlignment="1">
      <alignment horizontal="center" vertical="center" wrapText="1"/>
    </xf>
    <xf numFmtId="0" fontId="31" fillId="21" borderId="11" xfId="0" applyFont="1" applyFill="1" applyBorder="1" applyAlignment="1">
      <alignment horizontal="center" vertical="center" wrapText="1"/>
    </xf>
    <xf numFmtId="0" fontId="31" fillId="21" borderId="12" xfId="0" applyFont="1" applyFill="1" applyBorder="1" applyAlignment="1">
      <alignment horizontal="center" vertical="center" wrapText="1"/>
    </xf>
    <xf numFmtId="0" fontId="31" fillId="21" borderId="13" xfId="0" applyFont="1" applyFill="1" applyBorder="1" applyAlignment="1">
      <alignment horizontal="center" vertical="center" wrapText="1"/>
    </xf>
    <xf numFmtId="0" fontId="32" fillId="25" borderId="11" xfId="0" applyFont="1" applyFill="1" applyBorder="1" applyAlignment="1">
      <alignment horizontal="center" vertical="center" wrapText="1"/>
    </xf>
    <xf numFmtId="0" fontId="32" fillId="25" borderId="13" xfId="0" applyFont="1" applyFill="1" applyBorder="1" applyAlignment="1">
      <alignment horizontal="center" vertical="center" wrapText="1"/>
    </xf>
    <xf numFmtId="0" fontId="32" fillId="19" borderId="14" xfId="0" applyFont="1" applyFill="1" applyBorder="1" applyAlignment="1">
      <alignment horizontal="center" vertical="center" wrapText="1"/>
    </xf>
    <xf numFmtId="0" fontId="32" fillId="19" borderId="0" xfId="0" applyFont="1" applyFill="1" applyBorder="1" applyAlignment="1">
      <alignment horizontal="center" vertical="center" wrapText="1"/>
    </xf>
    <xf numFmtId="0" fontId="33" fillId="21" borderId="0" xfId="0" applyFont="1" applyFill="1" applyAlignment="1">
      <alignment horizontal="center" vertical="center" wrapText="1"/>
    </xf>
    <xf numFmtId="0" fontId="32" fillId="19" borderId="11" xfId="0" applyFont="1" applyFill="1" applyBorder="1" applyAlignment="1">
      <alignment horizontal="center" vertical="center" wrapText="1"/>
    </xf>
    <xf numFmtId="0" fontId="32" fillId="19" borderId="12" xfId="0" applyFont="1" applyFill="1" applyBorder="1" applyAlignment="1">
      <alignment horizontal="center" vertical="center" wrapText="1"/>
    </xf>
    <xf numFmtId="0" fontId="32" fillId="19" borderId="13" xfId="0" applyFont="1" applyFill="1" applyBorder="1" applyAlignment="1">
      <alignment horizontal="center" vertical="center" wrapText="1"/>
    </xf>
    <xf numFmtId="0" fontId="14" fillId="23" borderId="12" xfId="0" applyFont="1" applyFill="1" applyBorder="1" applyAlignment="1">
      <alignment horizontal="center" vertical="center" wrapText="1"/>
    </xf>
    <xf numFmtId="0" fontId="14" fillId="23" borderId="13"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25" fillId="21" borderId="0" xfId="1" applyFont="1" applyFill="1" applyAlignment="1">
      <alignment horizontal="center" vertical="center" wrapText="1"/>
    </xf>
    <xf numFmtId="0" fontId="28" fillId="19" borderId="2" xfId="1" applyFont="1" applyFill="1" applyBorder="1" applyAlignment="1">
      <alignment horizontal="center" vertical="center" wrapText="1"/>
    </xf>
    <xf numFmtId="0" fontId="28" fillId="19" borderId="3" xfId="1" applyFont="1" applyFill="1" applyBorder="1" applyAlignment="1">
      <alignment horizontal="center" vertical="center" wrapText="1"/>
    </xf>
    <xf numFmtId="0" fontId="28" fillId="19" borderId="4" xfId="1" applyFont="1" applyFill="1" applyBorder="1" applyAlignment="1">
      <alignment horizontal="center" vertical="center" wrapText="1"/>
    </xf>
    <xf numFmtId="0" fontId="28" fillId="19" borderId="5" xfId="1" applyFont="1" applyFill="1" applyBorder="1" applyAlignment="1">
      <alignment horizontal="center" vertical="center" wrapText="1"/>
    </xf>
    <xf numFmtId="0" fontId="28" fillId="19" borderId="6" xfId="1" applyFont="1" applyFill="1" applyBorder="1" applyAlignment="1">
      <alignment horizontal="center" vertical="center" wrapText="1"/>
    </xf>
    <xf numFmtId="0" fontId="28" fillId="25" borderId="5" xfId="1" applyFont="1" applyFill="1" applyBorder="1" applyAlignment="1">
      <alignment horizontal="center" vertical="center" wrapText="1"/>
    </xf>
    <xf numFmtId="0" fontId="29" fillId="24" borderId="6" xfId="1" applyFont="1" applyFill="1" applyBorder="1" applyAlignment="1">
      <alignment horizontal="left" vertical="center" wrapText="1"/>
    </xf>
    <xf numFmtId="0" fontId="27" fillId="22" borderId="21" xfId="0" applyFont="1" applyFill="1" applyBorder="1" applyAlignment="1">
      <alignment horizontal="center" vertical="center" wrapText="1"/>
    </xf>
    <xf numFmtId="0" fontId="29" fillId="23" borderId="21" xfId="0" applyFont="1" applyFill="1" applyBorder="1" applyAlignment="1">
      <alignment vertical="center" wrapText="1"/>
    </xf>
    <xf numFmtId="0" fontId="30" fillId="11" borderId="21" xfId="0" applyFont="1" applyFill="1" applyBorder="1" applyAlignment="1">
      <alignment horizontal="center" vertical="center" wrapText="1"/>
    </xf>
    <xf numFmtId="0" fontId="30" fillId="12" borderId="21" xfId="0" applyFont="1" applyFill="1" applyBorder="1" applyAlignment="1">
      <alignment horizontal="center" vertical="center" wrapText="1"/>
    </xf>
    <xf numFmtId="0" fontId="30" fillId="13" borderId="21" xfId="0" applyFont="1" applyFill="1" applyBorder="1" applyAlignment="1">
      <alignment horizontal="center" vertical="center" wrapText="1"/>
    </xf>
    <xf numFmtId="0" fontId="30" fillId="14" borderId="21" xfId="0" applyFont="1" applyFill="1" applyBorder="1" applyAlignment="1">
      <alignment horizontal="center" vertical="center" wrapText="1"/>
    </xf>
    <xf numFmtId="0" fontId="30" fillId="15" borderId="21" xfId="0" applyFont="1" applyFill="1" applyBorder="1" applyAlignment="1">
      <alignment horizontal="center" vertical="center" wrapText="1"/>
    </xf>
    <xf numFmtId="0" fontId="30" fillId="2" borderId="21" xfId="0" applyFont="1" applyFill="1" applyBorder="1" applyAlignment="1">
      <alignment horizontal="center" vertical="center" wrapText="1"/>
    </xf>
    <xf numFmtId="0" fontId="30" fillId="16" borderId="21" xfId="0" applyFont="1" applyFill="1" applyBorder="1" applyAlignment="1">
      <alignment horizontal="center" vertical="center" wrapText="1"/>
    </xf>
    <xf numFmtId="0" fontId="30" fillId="17" borderId="21" xfId="0" applyFont="1" applyFill="1" applyBorder="1" applyAlignment="1">
      <alignment horizontal="center" vertical="center" wrapText="1"/>
    </xf>
    <xf numFmtId="0" fontId="30" fillId="18" borderId="21" xfId="0" applyFont="1" applyFill="1" applyBorder="1" applyAlignment="1">
      <alignment horizontal="center" vertical="center" wrapText="1"/>
    </xf>
    <xf numFmtId="0" fontId="30" fillId="19" borderId="21" xfId="0" applyFont="1" applyFill="1" applyBorder="1" applyAlignment="1">
      <alignment horizontal="center" vertical="center" wrapText="1"/>
    </xf>
    <xf numFmtId="0" fontId="29" fillId="24" borderId="21" xfId="0" applyFont="1" applyFill="1" applyBorder="1" applyAlignment="1">
      <alignment vertical="center" wrapText="1"/>
    </xf>
    <xf numFmtId="0" fontId="29" fillId="24" borderId="21" xfId="0" applyFont="1" applyFill="1" applyBorder="1" applyAlignment="1">
      <alignment vertical="center" wrapText="1"/>
    </xf>
    <xf numFmtId="0" fontId="37" fillId="20" borderId="0" xfId="0" applyFont="1" applyFill="1" applyAlignment="1">
      <alignment horizontal="center" vertical="center" wrapText="1"/>
    </xf>
    <xf numFmtId="0" fontId="37" fillId="0" borderId="0" xfId="0" applyFont="1" applyAlignment="1">
      <alignment vertical="center" wrapText="1"/>
    </xf>
    <xf numFmtId="0" fontId="37" fillId="20" borderId="16" xfId="0" applyFont="1" applyFill="1" applyBorder="1" applyAlignment="1">
      <alignment vertical="center" wrapText="1"/>
    </xf>
    <xf numFmtId="0" fontId="37" fillId="20" borderId="16" xfId="0" applyFont="1" applyFill="1" applyBorder="1" applyAlignment="1">
      <alignment horizontal="center" vertical="center" wrapText="1"/>
    </xf>
    <xf numFmtId="0" fontId="38" fillId="20" borderId="0" xfId="0" applyFont="1" applyFill="1" applyAlignment="1">
      <alignment horizontal="center" vertical="center" wrapText="1"/>
    </xf>
    <xf numFmtId="0" fontId="38" fillId="20" borderId="0" xfId="0" applyFont="1" applyFill="1" applyAlignment="1">
      <alignment horizontal="center" vertical="center" wrapText="1"/>
    </xf>
    <xf numFmtId="0" fontId="37" fillId="20" borderId="19" xfId="0" applyFont="1" applyFill="1" applyBorder="1" applyAlignment="1">
      <alignment vertical="center" wrapText="1"/>
    </xf>
    <xf numFmtId="0" fontId="37" fillId="20" borderId="20" xfId="0" applyFont="1" applyFill="1" applyBorder="1" applyAlignment="1">
      <alignment vertical="center" wrapText="1"/>
    </xf>
    <xf numFmtId="0" fontId="33" fillId="25" borderId="0" xfId="0" applyFont="1" applyFill="1" applyAlignment="1">
      <alignment horizontal="center" vertical="center" wrapText="1"/>
    </xf>
    <xf numFmtId="0" fontId="35" fillId="26" borderId="17" xfId="0" applyFont="1" applyFill="1" applyBorder="1" applyAlignment="1">
      <alignment horizontal="center" vertical="center" wrapText="1"/>
    </xf>
    <xf numFmtId="0" fontId="33" fillId="20" borderId="0" xfId="0" applyFont="1" applyFill="1" applyAlignment="1">
      <alignment horizontal="center" vertical="center" wrapText="1"/>
    </xf>
    <xf numFmtId="0" fontId="35" fillId="20" borderId="18" xfId="0" applyFont="1" applyFill="1" applyBorder="1" applyAlignment="1">
      <alignment vertical="center" wrapText="1"/>
    </xf>
    <xf numFmtId="0" fontId="34" fillId="23" borderId="25" xfId="0" applyFont="1" applyFill="1" applyBorder="1" applyAlignment="1">
      <alignment horizontal="center" vertical="center" wrapText="1"/>
    </xf>
    <xf numFmtId="0" fontId="34" fillId="23" borderId="26" xfId="0" applyFont="1" applyFill="1" applyBorder="1" applyAlignment="1">
      <alignment horizontal="center" vertical="center" wrapText="1"/>
    </xf>
    <xf numFmtId="0" fontId="34" fillId="23" borderId="27" xfId="0" applyFont="1" applyFill="1" applyBorder="1" applyAlignment="1">
      <alignment horizontal="center" vertical="center" wrapText="1"/>
    </xf>
    <xf numFmtId="0" fontId="34" fillId="23" borderId="28" xfId="0" applyFont="1" applyFill="1" applyBorder="1" applyAlignment="1">
      <alignment horizontal="center" vertical="center" wrapText="1"/>
    </xf>
    <xf numFmtId="0" fontId="34" fillId="23" borderId="29" xfId="0" applyFont="1" applyFill="1" applyBorder="1" applyAlignment="1">
      <alignment horizontal="center" vertical="center" wrapText="1"/>
    </xf>
    <xf numFmtId="0" fontId="34" fillId="23" borderId="30" xfId="0" applyFont="1" applyFill="1" applyBorder="1" applyAlignment="1">
      <alignment horizontal="center" vertical="center" wrapText="1"/>
    </xf>
    <xf numFmtId="0" fontId="32" fillId="19" borderId="28" xfId="0" applyFont="1" applyFill="1" applyBorder="1" applyAlignment="1">
      <alignment horizontal="center" vertical="center" wrapText="1"/>
    </xf>
    <xf numFmtId="0" fontId="32" fillId="19" borderId="29" xfId="0" applyFont="1" applyFill="1" applyBorder="1" applyAlignment="1">
      <alignment horizontal="center" vertical="center" wrapText="1"/>
    </xf>
    <xf numFmtId="0" fontId="32" fillId="19" borderId="30" xfId="0" applyFont="1" applyFill="1" applyBorder="1" applyAlignment="1">
      <alignment horizontal="center" vertical="center" wrapText="1"/>
    </xf>
    <xf numFmtId="0" fontId="34" fillId="23" borderId="31" xfId="0" applyFont="1" applyFill="1" applyBorder="1" applyAlignment="1">
      <alignment horizontal="center" vertical="center" wrapText="1"/>
    </xf>
    <xf numFmtId="0" fontId="34" fillId="23" borderId="32" xfId="0" applyFont="1" applyFill="1" applyBorder="1" applyAlignment="1">
      <alignment horizontal="center" vertical="center" wrapText="1"/>
    </xf>
    <xf numFmtId="0" fontId="34" fillId="23" borderId="33" xfId="0" applyFont="1" applyFill="1" applyBorder="1" applyAlignment="1">
      <alignment horizontal="center" vertical="center" wrapText="1"/>
    </xf>
    <xf numFmtId="0" fontId="27" fillId="22" borderId="21" xfId="0" applyFont="1" applyFill="1" applyBorder="1" applyAlignment="1">
      <alignment horizontal="center" vertical="center" wrapText="1"/>
    </xf>
    <xf numFmtId="0" fontId="34" fillId="23" borderId="21" xfId="0" applyFont="1" applyFill="1" applyBorder="1" applyAlignment="1">
      <alignment vertical="center" wrapText="1"/>
    </xf>
    <xf numFmtId="0" fontId="33" fillId="21" borderId="34" xfId="0" applyFont="1" applyFill="1" applyBorder="1" applyAlignment="1">
      <alignment horizontal="center" vertical="center" wrapText="1"/>
    </xf>
    <xf numFmtId="0" fontId="33" fillId="20" borderId="34" xfId="0" applyFont="1" applyFill="1" applyBorder="1" applyAlignment="1">
      <alignment horizontal="center" vertical="center" wrapText="1"/>
    </xf>
    <xf numFmtId="0" fontId="39" fillId="22" borderId="21" xfId="0" applyFont="1" applyFill="1" applyBorder="1" applyAlignment="1">
      <alignment horizontal="center" vertical="center" wrapText="1"/>
    </xf>
    <xf numFmtId="0" fontId="39" fillId="20" borderId="21" xfId="0" applyFont="1" applyFill="1" applyBorder="1" applyAlignment="1">
      <alignment horizontal="center" vertical="center" wrapText="1"/>
    </xf>
    <xf numFmtId="0" fontId="40" fillId="23" borderId="21" xfId="0" applyFont="1" applyFill="1" applyBorder="1" applyAlignment="1">
      <alignment horizontal="center" vertical="center" wrapText="1"/>
    </xf>
    <xf numFmtId="0" fontId="41" fillId="24" borderId="21" xfId="0" applyFont="1" applyFill="1" applyBorder="1" applyAlignment="1">
      <alignment horizontal="center" vertical="center" wrapText="1"/>
    </xf>
    <xf numFmtId="0" fontId="41" fillId="20" borderId="21" xfId="0" applyFont="1" applyFill="1" applyBorder="1" applyAlignment="1">
      <alignment horizontal="center" vertical="center" wrapText="1"/>
    </xf>
    <xf numFmtId="0" fontId="27" fillId="20" borderId="21" xfId="0" applyFont="1" applyFill="1" applyBorder="1" applyAlignment="1">
      <alignment horizontal="center" vertical="center" wrapText="1"/>
    </xf>
    <xf numFmtId="0" fontId="42" fillId="26" borderId="21" xfId="0" applyFont="1" applyFill="1" applyBorder="1" applyAlignment="1">
      <alignment horizontal="center" vertical="center" wrapText="1"/>
    </xf>
    <xf numFmtId="0" fontId="42" fillId="23" borderId="21" xfId="0" applyFont="1" applyFill="1" applyBorder="1" applyAlignment="1">
      <alignment horizontal="center" vertical="center" wrapText="1"/>
    </xf>
    <xf numFmtId="0" fontId="42" fillId="20" borderId="21" xfId="0" applyFont="1" applyFill="1" applyBorder="1" applyAlignment="1">
      <alignment horizontal="center" vertical="center" wrapText="1"/>
    </xf>
    <xf numFmtId="0" fontId="43" fillId="27" borderId="21" xfId="0" applyFont="1" applyFill="1" applyBorder="1" applyAlignment="1">
      <alignment horizontal="center" vertical="center" wrapText="1"/>
    </xf>
    <xf numFmtId="0" fontId="42" fillId="26" borderId="21" xfId="0" applyFont="1" applyFill="1" applyBorder="1" applyAlignment="1">
      <alignment vertical="center" wrapText="1"/>
    </xf>
    <xf numFmtId="0" fontId="42" fillId="23" borderId="21" xfId="0" applyFont="1" applyFill="1" applyBorder="1" applyAlignment="1">
      <alignment horizontal="center" vertical="center" wrapText="1"/>
    </xf>
    <xf numFmtId="0" fontId="42" fillId="24" borderId="21" xfId="0" applyFont="1" applyFill="1" applyBorder="1" applyAlignment="1">
      <alignment horizontal="center" vertical="center" wrapText="1"/>
    </xf>
    <xf numFmtId="0" fontId="42" fillId="24" borderId="21" xfId="0" applyFont="1" applyFill="1" applyBorder="1" applyAlignment="1">
      <alignment horizontal="center" vertical="center" wrapText="1"/>
    </xf>
    <xf numFmtId="0" fontId="32" fillId="25" borderId="21" xfId="0" applyFont="1" applyFill="1" applyBorder="1" applyAlignment="1">
      <alignment horizontal="center" vertical="center" wrapText="1"/>
    </xf>
    <xf numFmtId="0" fontId="42" fillId="23" borderId="21" xfId="0" applyFont="1" applyFill="1" applyBorder="1" applyAlignment="1">
      <alignment vertical="center" wrapText="1"/>
    </xf>
    <xf numFmtId="0" fontId="42" fillId="20" borderId="21" xfId="0" applyFont="1" applyFill="1" applyBorder="1" applyAlignment="1">
      <alignment horizontal="center" vertical="center" wrapText="1"/>
    </xf>
    <xf numFmtId="0" fontId="29" fillId="20" borderId="0" xfId="0" applyFont="1" applyFill="1" applyAlignment="1">
      <alignment horizontal="center" vertical="center" wrapText="1"/>
    </xf>
    <xf numFmtId="0" fontId="44" fillId="22" borderId="21" xfId="0" applyFont="1" applyFill="1" applyBorder="1" applyAlignment="1">
      <alignment horizontal="center" vertical="center" wrapText="1"/>
    </xf>
    <xf numFmtId="0" fontId="45" fillId="26" borderId="21" xfId="0" applyFont="1" applyFill="1" applyBorder="1" applyAlignment="1">
      <alignment horizontal="center" vertical="center" wrapText="1"/>
    </xf>
    <xf numFmtId="0" fontId="46" fillId="24" borderId="21" xfId="0" applyFont="1" applyFill="1" applyBorder="1" applyAlignment="1">
      <alignment horizontal="center" vertical="center" wrapText="1"/>
    </xf>
    <xf numFmtId="0" fontId="44" fillId="22" borderId="21" xfId="0" applyFont="1" applyFill="1" applyBorder="1" applyAlignment="1">
      <alignment horizontal="center" vertical="center" wrapText="1"/>
    </xf>
    <xf numFmtId="0" fontId="33" fillId="19" borderId="21" xfId="0" applyFont="1" applyFill="1" applyBorder="1" applyAlignment="1">
      <alignment horizontal="center" vertical="center" wrapText="1"/>
    </xf>
    <xf numFmtId="0" fontId="32" fillId="21" borderId="21" xfId="0" applyFont="1" applyFill="1" applyBorder="1" applyAlignment="1">
      <alignment horizontal="center" vertical="center" wrapText="1"/>
    </xf>
    <xf numFmtId="0" fontId="27" fillId="24" borderId="21" xfId="0" applyFont="1" applyFill="1" applyBorder="1" applyAlignment="1">
      <alignment horizontal="center" vertical="center" wrapText="1"/>
    </xf>
    <xf numFmtId="0" fontId="34" fillId="26" borderId="21" xfId="0" applyFont="1" applyFill="1" applyBorder="1" applyAlignment="1">
      <alignment horizontal="center" vertical="center" wrapText="1"/>
    </xf>
    <xf numFmtId="0" fontId="27" fillId="27" borderId="21" xfId="0" applyFont="1" applyFill="1" applyBorder="1" applyAlignment="1">
      <alignment horizontal="center" vertical="center" wrapText="1"/>
    </xf>
    <xf numFmtId="0" fontId="27" fillId="22" borderId="22" xfId="0" applyFont="1" applyFill="1" applyBorder="1" applyAlignment="1">
      <alignment horizontal="center" vertical="center" wrapText="1"/>
    </xf>
    <xf numFmtId="0" fontId="27" fillId="22" borderId="23" xfId="0" applyFont="1" applyFill="1" applyBorder="1" applyAlignment="1">
      <alignment horizontal="center" vertical="center" wrapText="1"/>
    </xf>
    <xf numFmtId="0" fontId="27" fillId="22" borderId="24" xfId="0" applyFont="1" applyFill="1" applyBorder="1" applyAlignment="1">
      <alignment horizontal="center" vertical="center" wrapText="1"/>
    </xf>
    <xf numFmtId="0" fontId="26" fillId="22" borderId="21" xfId="0" applyFont="1" applyFill="1" applyBorder="1" applyAlignment="1">
      <alignment horizontal="center" vertical="center" wrapText="1"/>
    </xf>
    <xf numFmtId="0" fontId="29" fillId="23" borderId="21" xfId="0" applyFont="1" applyFill="1" applyBorder="1" applyAlignment="1">
      <alignment horizontal="center" vertical="center" wrapText="1"/>
    </xf>
    <xf numFmtId="0" fontId="29" fillId="24" borderId="21" xfId="0" applyFont="1" applyFill="1" applyBorder="1" applyAlignment="1">
      <alignment horizontal="center" vertical="center" wrapText="1"/>
    </xf>
    <xf numFmtId="0" fontId="28" fillId="19" borderId="21" xfId="0" applyFont="1" applyFill="1" applyBorder="1" applyAlignment="1">
      <alignment horizontal="center" vertical="center" wrapText="1"/>
    </xf>
    <xf numFmtId="0" fontId="35" fillId="24" borderId="21" xfId="0" applyFont="1" applyFill="1" applyBorder="1" applyAlignment="1">
      <alignment vertical="center" wrapText="1"/>
    </xf>
    <xf numFmtId="0" fontId="28" fillId="25" borderId="21" xfId="0" applyFont="1" applyFill="1" applyBorder="1" applyAlignment="1">
      <alignment horizontal="center" vertical="center" wrapText="1"/>
    </xf>
    <xf numFmtId="0" fontId="27" fillId="22" borderId="21" xfId="1" applyFont="1" applyFill="1" applyBorder="1" applyAlignment="1">
      <alignment horizontal="center" vertical="center" wrapText="1"/>
    </xf>
    <xf numFmtId="0" fontId="29" fillId="23" borderId="21" xfId="1" applyFont="1" applyFill="1" applyBorder="1" applyAlignment="1">
      <alignment horizontal="left" vertical="center" wrapText="1"/>
    </xf>
    <xf numFmtId="0" fontId="29" fillId="23" borderId="21" xfId="2" applyFont="1" applyFill="1" applyBorder="1" applyAlignment="1">
      <alignment horizontal="center" wrapText="1"/>
    </xf>
    <xf numFmtId="0" fontId="29" fillId="23" borderId="21" xfId="2" applyFont="1" applyFill="1" applyBorder="1" applyAlignment="1">
      <alignment wrapText="1"/>
    </xf>
    <xf numFmtId="0" fontId="28" fillId="19" borderId="21" xfId="1" applyFont="1" applyFill="1" applyBorder="1" applyAlignment="1">
      <alignment horizontal="center" vertical="center" wrapText="1"/>
    </xf>
    <xf numFmtId="0" fontId="27" fillId="22" borderId="21" xfId="2" applyFont="1" applyFill="1" applyBorder="1" applyAlignment="1">
      <alignment horizontal="center" vertical="center" wrapText="1"/>
    </xf>
    <xf numFmtId="0" fontId="29" fillId="23" borderId="21" xfId="1" applyFont="1" applyFill="1" applyBorder="1" applyAlignment="1">
      <alignment horizontal="center" vertical="center" wrapText="1"/>
    </xf>
    <xf numFmtId="0" fontId="28" fillId="25" borderId="21" xfId="2" applyFont="1" applyFill="1" applyBorder="1" applyAlignment="1">
      <alignment horizontal="center" vertical="center" wrapText="1"/>
    </xf>
    <xf numFmtId="0" fontId="29" fillId="24" borderId="21" xfId="1" applyFont="1" applyFill="1" applyBorder="1" applyAlignment="1">
      <alignment horizontal="left" vertical="center" wrapText="1"/>
    </xf>
    <xf numFmtId="0" fontId="26" fillId="26" borderId="21" xfId="0" applyFont="1" applyFill="1" applyBorder="1" applyAlignment="1">
      <alignment vertical="center" wrapText="1"/>
    </xf>
    <xf numFmtId="0" fontId="21" fillId="30" borderId="21" xfId="0" applyFont="1" applyFill="1" applyBorder="1" applyAlignment="1">
      <alignment horizontal="center" vertical="center" wrapText="1"/>
    </xf>
    <xf numFmtId="0" fontId="22" fillId="31" borderId="21" xfId="0" applyFont="1" applyFill="1" applyBorder="1" applyAlignment="1">
      <alignment vertical="center" wrapText="1"/>
    </xf>
    <xf numFmtId="0" fontId="20" fillId="29" borderId="22" xfId="0" applyFont="1" applyFill="1" applyBorder="1" applyAlignment="1">
      <alignment horizontal="center" vertical="center" wrapText="1"/>
    </xf>
    <xf numFmtId="0" fontId="20" fillId="29" borderId="23" xfId="0" applyFont="1" applyFill="1" applyBorder="1" applyAlignment="1">
      <alignment horizontal="center" vertical="center" wrapText="1"/>
    </xf>
    <xf numFmtId="0" fontId="20" fillId="29" borderId="24" xfId="0" applyFont="1" applyFill="1" applyBorder="1" applyAlignment="1">
      <alignment horizontal="center" vertical="center" wrapText="1"/>
    </xf>
    <xf numFmtId="0" fontId="21" fillId="30" borderId="22" xfId="0" applyFont="1" applyFill="1" applyBorder="1" applyAlignment="1">
      <alignment horizontal="center" vertical="center" wrapText="1"/>
    </xf>
    <xf numFmtId="0" fontId="21" fillId="30" borderId="23" xfId="0" applyFont="1" applyFill="1" applyBorder="1" applyAlignment="1">
      <alignment horizontal="center" vertical="center" wrapText="1"/>
    </xf>
    <xf numFmtId="0" fontId="21" fillId="30" borderId="24" xfId="0" applyFont="1" applyFill="1" applyBorder="1" applyAlignment="1">
      <alignment horizontal="center" vertical="center" wrapText="1"/>
    </xf>
    <xf numFmtId="0" fontId="23" fillId="11" borderId="22" xfId="0" applyFont="1" applyFill="1" applyBorder="1" applyAlignment="1">
      <alignment horizontal="center" vertical="center" wrapText="1"/>
    </xf>
    <xf numFmtId="0" fontId="22" fillId="31" borderId="23" xfId="0" applyFont="1" applyFill="1" applyBorder="1" applyAlignment="1">
      <alignment vertical="center" wrapText="1"/>
    </xf>
    <xf numFmtId="0" fontId="22" fillId="31" borderId="24" xfId="0" applyFont="1" applyFill="1" applyBorder="1" applyAlignment="1">
      <alignment vertical="center" wrapText="1"/>
    </xf>
    <xf numFmtId="0" fontId="23" fillId="12" borderId="22" xfId="0" applyFont="1" applyFill="1" applyBorder="1" applyAlignment="1">
      <alignment horizontal="center" vertical="center" wrapText="1"/>
    </xf>
    <xf numFmtId="0" fontId="23" fillId="13" borderId="22" xfId="0" applyFont="1" applyFill="1" applyBorder="1" applyAlignment="1">
      <alignment horizontal="center" vertical="center" wrapText="1"/>
    </xf>
    <xf numFmtId="0" fontId="23" fillId="14" borderId="22" xfId="0" applyFont="1" applyFill="1" applyBorder="1" applyAlignment="1">
      <alignment horizontal="center" vertical="center" wrapText="1"/>
    </xf>
    <xf numFmtId="0" fontId="23" fillId="15" borderId="22" xfId="0" applyFont="1" applyFill="1" applyBorder="1" applyAlignment="1">
      <alignment horizontal="center" vertical="center" wrapText="1"/>
    </xf>
    <xf numFmtId="0" fontId="23" fillId="2" borderId="22" xfId="0" applyFont="1" applyFill="1" applyBorder="1" applyAlignment="1">
      <alignment horizontal="center" vertical="center" wrapText="1"/>
    </xf>
    <xf numFmtId="0" fontId="23" fillId="16" borderId="22" xfId="0" applyFont="1" applyFill="1" applyBorder="1" applyAlignment="1">
      <alignment horizontal="center" vertical="center" wrapText="1"/>
    </xf>
    <xf numFmtId="0" fontId="23" fillId="17" borderId="22" xfId="0" applyFont="1" applyFill="1" applyBorder="1" applyAlignment="1">
      <alignment horizontal="center" vertical="center" wrapText="1"/>
    </xf>
    <xf numFmtId="0" fontId="23" fillId="18" borderId="22" xfId="0" applyFont="1" applyFill="1" applyBorder="1" applyAlignment="1">
      <alignment horizontal="center" vertical="center" wrapText="1"/>
    </xf>
    <xf numFmtId="0" fontId="23" fillId="19" borderId="22" xfId="0" applyFont="1" applyFill="1" applyBorder="1" applyAlignment="1">
      <alignment horizontal="center" vertical="center" wrapText="1"/>
    </xf>
    <xf numFmtId="0" fontId="14" fillId="28" borderId="0" xfId="0" applyFont="1" applyFill="1" applyAlignment="1">
      <alignment vertical="center"/>
    </xf>
    <xf numFmtId="0" fontId="49" fillId="29" borderId="21" xfId="0" applyFont="1" applyFill="1" applyBorder="1" applyAlignment="1">
      <alignment horizontal="center" vertical="center" wrapText="1"/>
    </xf>
    <xf numFmtId="0" fontId="48" fillId="33" borderId="21" xfId="0" applyFont="1" applyFill="1" applyBorder="1" applyAlignment="1">
      <alignment vertical="center" wrapText="1"/>
    </xf>
    <xf numFmtId="0" fontId="48" fillId="11" borderId="21" xfId="0" applyFont="1" applyFill="1" applyBorder="1" applyAlignment="1">
      <alignment vertical="center" wrapText="1"/>
    </xf>
    <xf numFmtId="0" fontId="48" fillId="15" borderId="21" xfId="0" applyFont="1" applyFill="1" applyBorder="1" applyAlignment="1">
      <alignment vertical="center" wrapText="1"/>
    </xf>
    <xf numFmtId="0" fontId="48" fillId="18" borderId="21" xfId="0" applyFont="1" applyFill="1" applyBorder="1" applyAlignment="1">
      <alignment vertical="center" wrapText="1"/>
    </xf>
    <xf numFmtId="0" fontId="48" fillId="13" borderId="21" xfId="0" applyFont="1" applyFill="1" applyBorder="1" applyAlignment="1">
      <alignment vertical="center" wrapText="1"/>
    </xf>
    <xf numFmtId="0" fontId="48" fillId="14" borderId="21" xfId="0" applyFont="1" applyFill="1" applyBorder="1" applyAlignment="1">
      <alignment vertical="center" wrapText="1"/>
    </xf>
    <xf numFmtId="0" fontId="48" fillId="12" borderId="21" xfId="0" applyFont="1" applyFill="1" applyBorder="1" applyAlignment="1">
      <alignment vertical="center" wrapText="1"/>
    </xf>
    <xf numFmtId="0" fontId="48" fillId="17" borderId="21" xfId="0" applyFont="1" applyFill="1" applyBorder="1" applyAlignment="1">
      <alignment vertical="center" wrapText="1"/>
    </xf>
    <xf numFmtId="0" fontId="48" fillId="16" borderId="21" xfId="0" applyFont="1" applyFill="1" applyBorder="1" applyAlignment="1">
      <alignment vertical="center" wrapText="1"/>
    </xf>
    <xf numFmtId="0" fontId="48" fillId="19" borderId="21" xfId="0" applyFont="1" applyFill="1" applyBorder="1" applyAlignment="1">
      <alignment vertical="center" wrapText="1"/>
    </xf>
    <xf numFmtId="0" fontId="22" fillId="34" borderId="21" xfId="0" applyFont="1" applyFill="1" applyBorder="1" applyAlignment="1">
      <alignment vertical="center" wrapText="1"/>
    </xf>
    <xf numFmtId="0" fontId="14" fillId="28" borderId="21" xfId="0" applyFont="1" applyFill="1" applyBorder="1" applyAlignment="1">
      <alignment vertical="center"/>
    </xf>
    <xf numFmtId="0" fontId="22" fillId="30" borderId="21" xfId="0" applyFont="1" applyFill="1" applyBorder="1" applyAlignment="1">
      <alignment vertical="center" wrapText="1"/>
    </xf>
    <xf numFmtId="0" fontId="22" fillId="34" borderId="21" xfId="0" applyFont="1" applyFill="1" applyBorder="1" applyAlignment="1">
      <alignment vertical="center" wrapText="1"/>
    </xf>
    <xf numFmtId="0" fontId="36" fillId="31" borderId="21" xfId="0" applyFont="1" applyFill="1" applyBorder="1" applyAlignment="1">
      <alignment vertical="center" wrapText="1"/>
    </xf>
    <xf numFmtId="0" fontId="47" fillId="30" borderId="21" xfId="0" applyFont="1" applyFill="1" applyBorder="1" applyAlignment="1">
      <alignment horizontal="center" vertical="center" wrapText="1"/>
    </xf>
    <xf numFmtId="0" fontId="22" fillId="31" borderId="21" xfId="0" applyFont="1" applyFill="1" applyBorder="1" applyAlignment="1">
      <alignment horizontal="center" vertical="center" wrapText="1"/>
    </xf>
    <xf numFmtId="0" fontId="50" fillId="35" borderId="21" xfId="0" applyFont="1" applyFill="1" applyBorder="1" applyAlignment="1">
      <alignment horizontal="center" vertical="center" wrapText="1"/>
    </xf>
    <xf numFmtId="0" fontId="50" fillId="36" borderId="21" xfId="0" applyFont="1" applyFill="1" applyBorder="1" applyAlignment="1">
      <alignment horizontal="center" vertical="center" wrapText="1"/>
    </xf>
    <xf numFmtId="0" fontId="47" fillId="30" borderId="21" xfId="0" applyFont="1" applyFill="1" applyBorder="1" applyAlignment="1">
      <alignment horizontal="center" vertical="center" wrapText="1"/>
    </xf>
    <xf numFmtId="0" fontId="22" fillId="31" borderId="21" xfId="0" applyFont="1" applyFill="1" applyBorder="1" applyAlignment="1">
      <alignment vertical="center" wrapText="1"/>
    </xf>
    <xf numFmtId="0" fontId="14" fillId="32" borderId="22" xfId="0" applyFont="1" applyFill="1" applyBorder="1" applyAlignment="1">
      <alignment horizontal="center" vertical="center"/>
    </xf>
    <xf numFmtId="0" fontId="14" fillId="23" borderId="35" xfId="0" applyFont="1" applyFill="1" applyBorder="1" applyAlignment="1">
      <alignment horizontal="center" vertical="center" wrapText="1"/>
    </xf>
  </cellXfs>
  <cellStyles count="3">
    <cellStyle name="Normal" xfId="1" xr:uid="{00000000-0005-0000-0000-000031000000}"/>
    <cellStyle name="常规" xfId="0" builtinId="0"/>
    <cellStyle name="常规 2" xfId="2"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4</xdr:row>
      <xdr:rowOff>0</xdr:rowOff>
    </xdr:to>
    <xdr:sp macro="[0]!RefreshMojiaInventory" textlink="">
      <xdr:nvSpPr>
        <xdr:cNvPr id="2" name="btnRefreshMojiaInventory">
          <a:extLst>
            <a:ext uri="{FF2B5EF4-FFF2-40B4-BE49-F238E27FC236}">
              <a16:creationId xmlns:a16="http://schemas.microsoft.com/office/drawing/2014/main" id="{00000000-0008-0000-0300-000002000000}"/>
            </a:ext>
          </a:extLst>
        </xdr:cNvPr>
        <xdr:cNvSpPr/>
      </xdr:nvSpPr>
      <xdr:spPr>
        <a:xfrm>
          <a:off x="3230880" y="539115"/>
          <a:ext cx="87630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刷新背包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18</xdr:row>
      <xdr:rowOff>0</xdr:rowOff>
    </xdr:from>
    <xdr:to>
      <xdr:col>6</xdr:col>
      <xdr:colOff>922020</xdr:colOff>
      <xdr:row>19</xdr:row>
      <xdr:rowOff>0</xdr:rowOff>
    </xdr:to>
    <xdr:sp macro="[0]!RefreshKuiInventory" textlink="">
      <xdr:nvSpPr>
        <xdr:cNvPr id="2" name="btnRefreshKuiInventory">
          <a:extLst>
            <a:ext uri="{FF2B5EF4-FFF2-40B4-BE49-F238E27FC236}">
              <a16:creationId xmlns:a16="http://schemas.microsoft.com/office/drawing/2014/main" id="{00000000-0008-0000-0400-000002000000}"/>
            </a:ext>
          </a:extLst>
        </xdr:cNvPr>
        <xdr:cNvSpPr/>
      </xdr:nvSpPr>
      <xdr:spPr>
        <a:xfrm>
          <a:off x="3695700" y="5587365"/>
          <a:ext cx="1524000"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刷新魁人背包</a:t>
          </a:r>
        </a:p>
      </xdr:txBody>
    </xdr:sp>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70541D"/>
  </sheetPr>
  <dimension ref="A1:F30"/>
  <sheetViews>
    <sheetView workbookViewId="0">
      <selection activeCell="B2" sqref="B2"/>
    </sheetView>
  </sheetViews>
  <sheetFormatPr defaultColWidth="8.88671875" defaultRowHeight="14.4"/>
  <cols>
    <col min="1" max="1" width="11.77734375" style="9" customWidth="1"/>
    <col min="2" max="2" width="18.77734375" style="9" customWidth="1"/>
    <col min="3" max="3" width="32.77734375" style="9" customWidth="1"/>
    <col min="4" max="4" width="60.77734375" style="9" customWidth="1"/>
    <col min="5" max="5" width="26.77734375" style="9" customWidth="1"/>
    <col min="6" max="6" width="30.77734375" style="9" customWidth="1"/>
    <col min="7" max="16384" width="8.88671875" style="9"/>
  </cols>
  <sheetData>
    <row r="1" spans="1:4" ht="16.8">
      <c r="A1" s="40" t="s">
        <v>0</v>
      </c>
      <c r="B1" s="40"/>
      <c r="C1" s="40"/>
      <c r="D1" s="40"/>
    </row>
    <row r="2" spans="1:4" ht="15">
      <c r="A2" s="83" t="s">
        <v>1</v>
      </c>
      <c r="B2" s="83" t="s">
        <v>2370</v>
      </c>
      <c r="C2" s="14"/>
      <c r="D2" s="14"/>
    </row>
    <row r="3" spans="1:4">
      <c r="A3" s="14"/>
      <c r="B3" s="14"/>
      <c r="C3" s="14"/>
      <c r="D3" s="14"/>
    </row>
    <row r="4" spans="1:4" ht="28.05" customHeight="1">
      <c r="A4" s="41" t="s">
        <v>2</v>
      </c>
      <c r="B4" s="41"/>
      <c r="C4" s="41"/>
      <c r="D4" s="41"/>
    </row>
    <row r="5" spans="1:4" ht="28.05" customHeight="1">
      <c r="A5" s="83" t="s">
        <v>407</v>
      </c>
      <c r="B5" s="83" t="s">
        <v>408</v>
      </c>
      <c r="C5" s="83" t="s">
        <v>409</v>
      </c>
      <c r="D5" s="83" t="s">
        <v>410</v>
      </c>
    </row>
    <row r="6" spans="1:4" ht="28.05" customHeight="1">
      <c r="A6" s="84" t="s">
        <v>411</v>
      </c>
      <c r="B6" s="84" t="s">
        <v>412</v>
      </c>
      <c r="C6" s="84" t="s">
        <v>413</v>
      </c>
      <c r="D6" s="85" t="s">
        <v>414</v>
      </c>
    </row>
    <row r="7" spans="1:4" ht="28.05" customHeight="1">
      <c r="A7" s="84" t="s">
        <v>415</v>
      </c>
      <c r="B7" s="84" t="s">
        <v>416</v>
      </c>
      <c r="C7" s="84" t="s">
        <v>417</v>
      </c>
      <c r="D7" s="86" t="s">
        <v>418</v>
      </c>
    </row>
    <row r="8" spans="1:4" ht="28.05" customHeight="1">
      <c r="A8" s="84" t="s">
        <v>419</v>
      </c>
      <c r="B8" s="84" t="s">
        <v>420</v>
      </c>
      <c r="C8" s="84" t="s">
        <v>421</v>
      </c>
      <c r="D8" s="87" t="s">
        <v>422</v>
      </c>
    </row>
    <row r="9" spans="1:4" ht="28.05" customHeight="1">
      <c r="A9" s="84" t="s">
        <v>423</v>
      </c>
      <c r="B9" s="84" t="s">
        <v>424</v>
      </c>
      <c r="C9" s="84" t="s">
        <v>425</v>
      </c>
      <c r="D9" s="88" t="s">
        <v>426</v>
      </c>
    </row>
    <row r="10" spans="1:4" ht="28.05" customHeight="1">
      <c r="A10" s="84" t="s">
        <v>427</v>
      </c>
      <c r="B10" s="84" t="s">
        <v>428</v>
      </c>
      <c r="C10" s="84" t="s">
        <v>429</v>
      </c>
      <c r="D10" s="89" t="s">
        <v>430</v>
      </c>
    </row>
    <row r="11" spans="1:4" ht="28.05" customHeight="1">
      <c r="A11" s="84" t="s">
        <v>431</v>
      </c>
      <c r="B11" s="84" t="s">
        <v>432</v>
      </c>
      <c r="C11" s="84" t="s">
        <v>433</v>
      </c>
      <c r="D11" s="90" t="s">
        <v>434</v>
      </c>
    </row>
    <row r="12" spans="1:4" ht="28.05" customHeight="1">
      <c r="A12" s="84" t="s">
        <v>435</v>
      </c>
      <c r="B12" s="84" t="s">
        <v>436</v>
      </c>
      <c r="C12" s="84" t="s">
        <v>437</v>
      </c>
      <c r="D12" s="91" t="s">
        <v>438</v>
      </c>
    </row>
    <row r="13" spans="1:4" ht="28.05" customHeight="1">
      <c r="A13" s="84" t="s">
        <v>439</v>
      </c>
      <c r="B13" s="84" t="s">
        <v>440</v>
      </c>
      <c r="C13" s="84" t="s">
        <v>441</v>
      </c>
      <c r="D13" s="92" t="s">
        <v>442</v>
      </c>
    </row>
    <row r="14" spans="1:4" ht="28.05" customHeight="1">
      <c r="A14" s="84" t="s">
        <v>443</v>
      </c>
      <c r="B14" s="84" t="s">
        <v>444</v>
      </c>
      <c r="C14" s="84" t="s">
        <v>445</v>
      </c>
      <c r="D14" s="93" t="s">
        <v>446</v>
      </c>
    </row>
    <row r="15" spans="1:4" ht="28.05" customHeight="1">
      <c r="A15" s="84" t="s">
        <v>2370</v>
      </c>
      <c r="B15" s="84" t="s">
        <v>2371</v>
      </c>
      <c r="C15" s="84" t="s">
        <v>2372</v>
      </c>
      <c r="D15" s="94" t="s">
        <v>2373</v>
      </c>
    </row>
    <row r="16" spans="1:4" ht="28.05" customHeight="1">
      <c r="A16" s="95" t="s">
        <v>448</v>
      </c>
      <c r="B16" s="96" t="s">
        <v>449</v>
      </c>
      <c r="C16" s="96"/>
      <c r="D16" s="96"/>
    </row>
    <row r="17" spans="1:6" ht="28.05" customHeight="1">
      <c r="A17" s="95" t="s">
        <v>450</v>
      </c>
      <c r="B17" s="96"/>
      <c r="C17" s="96"/>
      <c r="D17" s="96"/>
    </row>
    <row r="19" spans="1:6" ht="30" customHeight="1">
      <c r="A19" s="173" t="s">
        <v>2374</v>
      </c>
      <c r="B19" s="174"/>
      <c r="C19" s="174"/>
      <c r="D19" s="174"/>
      <c r="E19" s="174"/>
      <c r="F19" s="175"/>
    </row>
    <row r="20" spans="1:6" ht="30" customHeight="1">
      <c r="A20" s="176" t="s">
        <v>2375</v>
      </c>
      <c r="B20" s="177" t="s">
        <v>2376</v>
      </c>
      <c r="C20" s="177" t="s">
        <v>2377</v>
      </c>
      <c r="D20" s="177" t="s">
        <v>2378</v>
      </c>
      <c r="E20" s="177" t="s">
        <v>2379</v>
      </c>
      <c r="F20" s="178" t="s">
        <v>2380</v>
      </c>
    </row>
    <row r="21" spans="1:6" ht="30" customHeight="1">
      <c r="A21" s="179" t="s">
        <v>411</v>
      </c>
      <c r="B21" s="180" t="s">
        <v>2381</v>
      </c>
      <c r="C21" s="180" t="s">
        <v>2382</v>
      </c>
      <c r="D21" s="180" t="s">
        <v>2383</v>
      </c>
      <c r="E21" s="180" t="s">
        <v>2384</v>
      </c>
      <c r="F21" s="181" t="s">
        <v>2385</v>
      </c>
    </row>
    <row r="22" spans="1:6" ht="30" customHeight="1">
      <c r="A22" s="182" t="s">
        <v>415</v>
      </c>
      <c r="B22" s="180" t="s">
        <v>2386</v>
      </c>
      <c r="C22" s="180" t="s">
        <v>2387</v>
      </c>
      <c r="D22" s="180" t="s">
        <v>2388</v>
      </c>
      <c r="E22" s="180" t="s">
        <v>2389</v>
      </c>
      <c r="F22" s="181" t="s">
        <v>2390</v>
      </c>
    </row>
    <row r="23" spans="1:6" ht="30" customHeight="1">
      <c r="A23" s="183" t="s">
        <v>419</v>
      </c>
      <c r="B23" s="180" t="s">
        <v>2391</v>
      </c>
      <c r="C23" s="180" t="s">
        <v>2392</v>
      </c>
      <c r="D23" s="180" t="s">
        <v>2393</v>
      </c>
      <c r="E23" s="180" t="s">
        <v>2394</v>
      </c>
      <c r="F23" s="181" t="s">
        <v>2395</v>
      </c>
    </row>
    <row r="24" spans="1:6" ht="30" customHeight="1">
      <c r="A24" s="184" t="s">
        <v>423</v>
      </c>
      <c r="B24" s="180" t="s">
        <v>2396</v>
      </c>
      <c r="C24" s="180" t="s">
        <v>2397</v>
      </c>
      <c r="D24" s="180" t="s">
        <v>2393</v>
      </c>
      <c r="E24" s="180" t="s">
        <v>2398</v>
      </c>
      <c r="F24" s="181" t="s">
        <v>2399</v>
      </c>
    </row>
    <row r="25" spans="1:6" ht="30" customHeight="1">
      <c r="A25" s="185" t="s">
        <v>427</v>
      </c>
      <c r="B25" s="180" t="s">
        <v>2400</v>
      </c>
      <c r="C25" s="180" t="s">
        <v>2401</v>
      </c>
      <c r="D25" s="180" t="s">
        <v>2402</v>
      </c>
      <c r="E25" s="180" t="s">
        <v>2403</v>
      </c>
      <c r="F25" s="181" t="s">
        <v>2404</v>
      </c>
    </row>
    <row r="26" spans="1:6" ht="30" customHeight="1">
      <c r="A26" s="186" t="s">
        <v>431</v>
      </c>
      <c r="B26" s="180" t="s">
        <v>2405</v>
      </c>
      <c r="C26" s="180" t="s">
        <v>2406</v>
      </c>
      <c r="D26" s="180" t="s">
        <v>2407</v>
      </c>
      <c r="E26" s="180" t="s">
        <v>2408</v>
      </c>
      <c r="F26" s="181" t="s">
        <v>2409</v>
      </c>
    </row>
    <row r="27" spans="1:6" ht="30" customHeight="1">
      <c r="A27" s="187" t="s">
        <v>435</v>
      </c>
      <c r="B27" s="180" t="s">
        <v>2410</v>
      </c>
      <c r="C27" s="180" t="s">
        <v>2411</v>
      </c>
      <c r="D27" s="180" t="s">
        <v>2412</v>
      </c>
      <c r="E27" s="180" t="s">
        <v>2413</v>
      </c>
      <c r="F27" s="181" t="s">
        <v>2414</v>
      </c>
    </row>
    <row r="28" spans="1:6" ht="30" customHeight="1">
      <c r="A28" s="188" t="s">
        <v>439</v>
      </c>
      <c r="B28" s="180" t="s">
        <v>2415</v>
      </c>
      <c r="C28" s="180" t="s">
        <v>2416</v>
      </c>
      <c r="D28" s="180" t="s">
        <v>2417</v>
      </c>
      <c r="E28" s="180" t="s">
        <v>2418</v>
      </c>
      <c r="F28" s="181" t="s">
        <v>2419</v>
      </c>
    </row>
    <row r="29" spans="1:6" ht="30" customHeight="1">
      <c r="A29" s="189" t="s">
        <v>443</v>
      </c>
      <c r="B29" s="180" t="s">
        <v>2420</v>
      </c>
      <c r="C29" s="180" t="s">
        <v>2421</v>
      </c>
      <c r="D29" s="180" t="s">
        <v>2393</v>
      </c>
      <c r="E29" s="180" t="s">
        <v>2422</v>
      </c>
      <c r="F29" s="181" t="s">
        <v>2423</v>
      </c>
    </row>
    <row r="30" spans="1:6" ht="30" customHeight="1">
      <c r="A30" s="190" t="s">
        <v>2370</v>
      </c>
      <c r="B30" s="180" t="s">
        <v>2424</v>
      </c>
      <c r="C30" s="180" t="s">
        <v>2425</v>
      </c>
      <c r="D30" s="180" t="s">
        <v>2426</v>
      </c>
      <c r="E30" s="180" t="s">
        <v>2427</v>
      </c>
      <c r="F30" s="181" t="s">
        <v>2428</v>
      </c>
    </row>
  </sheetData>
  <mergeCells count="4">
    <mergeCell ref="A1:D1"/>
    <mergeCell ref="A4:D4"/>
    <mergeCell ref="B16:D17"/>
    <mergeCell ref="A19:F19"/>
  </mergeCells>
  <phoneticPr fontId="13" type="noConversion"/>
  <dataValidations count="1">
    <dataValidation type="list" allowBlank="1" showInputMessage="1" showErrorMessage="1" sqref="B2" xr:uid="{618BC574-233A-411A-B7B1-4FF1FA91A447}">
      <formula1>$A$6:$A$15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BA9038"/>
  </sheetPr>
  <dimension ref="A1:V61"/>
  <sheetViews>
    <sheetView topLeftCell="A17" zoomScale="75" zoomScaleNormal="75" workbookViewId="0">
      <selection activeCell="M17" sqref="M17"/>
    </sheetView>
  </sheetViews>
  <sheetFormatPr defaultColWidth="9" defaultRowHeight="15.6"/>
  <cols>
    <col min="1" max="22" width="11.77734375" style="98" customWidth="1"/>
    <col min="23" max="16384" width="9" style="98"/>
  </cols>
  <sheetData>
    <row r="1" spans="1:22" ht="25.05" customHeight="1">
      <c r="A1" s="43" t="s">
        <v>12</v>
      </c>
      <c r="B1" s="43"/>
      <c r="C1" s="43"/>
      <c r="D1" s="43"/>
      <c r="E1" s="97"/>
      <c r="F1" s="44" t="s">
        <v>13</v>
      </c>
      <c r="G1" s="44"/>
      <c r="H1" s="44"/>
      <c r="I1" s="44"/>
      <c r="J1" s="44"/>
      <c r="K1" s="44"/>
      <c r="L1" s="97"/>
      <c r="M1" s="45" t="s">
        <v>14</v>
      </c>
      <c r="N1" s="45"/>
      <c r="O1" s="45"/>
      <c r="P1" s="97"/>
      <c r="Q1" s="43" t="s">
        <v>15</v>
      </c>
      <c r="R1" s="43"/>
      <c r="S1" s="43"/>
      <c r="T1" s="43"/>
      <c r="U1" s="43"/>
      <c r="V1" s="43"/>
    </row>
    <row r="2" spans="1:22" ht="25.05" customHeight="1">
      <c r="A2" s="37" t="s">
        <v>16</v>
      </c>
      <c r="B2" s="50"/>
      <c r="C2" s="50"/>
      <c r="D2" s="50"/>
      <c r="E2" s="97"/>
      <c r="F2" s="50" t="s">
        <v>17</v>
      </c>
      <c r="G2" s="50"/>
      <c r="H2" s="50" t="s">
        <v>18</v>
      </c>
      <c r="I2" s="50"/>
      <c r="J2" s="50" t="s">
        <v>19</v>
      </c>
      <c r="K2" s="50"/>
      <c r="L2" s="97"/>
      <c r="M2" s="50" t="s">
        <v>20</v>
      </c>
      <c r="N2" s="50"/>
      <c r="O2" s="50"/>
      <c r="P2" s="97"/>
      <c r="Q2" s="109" t="s">
        <v>21</v>
      </c>
      <c r="R2" s="110"/>
      <c r="S2" s="110"/>
      <c r="T2" s="110"/>
      <c r="U2" s="110"/>
      <c r="V2" s="111"/>
    </row>
    <row r="3" spans="1:22" ht="25.05" customHeight="1">
      <c r="A3" s="37" t="s">
        <v>22</v>
      </c>
      <c r="B3" s="50"/>
      <c r="C3" s="50"/>
      <c r="D3" s="50"/>
      <c r="E3" s="97"/>
      <c r="F3" s="50"/>
      <c r="G3" s="50"/>
      <c r="H3" s="50"/>
      <c r="I3" s="50"/>
      <c r="J3" s="50"/>
      <c r="K3" s="50"/>
      <c r="L3" s="97"/>
      <c r="M3" s="50"/>
      <c r="N3" s="50"/>
      <c r="O3" s="50"/>
      <c r="P3" s="97"/>
      <c r="Q3" s="112"/>
      <c r="R3" s="113"/>
      <c r="S3" s="113"/>
      <c r="T3" s="113"/>
      <c r="U3" s="113"/>
      <c r="V3" s="114"/>
    </row>
    <row r="4" spans="1:22" ht="25.05" customHeight="1">
      <c r="A4" s="37" t="s">
        <v>23</v>
      </c>
      <c r="B4" s="50"/>
      <c r="C4" s="50"/>
      <c r="D4" s="50"/>
      <c r="E4" s="97"/>
      <c r="F4" s="50" t="s">
        <v>24</v>
      </c>
      <c r="G4" s="50"/>
      <c r="H4" s="50" t="s">
        <v>25</v>
      </c>
      <c r="I4" s="50"/>
      <c r="J4" s="50"/>
      <c r="K4" s="50"/>
      <c r="L4" s="97"/>
      <c r="M4" s="50"/>
      <c r="N4" s="50"/>
      <c r="O4" s="50"/>
      <c r="P4" s="97"/>
      <c r="Q4" s="112"/>
      <c r="R4" s="113"/>
      <c r="S4" s="113"/>
      <c r="T4" s="113"/>
      <c r="U4" s="113"/>
      <c r="V4" s="114"/>
    </row>
    <row r="5" spans="1:22" ht="25.05" customHeight="1">
      <c r="A5" s="37" t="s">
        <v>26</v>
      </c>
      <c r="B5" s="50"/>
      <c r="C5" s="50"/>
      <c r="D5" s="50"/>
      <c r="E5" s="97"/>
      <c r="F5" s="50"/>
      <c r="G5" s="50"/>
      <c r="H5" s="50"/>
      <c r="I5" s="50"/>
      <c r="J5" s="50"/>
      <c r="K5" s="50"/>
      <c r="L5" s="97"/>
      <c r="M5" s="50"/>
      <c r="N5" s="50"/>
      <c r="O5" s="50"/>
      <c r="P5" s="97"/>
      <c r="Q5" s="112"/>
      <c r="R5" s="113"/>
      <c r="S5" s="113"/>
      <c r="T5" s="113"/>
      <c r="U5" s="113"/>
      <c r="V5" s="114"/>
    </row>
    <row r="6" spans="1:22" ht="25.05" customHeight="1">
      <c r="A6" s="37" t="s">
        <v>27</v>
      </c>
      <c r="B6" s="50"/>
      <c r="C6" s="50"/>
      <c r="D6" s="50"/>
      <c r="E6" s="97"/>
      <c r="F6" s="50" t="s">
        <v>28</v>
      </c>
      <c r="G6" s="50"/>
      <c r="H6" s="50" t="s">
        <v>29</v>
      </c>
      <c r="I6" s="50"/>
      <c r="J6" s="50"/>
      <c r="K6" s="50"/>
      <c r="L6" s="97"/>
      <c r="M6" s="50"/>
      <c r="N6" s="50"/>
      <c r="O6" s="50"/>
      <c r="P6" s="97"/>
      <c r="Q6" s="112" t="s">
        <v>30</v>
      </c>
      <c r="R6" s="113"/>
      <c r="S6" s="113"/>
      <c r="T6" s="113"/>
      <c r="U6" s="113"/>
      <c r="V6" s="114"/>
    </row>
    <row r="7" spans="1:22" ht="25.05" customHeight="1">
      <c r="A7" s="37" t="s">
        <v>31</v>
      </c>
      <c r="B7" s="50"/>
      <c r="C7" s="50"/>
      <c r="D7" s="50"/>
      <c r="E7" s="97"/>
      <c r="F7" s="50"/>
      <c r="G7" s="50"/>
      <c r="H7" s="50"/>
      <c r="I7" s="50"/>
      <c r="J7" s="50"/>
      <c r="K7" s="50"/>
      <c r="L7" s="97"/>
      <c r="M7" s="50"/>
      <c r="N7" s="50"/>
      <c r="O7" s="50"/>
      <c r="P7" s="97"/>
      <c r="Q7" s="112"/>
      <c r="R7" s="113"/>
      <c r="S7" s="113"/>
      <c r="T7" s="113"/>
      <c r="U7" s="113"/>
      <c r="V7" s="114"/>
    </row>
    <row r="8" spans="1:22" ht="25.05" customHeight="1">
      <c r="A8" s="37" t="s">
        <v>32</v>
      </c>
      <c r="B8" s="50"/>
      <c r="C8" s="50"/>
      <c r="D8" s="50"/>
      <c r="E8" s="97"/>
      <c r="F8" s="50" t="s">
        <v>33</v>
      </c>
      <c r="G8" s="50"/>
      <c r="H8" s="50" t="s">
        <v>34</v>
      </c>
      <c r="I8" s="50"/>
      <c r="J8" s="50"/>
      <c r="K8" s="50"/>
      <c r="L8" s="97"/>
      <c r="M8" s="50"/>
      <c r="N8" s="50"/>
      <c r="O8" s="50"/>
      <c r="P8" s="97"/>
      <c r="Q8" s="112"/>
      <c r="R8" s="113"/>
      <c r="S8" s="113"/>
      <c r="T8" s="113"/>
      <c r="U8" s="113"/>
      <c r="V8" s="114"/>
    </row>
    <row r="9" spans="1:22" ht="25.05" customHeight="1">
      <c r="A9" s="37" t="s">
        <v>35</v>
      </c>
      <c r="B9" s="50"/>
      <c r="C9" s="50"/>
      <c r="D9" s="50"/>
      <c r="E9" s="97"/>
      <c r="F9" s="50"/>
      <c r="G9" s="50"/>
      <c r="H9" s="50"/>
      <c r="I9" s="50"/>
      <c r="J9" s="50" t="s">
        <v>36</v>
      </c>
      <c r="K9" s="50"/>
      <c r="L9" s="97"/>
      <c r="M9" s="50"/>
      <c r="N9" s="50"/>
      <c r="O9" s="50"/>
      <c r="P9" s="97"/>
      <c r="Q9" s="112"/>
      <c r="R9" s="113"/>
      <c r="S9" s="113"/>
      <c r="T9" s="113"/>
      <c r="U9" s="113"/>
      <c r="V9" s="114"/>
    </row>
    <row r="10" spans="1:22" ht="25.05" customHeight="1">
      <c r="A10" s="46"/>
      <c r="B10" s="46"/>
      <c r="C10" s="46"/>
      <c r="D10" s="46"/>
      <c r="E10" s="47"/>
      <c r="F10" s="46"/>
      <c r="G10" s="46"/>
      <c r="H10" s="46"/>
      <c r="I10" s="46"/>
      <c r="J10" s="46"/>
      <c r="K10" s="46"/>
      <c r="L10" s="46"/>
      <c r="M10" s="46"/>
      <c r="N10" s="46"/>
      <c r="O10" s="46"/>
      <c r="P10" s="47"/>
      <c r="Q10" s="115" t="s">
        <v>37</v>
      </c>
      <c r="R10" s="116"/>
      <c r="S10" s="116"/>
      <c r="T10" s="116"/>
      <c r="U10" s="116"/>
      <c r="V10" s="117"/>
    </row>
    <row r="11" spans="1:22" ht="25.05" customHeight="1">
      <c r="A11" s="121" t="s">
        <v>38</v>
      </c>
      <c r="B11" s="121"/>
      <c r="C11" s="121"/>
      <c r="D11" s="121"/>
      <c r="E11" s="97"/>
      <c r="F11" s="121" t="s">
        <v>39</v>
      </c>
      <c r="G11" s="121"/>
      <c r="H11" s="121"/>
      <c r="I11" s="121"/>
      <c r="J11" s="121"/>
      <c r="K11" s="97"/>
      <c r="L11" s="121" t="s">
        <v>40</v>
      </c>
      <c r="M11" s="121"/>
      <c r="N11" s="121"/>
      <c r="O11" s="121"/>
      <c r="P11" s="97"/>
      <c r="Q11" s="112"/>
      <c r="R11" s="113"/>
      <c r="S11" s="113"/>
      <c r="T11" s="113"/>
      <c r="U11" s="113"/>
      <c r="V11" s="114"/>
    </row>
    <row r="12" spans="1:22" ht="25.05" customHeight="1">
      <c r="A12" s="50" t="s">
        <v>41</v>
      </c>
      <c r="B12" s="50"/>
      <c r="C12" s="50" t="s">
        <v>42</v>
      </c>
      <c r="D12" s="50"/>
      <c r="E12" s="97"/>
      <c r="F12" s="50" t="s">
        <v>43</v>
      </c>
      <c r="G12" s="50"/>
      <c r="H12" s="50" t="s">
        <v>44</v>
      </c>
      <c r="I12" s="50"/>
      <c r="J12" s="50"/>
      <c r="K12" s="97"/>
      <c r="L12" s="50" t="s">
        <v>45</v>
      </c>
      <c r="M12" s="50"/>
      <c r="N12" s="50" t="s">
        <v>46</v>
      </c>
      <c r="O12" s="50"/>
      <c r="P12" s="97"/>
      <c r="Q12" s="112"/>
      <c r="R12" s="113"/>
      <c r="S12" s="113"/>
      <c r="T12" s="113"/>
      <c r="U12" s="113"/>
      <c r="V12" s="114"/>
    </row>
    <row r="13" spans="1:22" ht="25.05" customHeight="1">
      <c r="A13" s="50">
        <f>ROUND(((G4+G6)/10)+10,0)</f>
        <v>10</v>
      </c>
      <c r="B13" s="50"/>
      <c r="C13" s="50"/>
      <c r="D13" s="50"/>
      <c r="E13" s="97"/>
      <c r="F13" s="50" t="s">
        <v>2432</v>
      </c>
      <c r="G13" s="50"/>
      <c r="H13" s="50" t="str">
        <f>IF(OR(F13="",F13="空"),"",IFERROR(VLOOKUP(F13,装备列表!$M$5:$T$400,2,FALSE),""))</f>
        <v/>
      </c>
      <c r="I13" s="50"/>
      <c r="J13" s="50"/>
      <c r="K13" s="97"/>
      <c r="L13" s="50"/>
      <c r="M13" s="50"/>
      <c r="N13" s="50"/>
      <c r="O13" s="50"/>
      <c r="P13" s="97"/>
      <c r="Q13" s="112"/>
      <c r="R13" s="113"/>
      <c r="S13" s="113"/>
      <c r="T13" s="113"/>
      <c r="U13" s="113"/>
      <c r="V13" s="114"/>
    </row>
    <row r="14" spans="1:22" ht="25.05" customHeight="1">
      <c r="A14" s="50" t="s">
        <v>47</v>
      </c>
      <c r="B14" s="50"/>
      <c r="C14" s="50" t="s">
        <v>48</v>
      </c>
      <c r="D14" s="50"/>
      <c r="E14" s="97"/>
      <c r="F14" s="50" t="s">
        <v>49</v>
      </c>
      <c r="G14" s="50"/>
      <c r="H14" s="50" t="s">
        <v>50</v>
      </c>
      <c r="I14" s="50"/>
      <c r="J14" s="50"/>
      <c r="K14" s="97"/>
      <c r="L14" s="37" t="s">
        <v>51</v>
      </c>
      <c r="M14" s="50" t="s">
        <v>52</v>
      </c>
      <c r="N14" s="50"/>
      <c r="O14" s="50"/>
      <c r="P14" s="97"/>
      <c r="Q14" s="112" t="s">
        <v>53</v>
      </c>
      <c r="R14" s="113"/>
      <c r="S14" s="113"/>
      <c r="T14" s="113"/>
      <c r="U14" s="113"/>
      <c r="V14" s="114"/>
    </row>
    <row r="15" spans="1:22" ht="25.05" customHeight="1">
      <c r="A15" s="50"/>
      <c r="B15" s="50"/>
      <c r="C15" s="50"/>
      <c r="D15" s="50"/>
      <c r="E15" s="97"/>
      <c r="F15" s="50" t="s">
        <v>2432</v>
      </c>
      <c r="G15" s="50"/>
      <c r="H15" s="50" t="str">
        <f>IF(OR(F15="",F15="空"),"",IFERROR(VLOOKUP(F15,装备列表!$M$5:$T$400,2,FALSE),""))</f>
        <v/>
      </c>
      <c r="I15" s="50"/>
      <c r="J15" s="50"/>
      <c r="K15" s="97"/>
      <c r="L15" s="122"/>
      <c r="M15" s="50"/>
      <c r="N15" s="50"/>
      <c r="O15" s="50"/>
      <c r="P15" s="97"/>
      <c r="Q15" s="112"/>
      <c r="R15" s="113"/>
      <c r="S15" s="113"/>
      <c r="T15" s="113"/>
      <c r="U15" s="113"/>
      <c r="V15" s="114"/>
    </row>
    <row r="16" spans="1:22" ht="25.05" customHeight="1">
      <c r="A16" s="50" t="s">
        <v>54</v>
      </c>
      <c r="B16" s="50"/>
      <c r="C16" s="50" t="s">
        <v>55</v>
      </c>
      <c r="D16" s="50"/>
      <c r="E16" s="97"/>
      <c r="F16" s="50" t="s">
        <v>56</v>
      </c>
      <c r="G16" s="50"/>
      <c r="H16" s="50" t="s">
        <v>57</v>
      </c>
      <c r="I16" s="50"/>
      <c r="J16" s="50"/>
      <c r="K16" s="97"/>
      <c r="L16" s="50" t="s">
        <v>58</v>
      </c>
      <c r="M16" s="50"/>
      <c r="N16" s="50"/>
      <c r="O16" s="50"/>
      <c r="P16" s="97"/>
      <c r="Q16" s="112"/>
      <c r="R16" s="113"/>
      <c r="S16" s="113"/>
      <c r="T16" s="113"/>
      <c r="U16" s="113"/>
      <c r="V16" s="114"/>
    </row>
    <row r="17" spans="1:22" ht="25.05" customHeight="1">
      <c r="A17" s="50"/>
      <c r="B17" s="50"/>
      <c r="C17" s="50"/>
      <c r="D17" s="50"/>
      <c r="E17" s="97"/>
      <c r="F17" s="50" t="s">
        <v>2432</v>
      </c>
      <c r="G17" s="50"/>
      <c r="H17" s="50" t="str">
        <f>IF(OR(F17="",F17="空"),"",IFERROR(VLOOKUP(F17,装备列表!$M$5:$T$400,2,FALSE),""))</f>
        <v/>
      </c>
      <c r="I17" s="50"/>
      <c r="J17" s="50"/>
      <c r="K17" s="97"/>
      <c r="L17" s="122"/>
      <c r="M17" s="122"/>
      <c r="N17" s="122"/>
      <c r="O17" s="122"/>
      <c r="P17" s="97"/>
      <c r="Q17" s="112"/>
      <c r="R17" s="113"/>
      <c r="S17" s="113"/>
      <c r="T17" s="113"/>
      <c r="U17" s="113"/>
      <c r="V17" s="114"/>
    </row>
    <row r="18" spans="1:22" ht="25.05" customHeight="1">
      <c r="A18" s="50" t="s">
        <v>59</v>
      </c>
      <c r="B18" s="50"/>
      <c r="C18" s="50" t="s">
        <v>60</v>
      </c>
      <c r="D18" s="50"/>
      <c r="E18" s="97"/>
      <c r="F18" s="50" t="s">
        <v>61</v>
      </c>
      <c r="G18" s="50"/>
      <c r="H18" s="50" t="s">
        <v>62</v>
      </c>
      <c r="I18" s="50"/>
      <c r="J18" s="50"/>
      <c r="K18" s="97"/>
      <c r="L18" s="50" t="s">
        <v>63</v>
      </c>
      <c r="M18" s="50"/>
      <c r="N18" s="50" t="s">
        <v>64</v>
      </c>
      <c r="O18" s="50"/>
      <c r="P18" s="97"/>
      <c r="Q18" s="112" t="s">
        <v>65</v>
      </c>
      <c r="R18" s="113"/>
      <c r="S18" s="113"/>
      <c r="T18" s="113"/>
      <c r="U18" s="113"/>
      <c r="V18" s="114"/>
    </row>
    <row r="19" spans="1:22" ht="25.05" customHeight="1">
      <c r="A19" s="50"/>
      <c r="B19" s="50"/>
      <c r="C19" s="50"/>
      <c r="D19" s="50"/>
      <c r="E19" s="97"/>
      <c r="F19" s="50" t="s">
        <v>2432</v>
      </c>
      <c r="G19" s="50"/>
      <c r="H19" s="50" t="str">
        <f>IF(OR(F19="",F19="空"),"",IFERROR(VLOOKUP(F19,装备列表!$M$5:$T$400,2,FALSE),""))</f>
        <v/>
      </c>
      <c r="I19" s="50"/>
      <c r="J19" s="50"/>
      <c r="K19" s="97"/>
      <c r="L19" s="50"/>
      <c r="M19" s="50"/>
      <c r="N19" s="50"/>
      <c r="O19" s="50"/>
      <c r="P19" s="97"/>
      <c r="Q19" s="112"/>
      <c r="R19" s="113"/>
      <c r="S19" s="113"/>
      <c r="T19" s="113"/>
      <c r="U19" s="113"/>
      <c r="V19" s="114"/>
    </row>
    <row r="20" spans="1:22" ht="25.05" customHeight="1">
      <c r="A20" s="50" t="s">
        <v>66</v>
      </c>
      <c r="B20" s="50"/>
      <c r="C20" s="50"/>
      <c r="D20" s="50"/>
      <c r="E20" s="97"/>
      <c r="F20" s="50" t="s">
        <v>67</v>
      </c>
      <c r="G20" s="50"/>
      <c r="H20" s="50" t="s">
        <v>68</v>
      </c>
      <c r="I20" s="50"/>
      <c r="J20" s="50"/>
      <c r="K20" s="97"/>
      <c r="L20" s="50" t="s">
        <v>69</v>
      </c>
      <c r="M20" s="50"/>
      <c r="N20" s="50" t="s">
        <v>70</v>
      </c>
      <c r="O20" s="50"/>
      <c r="P20" s="97"/>
      <c r="Q20" s="112"/>
      <c r="R20" s="113"/>
      <c r="S20" s="113"/>
      <c r="T20" s="113"/>
      <c r="U20" s="113"/>
      <c r="V20" s="114"/>
    </row>
    <row r="21" spans="1:22" ht="25.05" customHeight="1">
      <c r="A21" s="99"/>
      <c r="B21" s="99"/>
      <c r="C21" s="99"/>
      <c r="D21" s="99"/>
      <c r="E21" s="97"/>
      <c r="F21" s="100" t="s">
        <v>2432</v>
      </c>
      <c r="G21" s="100"/>
      <c r="H21" s="100" t="str">
        <f>IF(OR(F21="",F21="空"),"",IFERROR(VLOOKUP(F21,装备列表!$M$5:$T$400,2,FALSE),""))</f>
        <v/>
      </c>
      <c r="I21" s="100"/>
      <c r="J21" s="100"/>
      <c r="K21" s="97"/>
      <c r="L21" s="100"/>
      <c r="M21" s="100"/>
      <c r="N21" s="100"/>
      <c r="O21" s="100"/>
      <c r="P21" s="97"/>
      <c r="Q21" s="118"/>
      <c r="R21" s="119"/>
      <c r="S21" s="119"/>
      <c r="T21" s="119"/>
      <c r="U21" s="119"/>
      <c r="V21" s="120"/>
    </row>
    <row r="22" spans="1:22" ht="25.05" customHeight="1">
      <c r="A22" s="42"/>
      <c r="B22" s="42"/>
      <c r="C22" s="42"/>
      <c r="D22" s="42"/>
      <c r="E22" s="48"/>
      <c r="F22" s="42"/>
      <c r="G22" s="42"/>
      <c r="H22" s="42"/>
      <c r="I22" s="42"/>
      <c r="J22" s="42"/>
      <c r="K22" s="42"/>
      <c r="L22" s="42"/>
      <c r="M22" s="42"/>
      <c r="N22" s="42"/>
      <c r="O22" s="42"/>
      <c r="P22" s="48"/>
      <c r="Q22" s="42"/>
      <c r="R22" s="42"/>
      <c r="S22" s="42"/>
      <c r="T22" s="42"/>
      <c r="U22" s="42"/>
      <c r="V22" s="42"/>
    </row>
    <row r="23" spans="1:22" ht="25.05" customHeight="1">
      <c r="A23" s="105" t="s">
        <v>2360</v>
      </c>
      <c r="B23" s="105"/>
      <c r="C23" s="105"/>
      <c r="D23" s="105"/>
      <c r="E23" s="107"/>
      <c r="F23" s="105"/>
      <c r="G23" s="105"/>
      <c r="H23" s="105"/>
      <c r="I23" s="105"/>
      <c r="J23" s="105"/>
      <c r="K23" s="105"/>
      <c r="L23" s="105"/>
      <c r="M23" s="105"/>
      <c r="N23" s="105"/>
      <c r="O23" s="102"/>
      <c r="P23" s="102"/>
      <c r="Q23" s="102"/>
      <c r="R23" s="102"/>
      <c r="S23" s="102"/>
      <c r="T23" s="102"/>
      <c r="U23" s="102"/>
      <c r="V23" s="102"/>
    </row>
    <row r="24" spans="1:22" ht="25.05" customHeight="1">
      <c r="A24" s="125" t="s">
        <v>2362</v>
      </c>
      <c r="B24" s="125"/>
      <c r="C24" s="125"/>
      <c r="D24" s="125" t="s">
        <v>2429</v>
      </c>
      <c r="E24" s="126"/>
      <c r="F24" s="125" t="s">
        <v>2430</v>
      </c>
      <c r="G24" s="125"/>
      <c r="H24" s="125"/>
      <c r="I24" s="125"/>
      <c r="J24" s="125"/>
      <c r="K24" s="125"/>
      <c r="L24" s="125"/>
      <c r="M24" s="125"/>
      <c r="N24" s="125"/>
      <c r="O24" s="102"/>
      <c r="P24" s="102"/>
      <c r="Q24" s="102"/>
      <c r="R24" s="102"/>
      <c r="S24" s="102"/>
      <c r="T24" s="102"/>
      <c r="U24" s="102"/>
      <c r="V24" s="102"/>
    </row>
    <row r="25" spans="1:22" ht="25.05" customHeight="1">
      <c r="A25" s="127" t="s">
        <v>248</v>
      </c>
      <c r="B25" s="127"/>
      <c r="C25" s="127"/>
      <c r="D25" s="128" t="str">
        <f>IF(OR(A25="",A25="空"),"",IFERROR(VLOOKUP(A25,装备列表!$M$5:$T$400,8,FALSE),""))</f>
        <v/>
      </c>
      <c r="E25" s="129"/>
      <c r="F25" s="127" t="str">
        <f>IF(OR(A25="",A25="空"),"",IFERROR(VLOOKUP(A25,装备列表!$M$5:$T$400,2,FALSE),""))</f>
        <v/>
      </c>
      <c r="G25" s="127"/>
      <c r="H25" s="127"/>
      <c r="I25" s="127"/>
      <c r="J25" s="127"/>
      <c r="K25" s="127"/>
      <c r="L25" s="127"/>
      <c r="M25" s="127"/>
      <c r="N25" s="127"/>
      <c r="O25" s="102"/>
      <c r="P25" s="102"/>
      <c r="Q25" s="102"/>
      <c r="R25" s="102"/>
      <c r="S25" s="102"/>
      <c r="T25" s="102"/>
      <c r="U25" s="102"/>
      <c r="V25" s="102"/>
    </row>
    <row r="26" spans="1:22" ht="25.05" customHeight="1">
      <c r="A26" s="127" t="s">
        <v>248</v>
      </c>
      <c r="B26" s="127"/>
      <c r="C26" s="127"/>
      <c r="D26" s="128"/>
      <c r="E26" s="129"/>
      <c r="F26" s="127"/>
      <c r="G26" s="127"/>
      <c r="H26" s="127"/>
      <c r="I26" s="127"/>
      <c r="J26" s="127"/>
      <c r="K26" s="127"/>
      <c r="L26" s="127"/>
      <c r="M26" s="127"/>
      <c r="N26" s="127"/>
      <c r="O26" s="102"/>
      <c r="P26" s="102"/>
      <c r="Q26" s="102"/>
      <c r="R26" s="102"/>
      <c r="S26" s="102"/>
      <c r="T26" s="102"/>
      <c r="U26" s="102"/>
      <c r="V26" s="102"/>
    </row>
    <row r="27" spans="1:22" ht="25.05" customHeight="1">
      <c r="A27" s="127" t="s">
        <v>248</v>
      </c>
      <c r="B27" s="127"/>
      <c r="C27" s="127"/>
      <c r="D27" s="128"/>
      <c r="E27" s="129"/>
      <c r="F27" s="127"/>
      <c r="G27" s="127"/>
      <c r="H27" s="127"/>
      <c r="I27" s="127"/>
      <c r="J27" s="127"/>
      <c r="K27" s="127"/>
      <c r="L27" s="127"/>
      <c r="M27" s="127"/>
      <c r="N27" s="127"/>
      <c r="O27" s="102"/>
      <c r="P27" s="102"/>
      <c r="Q27" s="102"/>
      <c r="R27" s="102"/>
      <c r="S27" s="102"/>
      <c r="T27" s="102"/>
      <c r="U27" s="102"/>
      <c r="V27" s="102"/>
    </row>
    <row r="28" spans="1:22" ht="25.05" customHeight="1">
      <c r="A28" s="127" t="s">
        <v>248</v>
      </c>
      <c r="B28" s="127"/>
      <c r="C28" s="127"/>
      <c r="D28" s="128"/>
      <c r="E28" s="129"/>
      <c r="F28" s="127"/>
      <c r="G28" s="127"/>
      <c r="H28" s="127"/>
      <c r="I28" s="127"/>
      <c r="J28" s="127"/>
      <c r="K28" s="127"/>
      <c r="L28" s="127"/>
      <c r="M28" s="127"/>
      <c r="N28" s="127"/>
      <c r="O28" s="102"/>
      <c r="P28" s="102"/>
      <c r="Q28" s="102"/>
      <c r="R28" s="102"/>
      <c r="S28" s="102"/>
      <c r="T28" s="102"/>
      <c r="U28" s="102"/>
      <c r="V28" s="102"/>
    </row>
    <row r="29" spans="1:22" ht="25.05" customHeight="1">
      <c r="A29" s="123" t="s">
        <v>71</v>
      </c>
      <c r="B29" s="123"/>
      <c r="C29" s="123"/>
      <c r="D29" s="123"/>
      <c r="E29" s="124"/>
      <c r="F29" s="123"/>
      <c r="G29" s="123"/>
      <c r="H29" s="123"/>
      <c r="I29" s="123"/>
      <c r="J29" s="123"/>
      <c r="K29" s="123"/>
      <c r="L29" s="123"/>
      <c r="M29" s="123"/>
      <c r="N29" s="123"/>
      <c r="O29" s="97"/>
      <c r="P29" s="49" t="s">
        <v>72</v>
      </c>
      <c r="Q29" s="49"/>
      <c r="R29" s="49"/>
      <c r="S29" s="49"/>
      <c r="T29" s="49"/>
      <c r="U29" s="49"/>
      <c r="V29" s="49"/>
    </row>
    <row r="30" spans="1:22" ht="25.05" customHeight="1">
      <c r="A30" s="121" t="s">
        <v>73</v>
      </c>
      <c r="B30" s="121"/>
      <c r="C30" s="83" t="s">
        <v>74</v>
      </c>
      <c r="D30" s="83" t="s">
        <v>75</v>
      </c>
      <c r="E30" s="130" t="s">
        <v>23</v>
      </c>
      <c r="F30" s="83" t="s">
        <v>76</v>
      </c>
      <c r="G30" s="83" t="s">
        <v>77</v>
      </c>
      <c r="H30" s="121" t="s">
        <v>73</v>
      </c>
      <c r="I30" s="121"/>
      <c r="J30" s="83" t="s">
        <v>74</v>
      </c>
      <c r="K30" s="83" t="s">
        <v>75</v>
      </c>
      <c r="L30" s="83" t="s">
        <v>23</v>
      </c>
      <c r="M30" s="83" t="s">
        <v>76</v>
      </c>
      <c r="N30" s="83" t="s">
        <v>77</v>
      </c>
      <c r="O30" s="97"/>
      <c r="P30" s="83" t="s">
        <v>78</v>
      </c>
      <c r="Q30" s="121"/>
      <c r="R30" s="121"/>
      <c r="S30" s="83" t="s">
        <v>79</v>
      </c>
      <c r="T30" s="121"/>
      <c r="U30" s="121"/>
      <c r="V30" s="121"/>
    </row>
    <row r="31" spans="1:22" ht="25.05" customHeight="1">
      <c r="A31" s="131" t="s">
        <v>80</v>
      </c>
      <c r="B31" s="131"/>
      <c r="C31" s="132">
        <v>5</v>
      </c>
      <c r="D31" s="132"/>
      <c r="E31" s="133"/>
      <c r="F31" s="132"/>
      <c r="G31" s="134">
        <f>SUM(C31:F31)</f>
        <v>5</v>
      </c>
      <c r="H31" s="131" t="s">
        <v>81</v>
      </c>
      <c r="I31" s="131"/>
      <c r="J31" s="132">
        <f>ROUND(IF(G8&gt;50,(G8-50)+20,20),0)</f>
        <v>20</v>
      </c>
      <c r="K31" s="132"/>
      <c r="L31" s="132"/>
      <c r="M31" s="132"/>
      <c r="N31" s="134">
        <f t="shared" ref="N31:N45" si="0">SUM(J31:M31)</f>
        <v>20</v>
      </c>
      <c r="O31" s="97"/>
      <c r="P31" s="132" t="s">
        <v>82</v>
      </c>
      <c r="Q31" s="136"/>
      <c r="R31" s="136"/>
      <c r="S31" s="137" t="s">
        <v>83</v>
      </c>
      <c r="T31" s="138"/>
      <c r="U31" s="138"/>
      <c r="V31" s="138"/>
    </row>
    <row r="32" spans="1:22" ht="25.05" customHeight="1">
      <c r="A32" s="131" t="s">
        <v>84</v>
      </c>
      <c r="B32" s="131"/>
      <c r="C32" s="132">
        <v>5</v>
      </c>
      <c r="D32" s="132"/>
      <c r="E32" s="133"/>
      <c r="F32" s="132"/>
      <c r="G32" s="134">
        <f t="shared" ref="G32:G45" si="1">SUM(C32:F32)</f>
        <v>5</v>
      </c>
      <c r="H32" s="131" t="s">
        <v>85</v>
      </c>
      <c r="I32" s="131"/>
      <c r="J32" s="132">
        <v>20</v>
      </c>
      <c r="K32" s="132"/>
      <c r="L32" s="132"/>
      <c r="M32" s="132"/>
      <c r="N32" s="134">
        <f t="shared" si="0"/>
        <v>20</v>
      </c>
      <c r="O32" s="97"/>
      <c r="P32" s="132" t="s">
        <v>86</v>
      </c>
      <c r="Q32" s="136"/>
      <c r="R32" s="136"/>
      <c r="S32" s="137" t="s">
        <v>87</v>
      </c>
      <c r="T32" s="138"/>
      <c r="U32" s="138"/>
      <c r="V32" s="138"/>
    </row>
    <row r="33" spans="1:22" ht="25.05" customHeight="1">
      <c r="A33" s="131" t="s">
        <v>88</v>
      </c>
      <c r="B33" s="131"/>
      <c r="C33" s="132">
        <v>5</v>
      </c>
      <c r="D33" s="132"/>
      <c r="E33" s="133"/>
      <c r="F33" s="132"/>
      <c r="G33" s="134">
        <f t="shared" si="1"/>
        <v>5</v>
      </c>
      <c r="H33" s="131" t="s">
        <v>89</v>
      </c>
      <c r="I33" s="131"/>
      <c r="J33" s="132">
        <v>15</v>
      </c>
      <c r="K33" s="132"/>
      <c r="L33" s="132"/>
      <c r="M33" s="132"/>
      <c r="N33" s="134">
        <f t="shared" si="0"/>
        <v>15</v>
      </c>
      <c r="O33" s="97"/>
      <c r="P33" s="132" t="s">
        <v>90</v>
      </c>
      <c r="Q33" s="136"/>
      <c r="R33" s="136"/>
      <c r="S33" s="137" t="s">
        <v>91</v>
      </c>
      <c r="T33" s="138"/>
      <c r="U33" s="138"/>
      <c r="V33" s="138"/>
    </row>
    <row r="34" spans="1:22" ht="25.05" customHeight="1">
      <c r="A34" s="131" t="s">
        <v>92</v>
      </c>
      <c r="B34" s="131"/>
      <c r="C34" s="132">
        <v>5</v>
      </c>
      <c r="D34" s="132"/>
      <c r="E34" s="133"/>
      <c r="F34" s="132"/>
      <c r="G34" s="134">
        <f t="shared" si="1"/>
        <v>5</v>
      </c>
      <c r="H34" s="131" t="s">
        <v>93</v>
      </c>
      <c r="I34" s="131"/>
      <c r="J34" s="132">
        <v>5</v>
      </c>
      <c r="K34" s="132"/>
      <c r="L34" s="132"/>
      <c r="M34" s="132"/>
      <c r="N34" s="134">
        <f t="shared" si="0"/>
        <v>5</v>
      </c>
      <c r="O34" s="97"/>
      <c r="P34" s="132" t="s">
        <v>94</v>
      </c>
      <c r="Q34" s="136"/>
      <c r="R34" s="136"/>
      <c r="S34" s="137" t="s">
        <v>95</v>
      </c>
      <c r="T34" s="138"/>
      <c r="U34" s="138"/>
      <c r="V34" s="138"/>
    </row>
    <row r="35" spans="1:22" ht="25.05" customHeight="1">
      <c r="A35" s="131" t="s">
        <v>96</v>
      </c>
      <c r="B35" s="131"/>
      <c r="C35" s="132">
        <v>15</v>
      </c>
      <c r="D35" s="132"/>
      <c r="E35" s="133"/>
      <c r="F35" s="132"/>
      <c r="G35" s="134">
        <f t="shared" si="1"/>
        <v>15</v>
      </c>
      <c r="H35" s="131" t="s">
        <v>97</v>
      </c>
      <c r="I35" s="131"/>
      <c r="J35" s="132">
        <v>1</v>
      </c>
      <c r="K35" s="132"/>
      <c r="L35" s="132"/>
      <c r="M35" s="132"/>
      <c r="N35" s="134">
        <f t="shared" si="0"/>
        <v>1</v>
      </c>
      <c r="O35" s="97"/>
      <c r="P35" s="136"/>
      <c r="Q35" s="136"/>
      <c r="R35" s="136"/>
      <c r="S35" s="138"/>
      <c r="T35" s="138"/>
      <c r="U35" s="138"/>
      <c r="V35" s="138"/>
    </row>
    <row r="36" spans="1:22" ht="25.05" customHeight="1">
      <c r="A36" s="131" t="s">
        <v>98</v>
      </c>
      <c r="B36" s="131"/>
      <c r="C36" s="132">
        <v>20</v>
      </c>
      <c r="D36" s="132"/>
      <c r="E36" s="133"/>
      <c r="F36" s="132"/>
      <c r="G36" s="134">
        <f t="shared" si="1"/>
        <v>20</v>
      </c>
      <c r="H36" s="131" t="s">
        <v>99</v>
      </c>
      <c r="I36" s="131"/>
      <c r="J36" s="132">
        <v>1</v>
      </c>
      <c r="K36" s="132"/>
      <c r="L36" s="132"/>
      <c r="M36" s="132"/>
      <c r="N36" s="134">
        <f t="shared" si="0"/>
        <v>1</v>
      </c>
      <c r="O36" s="97"/>
      <c r="P36" s="139" t="s">
        <v>100</v>
      </c>
      <c r="Q36" s="139"/>
      <c r="R36" s="139"/>
      <c r="S36" s="139"/>
      <c r="T36" s="139"/>
      <c r="U36" s="139"/>
      <c r="V36" s="139"/>
    </row>
    <row r="37" spans="1:22" ht="25.05" customHeight="1">
      <c r="A37" s="131" t="s">
        <v>101</v>
      </c>
      <c r="B37" s="131"/>
      <c r="C37" s="132">
        <v>20</v>
      </c>
      <c r="D37" s="132"/>
      <c r="E37" s="133"/>
      <c r="F37" s="132"/>
      <c r="G37" s="134">
        <f t="shared" si="1"/>
        <v>20</v>
      </c>
      <c r="H37" s="131" t="s">
        <v>102</v>
      </c>
      <c r="I37" s="131"/>
      <c r="J37" s="132">
        <v>1</v>
      </c>
      <c r="K37" s="132"/>
      <c r="L37" s="132"/>
      <c r="M37" s="132"/>
      <c r="N37" s="134">
        <f t="shared" si="0"/>
        <v>1</v>
      </c>
      <c r="O37" s="97"/>
      <c r="P37" s="140"/>
      <c r="Q37" s="136"/>
      <c r="R37" s="136"/>
      <c r="S37" s="136"/>
      <c r="T37" s="136"/>
      <c r="U37" s="136"/>
      <c r="V37" s="136"/>
    </row>
    <row r="38" spans="1:22" ht="25.05" customHeight="1">
      <c r="A38" s="131" t="s">
        <v>103</v>
      </c>
      <c r="B38" s="131"/>
      <c r="C38" s="132">
        <v>10</v>
      </c>
      <c r="D38" s="132"/>
      <c r="E38" s="133"/>
      <c r="F38" s="132"/>
      <c r="G38" s="134">
        <f t="shared" si="1"/>
        <v>10</v>
      </c>
      <c r="H38" s="131" t="s">
        <v>104</v>
      </c>
      <c r="I38" s="131"/>
      <c r="J38" s="132">
        <v>5</v>
      </c>
      <c r="K38" s="132"/>
      <c r="L38" s="132"/>
      <c r="M38" s="132"/>
      <c r="N38" s="134">
        <f t="shared" si="0"/>
        <v>5</v>
      </c>
      <c r="O38" s="97"/>
      <c r="P38" s="140"/>
      <c r="Q38" s="136"/>
      <c r="R38" s="136"/>
      <c r="S38" s="136"/>
      <c r="T38" s="136"/>
      <c r="U38" s="136"/>
      <c r="V38" s="136"/>
    </row>
    <row r="39" spans="1:22" ht="25.05" customHeight="1">
      <c r="A39" s="131" t="s">
        <v>105</v>
      </c>
      <c r="B39" s="131"/>
      <c r="C39" s="132">
        <v>10</v>
      </c>
      <c r="D39" s="132"/>
      <c r="E39" s="133"/>
      <c r="F39" s="132"/>
      <c r="G39" s="134">
        <f t="shared" si="1"/>
        <v>10</v>
      </c>
      <c r="H39" s="131" t="s">
        <v>106</v>
      </c>
      <c r="I39" s="131"/>
      <c r="J39" s="132">
        <v>5</v>
      </c>
      <c r="K39" s="132"/>
      <c r="L39" s="132"/>
      <c r="M39" s="132"/>
      <c r="N39" s="134">
        <f t="shared" si="0"/>
        <v>5</v>
      </c>
      <c r="O39" s="97"/>
      <c r="P39" s="140"/>
      <c r="Q39" s="136"/>
      <c r="R39" s="136"/>
      <c r="S39" s="136"/>
      <c r="T39" s="136"/>
      <c r="U39" s="136"/>
      <c r="V39" s="136"/>
    </row>
    <row r="40" spans="1:22" ht="25.05" customHeight="1">
      <c r="A40" s="131" t="s">
        <v>107</v>
      </c>
      <c r="B40" s="131"/>
      <c r="C40" s="132">
        <v>10</v>
      </c>
      <c r="D40" s="132"/>
      <c r="E40" s="133"/>
      <c r="F40" s="132"/>
      <c r="G40" s="134">
        <f t="shared" si="1"/>
        <v>10</v>
      </c>
      <c r="H40" s="131" t="s">
        <v>108</v>
      </c>
      <c r="I40" s="131"/>
      <c r="J40" s="132">
        <v>10</v>
      </c>
      <c r="K40" s="132"/>
      <c r="L40" s="132"/>
      <c r="M40" s="132"/>
      <c r="N40" s="134">
        <f t="shared" si="0"/>
        <v>10</v>
      </c>
      <c r="O40" s="97"/>
      <c r="P40" s="140"/>
      <c r="Q40" s="136"/>
      <c r="R40" s="136"/>
      <c r="S40" s="136"/>
      <c r="T40" s="136"/>
      <c r="U40" s="136"/>
      <c r="V40" s="136"/>
    </row>
    <row r="41" spans="1:22" ht="25.05" customHeight="1">
      <c r="A41" s="131" t="s">
        <v>109</v>
      </c>
      <c r="B41" s="131"/>
      <c r="C41" s="132">
        <v>10</v>
      </c>
      <c r="D41" s="132"/>
      <c r="E41" s="133"/>
      <c r="F41" s="132"/>
      <c r="G41" s="134">
        <f t="shared" si="1"/>
        <v>10</v>
      </c>
      <c r="H41" s="131" t="s">
        <v>110</v>
      </c>
      <c r="I41" s="131"/>
      <c r="J41" s="132">
        <v>10</v>
      </c>
      <c r="K41" s="132"/>
      <c r="L41" s="132"/>
      <c r="M41" s="132"/>
      <c r="N41" s="134">
        <f t="shared" si="0"/>
        <v>10</v>
      </c>
      <c r="O41" s="97"/>
      <c r="P41" s="140"/>
      <c r="Q41" s="136"/>
      <c r="R41" s="136"/>
      <c r="S41" s="136"/>
      <c r="T41" s="136"/>
      <c r="U41" s="136"/>
      <c r="V41" s="136"/>
    </row>
    <row r="42" spans="1:22" ht="25.05" customHeight="1">
      <c r="A42" s="131" t="s">
        <v>111</v>
      </c>
      <c r="B42" s="131"/>
      <c r="C42" s="132">
        <v>10</v>
      </c>
      <c r="D42" s="132"/>
      <c r="E42" s="133"/>
      <c r="F42" s="132"/>
      <c r="G42" s="134">
        <f t="shared" si="1"/>
        <v>10</v>
      </c>
      <c r="H42" s="131" t="s">
        <v>112</v>
      </c>
      <c r="I42" s="131"/>
      <c r="J42" s="132">
        <v>10</v>
      </c>
      <c r="K42" s="132"/>
      <c r="L42" s="132"/>
      <c r="M42" s="132"/>
      <c r="N42" s="134">
        <f t="shared" si="0"/>
        <v>10</v>
      </c>
      <c r="O42" s="97"/>
      <c r="P42" s="140"/>
      <c r="Q42" s="136"/>
      <c r="R42" s="136"/>
      <c r="S42" s="136"/>
      <c r="T42" s="136"/>
      <c r="U42" s="136"/>
      <c r="V42" s="136"/>
    </row>
    <row r="43" spans="1:22" ht="25.05" customHeight="1">
      <c r="A43" s="131" t="s">
        <v>113</v>
      </c>
      <c r="B43" s="131"/>
      <c r="C43" s="132">
        <v>5</v>
      </c>
      <c r="D43" s="132"/>
      <c r="E43" s="133"/>
      <c r="F43" s="132"/>
      <c r="G43" s="134">
        <f t="shared" si="1"/>
        <v>5</v>
      </c>
      <c r="H43" s="131" t="s">
        <v>114</v>
      </c>
      <c r="I43" s="131"/>
      <c r="J43" s="132">
        <v>1</v>
      </c>
      <c r="K43" s="132"/>
      <c r="L43" s="132"/>
      <c r="M43" s="132"/>
      <c r="N43" s="134">
        <f t="shared" si="0"/>
        <v>1</v>
      </c>
      <c r="O43" s="97"/>
      <c r="P43" s="140"/>
      <c r="Q43" s="136"/>
      <c r="R43" s="136"/>
      <c r="S43" s="136"/>
      <c r="T43" s="136"/>
      <c r="U43" s="136"/>
      <c r="V43" s="136"/>
    </row>
    <row r="44" spans="1:22" ht="25.05" customHeight="1">
      <c r="A44" s="131" t="s">
        <v>115</v>
      </c>
      <c r="B44" s="131"/>
      <c r="C44" s="132">
        <v>5</v>
      </c>
      <c r="D44" s="132"/>
      <c r="E44" s="133"/>
      <c r="F44" s="132"/>
      <c r="G44" s="134">
        <f t="shared" si="1"/>
        <v>5</v>
      </c>
      <c r="H44" s="135" t="s">
        <v>116</v>
      </c>
      <c r="I44" s="135">
        <f>B5</f>
        <v>0</v>
      </c>
      <c r="J44" s="132">
        <v>40</v>
      </c>
      <c r="K44" s="132"/>
      <c r="L44" s="132"/>
      <c r="M44" s="132"/>
      <c r="N44" s="134">
        <f t="shared" si="0"/>
        <v>40</v>
      </c>
      <c r="O44" s="97"/>
      <c r="P44" s="140"/>
      <c r="Q44" s="136"/>
      <c r="R44" s="136"/>
      <c r="S44" s="136"/>
      <c r="T44" s="136"/>
      <c r="U44" s="136"/>
      <c r="V44" s="136"/>
    </row>
    <row r="45" spans="1:22" ht="25.05" customHeight="1">
      <c r="A45" s="131" t="s">
        <v>117</v>
      </c>
      <c r="B45" s="131"/>
      <c r="C45" s="132">
        <f>I6</f>
        <v>0</v>
      </c>
      <c r="D45" s="132"/>
      <c r="E45" s="133"/>
      <c r="F45" s="132"/>
      <c r="G45" s="134">
        <f t="shared" si="1"/>
        <v>0</v>
      </c>
      <c r="H45" s="131" t="s">
        <v>118</v>
      </c>
      <c r="I45" s="131"/>
      <c r="J45" s="132">
        <v>5</v>
      </c>
      <c r="K45" s="132"/>
      <c r="L45" s="132"/>
      <c r="M45" s="132"/>
      <c r="N45" s="134">
        <f t="shared" si="0"/>
        <v>5</v>
      </c>
      <c r="O45" s="97"/>
      <c r="P45" s="140"/>
      <c r="Q45" s="136"/>
      <c r="R45" s="136"/>
      <c r="S45" s="136"/>
      <c r="T45" s="136"/>
      <c r="U45" s="136"/>
      <c r="V45" s="136"/>
    </row>
    <row r="46" spans="1:22" ht="25.05" customHeight="1">
      <c r="A46" s="101"/>
      <c r="B46" s="101"/>
      <c r="C46" s="101"/>
      <c r="D46" s="101"/>
      <c r="E46" s="101"/>
      <c r="F46" s="101"/>
      <c r="G46" s="101"/>
      <c r="H46" s="101"/>
      <c r="I46" s="101"/>
      <c r="J46" s="101"/>
      <c r="K46" s="101"/>
      <c r="L46" s="101"/>
      <c r="M46" s="101"/>
      <c r="N46" s="101"/>
      <c r="O46" s="101"/>
      <c r="P46" s="101"/>
      <c r="Q46" s="101"/>
      <c r="R46" s="101"/>
      <c r="S46" s="101"/>
      <c r="T46" s="101"/>
      <c r="U46" s="101"/>
      <c r="V46" s="101"/>
    </row>
    <row r="47" spans="1:22" ht="25.05" customHeight="1">
      <c r="A47" s="51" t="s">
        <v>119</v>
      </c>
      <c r="B47" s="51"/>
      <c r="C47" s="51"/>
      <c r="D47" s="51"/>
      <c r="E47" s="52"/>
      <c r="F47" s="51"/>
      <c r="G47" s="51"/>
      <c r="H47" s="51"/>
      <c r="I47" s="51"/>
      <c r="J47" s="51"/>
      <c r="K47" s="51"/>
      <c r="L47" s="51"/>
      <c r="M47" s="51"/>
      <c r="N47" s="51"/>
      <c r="O47" s="51"/>
      <c r="P47" s="51"/>
      <c r="Q47" s="51"/>
      <c r="R47" s="51"/>
      <c r="S47" s="51"/>
      <c r="T47" s="51"/>
      <c r="U47" s="51"/>
      <c r="V47" s="51"/>
    </row>
    <row r="48" spans="1:22" ht="25.05" customHeight="1">
      <c r="A48" s="106"/>
      <c r="B48" s="136"/>
      <c r="C48" s="136"/>
      <c r="D48" s="136"/>
      <c r="E48" s="141"/>
      <c r="F48" s="136"/>
      <c r="G48" s="136"/>
      <c r="H48" s="136"/>
      <c r="I48" s="136"/>
      <c r="J48" s="136"/>
      <c r="K48" s="136"/>
      <c r="L48" s="108"/>
      <c r="M48" s="136"/>
      <c r="N48" s="136"/>
      <c r="O48" s="136"/>
      <c r="P48" s="136"/>
      <c r="Q48" s="136"/>
      <c r="R48" s="136"/>
      <c r="S48" s="136"/>
      <c r="T48" s="136"/>
      <c r="U48" s="136"/>
      <c r="V48" s="136"/>
    </row>
    <row r="49" spans="1:22" ht="25.05" customHeight="1">
      <c r="A49" s="103"/>
      <c r="B49" s="136"/>
      <c r="C49" s="136"/>
      <c r="D49" s="136"/>
      <c r="E49" s="141"/>
      <c r="F49" s="136"/>
      <c r="G49" s="136"/>
      <c r="H49" s="136"/>
      <c r="I49" s="136"/>
      <c r="J49" s="136"/>
      <c r="K49" s="136"/>
      <c r="L49" s="104"/>
      <c r="M49" s="136"/>
      <c r="N49" s="136"/>
      <c r="O49" s="136"/>
      <c r="P49" s="136"/>
      <c r="Q49" s="136"/>
      <c r="R49" s="136"/>
      <c r="S49" s="136"/>
      <c r="T49" s="136"/>
      <c r="U49" s="136"/>
      <c r="V49" s="136"/>
    </row>
    <row r="50" spans="1:22" ht="25.05" customHeight="1">
      <c r="A50" s="103"/>
      <c r="B50" s="136"/>
      <c r="C50" s="136"/>
      <c r="D50" s="136"/>
      <c r="E50" s="141"/>
      <c r="F50" s="136"/>
      <c r="G50" s="136"/>
      <c r="H50" s="136"/>
      <c r="I50" s="136"/>
      <c r="J50" s="136"/>
      <c r="K50" s="136"/>
      <c r="L50" s="104"/>
      <c r="M50" s="136"/>
      <c r="N50" s="136"/>
      <c r="O50" s="136"/>
      <c r="P50" s="136"/>
      <c r="Q50" s="136"/>
      <c r="R50" s="136"/>
      <c r="S50" s="136"/>
      <c r="T50" s="136"/>
      <c r="U50" s="136"/>
      <c r="V50" s="136"/>
    </row>
    <row r="51" spans="1:22" ht="25.05" customHeight="1">
      <c r="A51" s="103"/>
      <c r="B51" s="136"/>
      <c r="C51" s="136"/>
      <c r="D51" s="136"/>
      <c r="E51" s="141"/>
      <c r="F51" s="136"/>
      <c r="G51" s="136"/>
      <c r="H51" s="136"/>
      <c r="I51" s="136"/>
      <c r="J51" s="136"/>
      <c r="K51" s="136"/>
      <c r="L51" s="104"/>
      <c r="M51" s="136"/>
      <c r="N51" s="136"/>
      <c r="O51" s="136"/>
      <c r="P51" s="136"/>
      <c r="Q51" s="136"/>
      <c r="R51" s="136"/>
      <c r="S51" s="136"/>
      <c r="T51" s="136"/>
      <c r="U51" s="136"/>
      <c r="V51" s="136"/>
    </row>
    <row r="52" spans="1:22" ht="25.05" customHeight="1">
      <c r="A52" s="103"/>
      <c r="B52" s="136"/>
      <c r="C52" s="136"/>
      <c r="D52" s="136"/>
      <c r="E52" s="141"/>
      <c r="F52" s="136"/>
      <c r="G52" s="136"/>
      <c r="H52" s="136"/>
      <c r="I52" s="136"/>
      <c r="J52" s="136"/>
      <c r="K52" s="136"/>
      <c r="L52" s="104"/>
      <c r="M52" s="136"/>
      <c r="N52" s="136"/>
      <c r="O52" s="136"/>
      <c r="P52" s="136"/>
      <c r="Q52" s="136"/>
      <c r="R52" s="136"/>
      <c r="S52" s="136"/>
      <c r="T52" s="136"/>
      <c r="U52" s="136"/>
      <c r="V52" s="136"/>
    </row>
    <row r="53" spans="1:22" ht="25.05" customHeight="1">
      <c r="A53" s="103"/>
      <c r="B53" s="136"/>
      <c r="C53" s="136"/>
      <c r="D53" s="136"/>
      <c r="E53" s="141"/>
      <c r="F53" s="136"/>
      <c r="G53" s="136"/>
      <c r="H53" s="136"/>
      <c r="I53" s="136"/>
      <c r="J53" s="136"/>
      <c r="K53" s="136"/>
      <c r="L53" s="104"/>
      <c r="M53" s="136"/>
      <c r="N53" s="136"/>
      <c r="O53" s="136"/>
      <c r="P53" s="136"/>
      <c r="Q53" s="136"/>
      <c r="R53" s="136"/>
      <c r="S53" s="136"/>
      <c r="T53" s="136"/>
      <c r="U53" s="136"/>
      <c r="V53" s="136"/>
    </row>
    <row r="54" spans="1:22" ht="25.05" customHeight="1">
      <c r="A54" s="103"/>
      <c r="B54" s="136"/>
      <c r="C54" s="136"/>
      <c r="D54" s="136"/>
      <c r="E54" s="141"/>
      <c r="F54" s="136"/>
      <c r="G54" s="136"/>
      <c r="H54" s="136"/>
      <c r="I54" s="136"/>
      <c r="J54" s="136"/>
      <c r="K54" s="136"/>
      <c r="L54" s="104"/>
      <c r="M54" s="136"/>
      <c r="N54" s="136"/>
      <c r="O54" s="136"/>
      <c r="P54" s="136"/>
      <c r="Q54" s="136"/>
      <c r="R54" s="136"/>
      <c r="S54" s="136"/>
      <c r="T54" s="136"/>
      <c r="U54" s="136"/>
      <c r="V54" s="136"/>
    </row>
    <row r="55" spans="1:22" ht="25.05" customHeight="1">
      <c r="A55" s="103"/>
      <c r="B55" s="136"/>
      <c r="C55" s="136"/>
      <c r="D55" s="136"/>
      <c r="E55" s="141"/>
      <c r="F55" s="136"/>
      <c r="G55" s="136"/>
      <c r="H55" s="136"/>
      <c r="I55" s="136"/>
      <c r="J55" s="136"/>
      <c r="K55" s="136"/>
      <c r="L55" s="104"/>
      <c r="M55" s="136"/>
      <c r="N55" s="136"/>
      <c r="O55" s="136"/>
      <c r="P55" s="136"/>
      <c r="Q55" s="136"/>
      <c r="R55" s="136"/>
      <c r="S55" s="136"/>
      <c r="T55" s="136"/>
      <c r="U55" s="136"/>
      <c r="V55" s="136"/>
    </row>
    <row r="56" spans="1:22" ht="25.05" customHeight="1">
      <c r="A56" s="103"/>
      <c r="B56" s="136"/>
      <c r="C56" s="136"/>
      <c r="D56" s="136"/>
      <c r="E56" s="141"/>
      <c r="F56" s="136"/>
      <c r="G56" s="136"/>
      <c r="H56" s="136"/>
      <c r="I56" s="136"/>
      <c r="J56" s="136"/>
      <c r="K56" s="136"/>
      <c r="L56" s="104"/>
      <c r="M56" s="136"/>
      <c r="N56" s="136"/>
      <c r="O56" s="136"/>
      <c r="P56" s="136"/>
      <c r="Q56" s="136"/>
      <c r="R56" s="136"/>
      <c r="S56" s="136"/>
      <c r="T56" s="136"/>
      <c r="U56" s="136"/>
      <c r="V56" s="136"/>
    </row>
    <row r="57" spans="1:22" ht="25.05" customHeight="1">
      <c r="A57" s="103"/>
      <c r="B57" s="136"/>
      <c r="C57" s="136"/>
      <c r="D57" s="136"/>
      <c r="E57" s="141"/>
      <c r="F57" s="136"/>
      <c r="G57" s="136"/>
      <c r="H57" s="136"/>
      <c r="I57" s="136"/>
      <c r="J57" s="136"/>
      <c r="K57" s="136"/>
      <c r="L57" s="104"/>
      <c r="M57" s="136"/>
      <c r="N57" s="136"/>
      <c r="O57" s="136"/>
      <c r="P57" s="136"/>
      <c r="Q57" s="136"/>
      <c r="R57" s="136"/>
      <c r="S57" s="136"/>
      <c r="T57" s="136"/>
      <c r="U57" s="136"/>
      <c r="V57" s="136"/>
    </row>
    <row r="58" spans="1:22" ht="25.05" customHeight="1">
      <c r="A58" s="103"/>
      <c r="B58" s="136"/>
      <c r="C58" s="136"/>
      <c r="D58" s="136"/>
      <c r="E58" s="141"/>
      <c r="F58" s="136"/>
      <c r="G58" s="136"/>
      <c r="H58" s="136"/>
      <c r="I58" s="136"/>
      <c r="J58" s="136"/>
      <c r="K58" s="136"/>
      <c r="L58" s="104"/>
      <c r="M58" s="136"/>
      <c r="N58" s="136"/>
      <c r="O58" s="136"/>
      <c r="P58" s="136"/>
      <c r="Q58" s="136"/>
      <c r="R58" s="136"/>
      <c r="S58" s="136"/>
      <c r="T58" s="136"/>
      <c r="U58" s="136"/>
      <c r="V58" s="136"/>
    </row>
    <row r="59" spans="1:22" ht="25.05" customHeight="1">
      <c r="A59" s="103"/>
      <c r="B59" s="136"/>
      <c r="C59" s="136"/>
      <c r="D59" s="136"/>
      <c r="E59" s="141"/>
      <c r="F59" s="136"/>
      <c r="G59" s="136"/>
      <c r="H59" s="136"/>
      <c r="I59" s="136"/>
      <c r="J59" s="136"/>
      <c r="K59" s="136"/>
      <c r="L59" s="104"/>
      <c r="M59" s="136"/>
      <c r="N59" s="136"/>
      <c r="O59" s="136"/>
      <c r="P59" s="136"/>
      <c r="Q59" s="136"/>
      <c r="R59" s="136"/>
      <c r="S59" s="136"/>
      <c r="T59" s="136"/>
      <c r="U59" s="136"/>
      <c r="V59" s="136"/>
    </row>
    <row r="60" spans="1:22" ht="25.05" customHeight="1">
      <c r="A60" s="103"/>
      <c r="B60" s="136"/>
      <c r="C60" s="136"/>
      <c r="D60" s="136"/>
      <c r="E60" s="141"/>
      <c r="F60" s="136"/>
      <c r="G60" s="136"/>
      <c r="H60" s="136"/>
      <c r="I60" s="136"/>
      <c r="J60" s="136"/>
      <c r="K60" s="136"/>
      <c r="L60" s="104"/>
      <c r="M60" s="136"/>
      <c r="N60" s="136"/>
      <c r="O60" s="136"/>
      <c r="P60" s="136"/>
      <c r="Q60" s="136"/>
      <c r="R60" s="136"/>
      <c r="S60" s="136"/>
      <c r="T60" s="136"/>
      <c r="U60" s="136"/>
      <c r="V60" s="136"/>
    </row>
    <row r="61" spans="1:22" ht="25.05" customHeight="1">
      <c r="A61" s="103"/>
      <c r="B61" s="136"/>
      <c r="C61" s="136"/>
      <c r="D61" s="136"/>
      <c r="E61" s="141"/>
      <c r="F61" s="136"/>
      <c r="G61" s="136"/>
      <c r="H61" s="136"/>
      <c r="I61" s="136"/>
      <c r="J61" s="136"/>
      <c r="K61" s="136"/>
      <c r="L61" s="104"/>
      <c r="M61" s="136"/>
      <c r="N61" s="136"/>
      <c r="O61" s="136"/>
      <c r="P61" s="136"/>
      <c r="Q61" s="136"/>
      <c r="R61" s="136"/>
      <c r="S61" s="136"/>
      <c r="T61" s="136"/>
      <c r="U61" s="136"/>
      <c r="V61" s="136"/>
    </row>
  </sheetData>
  <mergeCells count="206">
    <mergeCell ref="A43:B43"/>
    <mergeCell ref="H43:I43"/>
    <mergeCell ref="Q43:V43"/>
    <mergeCell ref="A44:B44"/>
    <mergeCell ref="Q44:V44"/>
    <mergeCell ref="A47:V47"/>
    <mergeCell ref="B48:K48"/>
    <mergeCell ref="M48:V48"/>
    <mergeCell ref="B49:K49"/>
    <mergeCell ref="M49:V49"/>
    <mergeCell ref="B50:K50"/>
    <mergeCell ref="M50:V50"/>
    <mergeCell ref="B51:K51"/>
    <mergeCell ref="M51:V51"/>
    <mergeCell ref="B60:K60"/>
    <mergeCell ref="M60:V60"/>
    <mergeCell ref="B61:K61"/>
    <mergeCell ref="M61:V61"/>
    <mergeCell ref="B52:K52"/>
    <mergeCell ref="M52:V52"/>
    <mergeCell ref="B53:K53"/>
    <mergeCell ref="M53:V53"/>
    <mergeCell ref="B54:K54"/>
    <mergeCell ref="M54:V54"/>
    <mergeCell ref="B55:K55"/>
    <mergeCell ref="M55:V55"/>
    <mergeCell ref="B56:K56"/>
    <mergeCell ref="M56:V56"/>
    <mergeCell ref="B57:K57"/>
    <mergeCell ref="M57:V57"/>
    <mergeCell ref="B58:K58"/>
    <mergeCell ref="M58:V58"/>
    <mergeCell ref="B59:K59"/>
    <mergeCell ref="M59:V59"/>
    <mergeCell ref="A45:B45"/>
    <mergeCell ref="H45:I45"/>
    <mergeCell ref="Q45:V45"/>
    <mergeCell ref="A46:V46"/>
    <mergeCell ref="O29:O45"/>
    <mergeCell ref="A40:B40"/>
    <mergeCell ref="H40:I40"/>
    <mergeCell ref="Q40:V40"/>
    <mergeCell ref="A41:B41"/>
    <mergeCell ref="H41:I41"/>
    <mergeCell ref="Q41:V41"/>
    <mergeCell ref="A42:B42"/>
    <mergeCell ref="H42:I42"/>
    <mergeCell ref="Q42:V42"/>
    <mergeCell ref="A37:B37"/>
    <mergeCell ref="H37:I37"/>
    <mergeCell ref="Q37:V37"/>
    <mergeCell ref="A38:B38"/>
    <mergeCell ref="H38:I38"/>
    <mergeCell ref="Q38:V38"/>
    <mergeCell ref="A39:B39"/>
    <mergeCell ref="H39:I39"/>
    <mergeCell ref="Q39:V39"/>
    <mergeCell ref="A34:B34"/>
    <mergeCell ref="H34:I34"/>
    <mergeCell ref="Q34:R34"/>
    <mergeCell ref="T34:V34"/>
    <mergeCell ref="A35:B35"/>
    <mergeCell ref="H35:I35"/>
    <mergeCell ref="P35:V35"/>
    <mergeCell ref="A36:B36"/>
    <mergeCell ref="H36:I36"/>
    <mergeCell ref="P36:V36"/>
    <mergeCell ref="A31:B31"/>
    <mergeCell ref="H31:I31"/>
    <mergeCell ref="Q31:R31"/>
    <mergeCell ref="T31:V31"/>
    <mergeCell ref="A32:B32"/>
    <mergeCell ref="H32:I32"/>
    <mergeCell ref="Q32:R32"/>
    <mergeCell ref="T32:V32"/>
    <mergeCell ref="A33:B33"/>
    <mergeCell ref="H33:I33"/>
    <mergeCell ref="Q33:R33"/>
    <mergeCell ref="T33:V33"/>
    <mergeCell ref="F21:G21"/>
    <mergeCell ref="H21:J21"/>
    <mergeCell ref="L21:M21"/>
    <mergeCell ref="N21:O21"/>
    <mergeCell ref="A22:V22"/>
    <mergeCell ref="A29:N29"/>
    <mergeCell ref="P29:V29"/>
    <mergeCell ref="A30:B30"/>
    <mergeCell ref="H30:I30"/>
    <mergeCell ref="Q30:R30"/>
    <mergeCell ref="T30:V30"/>
    <mergeCell ref="E11:E21"/>
    <mergeCell ref="P11:P21"/>
    <mergeCell ref="Q14:R17"/>
    <mergeCell ref="Q18:R21"/>
    <mergeCell ref="S14:V17"/>
    <mergeCell ref="S18:V21"/>
    <mergeCell ref="Q10:V13"/>
    <mergeCell ref="N18:O18"/>
    <mergeCell ref="A19:B19"/>
    <mergeCell ref="C19:D19"/>
    <mergeCell ref="F19:G19"/>
    <mergeCell ref="H19:J19"/>
    <mergeCell ref="L19:M19"/>
    <mergeCell ref="A16:B16"/>
    <mergeCell ref="C16:D16"/>
    <mergeCell ref="F16:G16"/>
    <mergeCell ref="H16:J16"/>
    <mergeCell ref="L16:O16"/>
    <mergeCell ref="N19:O19"/>
    <mergeCell ref="A20:D20"/>
    <mergeCell ref="F20:G20"/>
    <mergeCell ref="H20:J20"/>
    <mergeCell ref="L20:M20"/>
    <mergeCell ref="N20:O20"/>
    <mergeCell ref="A17:B17"/>
    <mergeCell ref="C17:D17"/>
    <mergeCell ref="F17:G17"/>
    <mergeCell ref="H17:J17"/>
    <mergeCell ref="A18:B18"/>
    <mergeCell ref="C18:D18"/>
    <mergeCell ref="F18:G18"/>
    <mergeCell ref="H18:J18"/>
    <mergeCell ref="L18:M18"/>
    <mergeCell ref="K11:K21"/>
    <mergeCell ref="L13:M13"/>
    <mergeCell ref="N13:O13"/>
    <mergeCell ref="A14:B14"/>
    <mergeCell ref="C14:D14"/>
    <mergeCell ref="F14:G14"/>
    <mergeCell ref="H14:J14"/>
    <mergeCell ref="M14:O14"/>
    <mergeCell ref="A15:B15"/>
    <mergeCell ref="C15:D15"/>
    <mergeCell ref="F15:G15"/>
    <mergeCell ref="H15:J15"/>
    <mergeCell ref="M15:O15"/>
    <mergeCell ref="I6:I7"/>
    <mergeCell ref="I8:I9"/>
    <mergeCell ref="J2:J3"/>
    <mergeCell ref="A10:P10"/>
    <mergeCell ref="A11:D11"/>
    <mergeCell ref="F11:J11"/>
    <mergeCell ref="L11:O11"/>
    <mergeCell ref="A12:B12"/>
    <mergeCell ref="C12:D12"/>
    <mergeCell ref="F12:G12"/>
    <mergeCell ref="K2:K3"/>
    <mergeCell ref="L1:L9"/>
    <mergeCell ref="J4:K8"/>
    <mergeCell ref="Q1:V1"/>
    <mergeCell ref="B2:D2"/>
    <mergeCell ref="B3:D3"/>
    <mergeCell ref="B4:D4"/>
    <mergeCell ref="B5:D5"/>
    <mergeCell ref="B6:D6"/>
    <mergeCell ref="H4:H5"/>
    <mergeCell ref="H6:H7"/>
    <mergeCell ref="P1:P9"/>
    <mergeCell ref="Q2:R5"/>
    <mergeCell ref="Q6:R9"/>
    <mergeCell ref="S2:V5"/>
    <mergeCell ref="S6:V9"/>
    <mergeCell ref="M2:O9"/>
    <mergeCell ref="B7:D7"/>
    <mergeCell ref="B8:D8"/>
    <mergeCell ref="B9:D9"/>
    <mergeCell ref="J9:K9"/>
    <mergeCell ref="F6:F7"/>
    <mergeCell ref="F8:F9"/>
    <mergeCell ref="G2:G3"/>
    <mergeCell ref="G4:G5"/>
    <mergeCell ref="G6:G7"/>
    <mergeCell ref="G8:G9"/>
    <mergeCell ref="E1:E9"/>
    <mergeCell ref="F2:F3"/>
    <mergeCell ref="F4:F5"/>
    <mergeCell ref="A23:N23"/>
    <mergeCell ref="A24:C24"/>
    <mergeCell ref="D24:E24"/>
    <mergeCell ref="F24:N24"/>
    <mergeCell ref="A25:C25"/>
    <mergeCell ref="D25:E25"/>
    <mergeCell ref="F25:N25"/>
    <mergeCell ref="H12:J12"/>
    <mergeCell ref="L12:M12"/>
    <mergeCell ref="N12:O12"/>
    <mergeCell ref="A1:D1"/>
    <mergeCell ref="F1:K1"/>
    <mergeCell ref="M1:O1"/>
    <mergeCell ref="H2:H3"/>
    <mergeCell ref="A13:B13"/>
    <mergeCell ref="C13:D13"/>
    <mergeCell ref="F13:G13"/>
    <mergeCell ref="H13:J13"/>
    <mergeCell ref="H8:H9"/>
    <mergeCell ref="I2:I3"/>
    <mergeCell ref="I4:I5"/>
    <mergeCell ref="A26:C26"/>
    <mergeCell ref="D26:E26"/>
    <mergeCell ref="F26:N26"/>
    <mergeCell ref="A27:C27"/>
    <mergeCell ref="D27:E27"/>
    <mergeCell ref="F27:N27"/>
    <mergeCell ref="A28:C28"/>
    <mergeCell ref="D28:E28"/>
    <mergeCell ref="F28:N28"/>
  </mergeCells>
  <phoneticPr fontId="13" type="noConversion"/>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FA049C6F-BE03-4632-AA65-E04236967EAB}">
          <x14:formula1>
            <xm:f>OFFSET(装备列表!$V$5,0,0,COUNTA(装备列表!$V$5:$V$100),1)</xm:f>
          </x14:formula1>
          <xm:sqref>F13</xm:sqref>
        </x14:dataValidation>
        <x14:dataValidation type="list" allowBlank="1" showInputMessage="1" showErrorMessage="1" xr:uid="{5F065EFE-11E9-4427-BFA5-26B27849E7BD}">
          <x14:formula1>
            <xm:f>OFFSET(装备列表!$W$5,0,0,COUNTA(装备列表!$W$5:$W$120),1)</xm:f>
          </x14:formula1>
          <xm:sqref>F15</xm:sqref>
        </x14:dataValidation>
        <x14:dataValidation type="list" allowBlank="1" showInputMessage="1" showErrorMessage="1" xr:uid="{EB5EF6F9-9848-4B16-ACD4-069BA6289CEF}">
          <x14:formula1>
            <xm:f>OFFSET(装备列表!$X$5,0,0,COUNTA(装备列表!$X$5:$X$100),1)</xm:f>
          </x14:formula1>
          <xm:sqref>F17</xm:sqref>
        </x14:dataValidation>
        <x14:dataValidation type="list" allowBlank="1" showInputMessage="1" showErrorMessage="1" xr:uid="{26A7FA6A-67FF-46B7-9526-8432FB1283D8}">
          <x14:formula1>
            <xm:f>OFFSET(装备列表!$Y$5,0,0,COUNTA(装备列表!$Y$5:$Y$150),1)</xm:f>
          </x14:formula1>
          <xm:sqref>F19 F21</xm:sqref>
        </x14:dataValidation>
        <x14:dataValidation type="list" allowBlank="1" showInputMessage="1" showErrorMessage="1" xr:uid="{B9B1006F-69F3-450D-A66E-12024CA6B59D}">
          <x14:formula1>
            <xm:f>OFFSET(装备列表!$Z$5,0,0,COUNTA(装备列表!$Z$5:$Z$200),1)</xm:f>
          </x14:formula1>
          <xm:sqref>A25:A28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541D"/>
  </sheetPr>
  <dimension ref="A1:AD200"/>
  <sheetViews>
    <sheetView zoomScale="75" zoomScaleNormal="75" workbookViewId="0">
      <selection sqref="A1:B1"/>
    </sheetView>
  </sheetViews>
  <sheetFormatPr defaultColWidth="12.77734375" defaultRowHeight="15"/>
  <cols>
    <col min="1" max="8" width="12.77734375" style="10" customWidth="1"/>
    <col min="9" max="10" width="13.77734375" style="10" customWidth="1"/>
    <col min="11" max="11" width="6.77734375" style="10" customWidth="1"/>
    <col min="12" max="19" width="12.77734375" style="10" customWidth="1"/>
    <col min="20" max="21" width="13.77734375" style="10" customWidth="1"/>
    <col min="22" max="22" width="12.77734375" style="10" customWidth="1"/>
    <col min="23" max="30" width="0" style="10" hidden="1" customWidth="1"/>
    <col min="31" max="16384" width="12.77734375" style="10"/>
  </cols>
  <sheetData>
    <row r="1" spans="1:30" ht="25.95" customHeight="1">
      <c r="A1" s="143" t="s">
        <v>120</v>
      </c>
      <c r="B1" s="143"/>
      <c r="C1" s="144" t="s">
        <v>121</v>
      </c>
      <c r="D1" s="144"/>
      <c r="E1" s="144"/>
      <c r="F1" s="144"/>
      <c r="G1" s="144"/>
      <c r="H1" s="144"/>
      <c r="I1" s="144"/>
      <c r="J1" s="144"/>
      <c r="K1" s="142"/>
      <c r="L1" s="146" t="s">
        <v>122</v>
      </c>
      <c r="M1" s="144" t="s">
        <v>123</v>
      </c>
      <c r="N1" s="144"/>
      <c r="O1" s="144"/>
      <c r="P1" s="144"/>
      <c r="Q1" s="144"/>
      <c r="R1" s="144"/>
      <c r="S1" s="144"/>
      <c r="T1" s="144"/>
      <c r="U1" s="144"/>
      <c r="W1" s="33" t="s">
        <v>454</v>
      </c>
      <c r="X1" s="33" t="s">
        <v>123</v>
      </c>
      <c r="Y1" s="33" t="s">
        <v>451</v>
      </c>
      <c r="Z1" s="33" t="s">
        <v>453</v>
      </c>
      <c r="AA1" s="33" t="s">
        <v>73</v>
      </c>
      <c r="AB1" s="33" t="s">
        <v>125</v>
      </c>
      <c r="AC1" s="33" t="s">
        <v>126</v>
      </c>
      <c r="AD1" s="33" t="s">
        <v>127</v>
      </c>
    </row>
    <row r="2" spans="1:30" ht="25.95" customHeight="1">
      <c r="A2" s="143"/>
      <c r="B2" s="143"/>
      <c r="C2" s="145"/>
      <c r="D2" s="145"/>
      <c r="E2" s="145"/>
      <c r="F2" s="145"/>
      <c r="G2" s="145"/>
      <c r="H2" s="145"/>
      <c r="I2" s="145"/>
      <c r="J2" s="145"/>
      <c r="K2" s="142"/>
      <c r="L2" s="146" t="s">
        <v>2432</v>
      </c>
      <c r="M2" s="145" t="str">
        <f>IF(OR(L2="",L2="空"),"",IFERROR(VLOOKUP(L2,$W$2:$X$300,2,FALSE),""))</f>
        <v/>
      </c>
      <c r="N2" s="145"/>
      <c r="O2" s="145"/>
      <c r="P2" s="145"/>
      <c r="Q2" s="145"/>
      <c r="R2" s="145"/>
      <c r="S2" s="145"/>
      <c r="T2" s="145"/>
      <c r="U2" s="145"/>
      <c r="W2" s="33" t="s">
        <v>248</v>
      </c>
      <c r="X2" s="33"/>
      <c r="Y2" s="33" t="s">
        <v>455</v>
      </c>
      <c r="Z2" s="33" t="s">
        <v>2367</v>
      </c>
      <c r="AA2" s="33" t="s">
        <v>248</v>
      </c>
      <c r="AB2" s="33"/>
      <c r="AC2" s="33"/>
      <c r="AD2" s="33"/>
    </row>
    <row r="3" spans="1:30" ht="25.95" customHeight="1">
      <c r="A3" s="143"/>
      <c r="B3" s="143"/>
      <c r="C3" s="145"/>
      <c r="D3" s="145"/>
      <c r="E3" s="145"/>
      <c r="F3" s="145"/>
      <c r="G3" s="145"/>
      <c r="H3" s="145"/>
      <c r="I3" s="145"/>
      <c r="J3" s="145"/>
      <c r="K3" s="142"/>
      <c r="L3" s="146" t="s">
        <v>2432</v>
      </c>
      <c r="M3" s="145" t="str">
        <f>IF(OR(L3="",L3="空"),"",IFERROR(VLOOKUP(L3,$W$2:$X$300,2,FALSE),""))</f>
        <v/>
      </c>
      <c r="N3" s="145"/>
      <c r="O3" s="145"/>
      <c r="P3" s="145"/>
      <c r="Q3" s="145"/>
      <c r="R3" s="145"/>
      <c r="S3" s="145"/>
      <c r="T3" s="145"/>
      <c r="U3" s="145"/>
      <c r="W3" s="33" t="s">
        <v>457</v>
      </c>
      <c r="X3" s="33" t="s">
        <v>458</v>
      </c>
      <c r="Y3" s="33" t="s">
        <v>455</v>
      </c>
      <c r="Z3" s="33" t="s">
        <v>456</v>
      </c>
      <c r="AA3" s="33" t="s">
        <v>797</v>
      </c>
      <c r="AB3" s="33" t="s">
        <v>798</v>
      </c>
      <c r="AC3" s="33" t="s">
        <v>799</v>
      </c>
      <c r="AD3" s="33" t="s">
        <v>800</v>
      </c>
    </row>
    <row r="4" spans="1:30" ht="25.95" customHeight="1">
      <c r="A4" s="143"/>
      <c r="B4" s="143"/>
      <c r="C4" s="145"/>
      <c r="D4" s="145"/>
      <c r="E4" s="145"/>
      <c r="F4" s="145"/>
      <c r="G4" s="145"/>
      <c r="H4" s="145"/>
      <c r="I4" s="145"/>
      <c r="J4" s="145"/>
      <c r="K4" s="142"/>
      <c r="L4" s="146" t="s">
        <v>2432</v>
      </c>
      <c r="M4" s="145" t="str">
        <f>IF(OR(L4="",L4="空"),"",IFERROR(VLOOKUP(L4,$W$2:$X$300,2,FALSE),""))</f>
        <v/>
      </c>
      <c r="N4" s="145"/>
      <c r="O4" s="145"/>
      <c r="P4" s="145"/>
      <c r="Q4" s="145"/>
      <c r="R4" s="145"/>
      <c r="S4" s="145"/>
      <c r="T4" s="145"/>
      <c r="U4" s="145"/>
      <c r="W4" s="33" t="s">
        <v>459</v>
      </c>
      <c r="X4" s="33" t="s">
        <v>460</v>
      </c>
      <c r="Y4" s="33" t="s">
        <v>455</v>
      </c>
      <c r="Z4" s="33" t="s">
        <v>456</v>
      </c>
      <c r="AA4" s="33" t="s">
        <v>801</v>
      </c>
      <c r="AB4" s="33" t="s">
        <v>802</v>
      </c>
      <c r="AC4" s="33" t="s">
        <v>799</v>
      </c>
      <c r="AD4" s="33" t="s">
        <v>803</v>
      </c>
    </row>
    <row r="5" spans="1:30" ht="25.95" customHeight="1">
      <c r="A5" s="143"/>
      <c r="B5" s="143"/>
      <c r="C5" s="145"/>
      <c r="D5" s="145"/>
      <c r="E5" s="145"/>
      <c r="F5" s="145"/>
      <c r="G5" s="145"/>
      <c r="H5" s="145"/>
      <c r="I5" s="145"/>
      <c r="J5" s="145"/>
      <c r="K5" s="142"/>
      <c r="L5" s="146" t="s">
        <v>2432</v>
      </c>
      <c r="M5" s="145" t="str">
        <f>IF(OR(L5="",L5="空"),"",IFERROR(VLOOKUP(L5,$W$2:$X$300,2,FALSE),""))</f>
        <v/>
      </c>
      <c r="N5" s="145"/>
      <c r="O5" s="145"/>
      <c r="P5" s="145"/>
      <c r="Q5" s="145"/>
      <c r="R5" s="145"/>
      <c r="S5" s="145"/>
      <c r="T5" s="145"/>
      <c r="U5" s="145"/>
      <c r="W5" s="33" t="s">
        <v>461</v>
      </c>
      <c r="X5" s="33" t="s">
        <v>462</v>
      </c>
      <c r="Y5" s="33" t="s">
        <v>455</v>
      </c>
      <c r="Z5" s="33" t="s">
        <v>456</v>
      </c>
      <c r="AA5" s="33" t="s">
        <v>804</v>
      </c>
      <c r="AB5" s="33" t="s">
        <v>805</v>
      </c>
      <c r="AC5" s="33" t="s">
        <v>799</v>
      </c>
      <c r="AD5" s="33" t="s">
        <v>806</v>
      </c>
    </row>
    <row r="6" spans="1:30" ht="25.95" customHeight="1">
      <c r="A6" s="143"/>
      <c r="B6" s="143"/>
      <c r="C6" s="145"/>
      <c r="D6" s="145"/>
      <c r="E6" s="145"/>
      <c r="F6" s="145"/>
      <c r="G6" s="145"/>
      <c r="H6" s="145"/>
      <c r="I6" s="145"/>
      <c r="J6" s="145"/>
      <c r="K6" s="142"/>
      <c r="L6" s="146" t="s">
        <v>2432</v>
      </c>
      <c r="M6" s="145" t="str">
        <f>IF(OR(L6="",L6="空"),"",IFERROR(VLOOKUP(L6,$W$2:$X$300,2,FALSE),""))</f>
        <v/>
      </c>
      <c r="N6" s="145"/>
      <c r="O6" s="145"/>
      <c r="P6" s="145"/>
      <c r="Q6" s="145"/>
      <c r="R6" s="145"/>
      <c r="S6" s="145"/>
      <c r="T6" s="145"/>
      <c r="U6" s="145"/>
      <c r="W6" s="33" t="s">
        <v>463</v>
      </c>
      <c r="X6" s="33" t="s">
        <v>464</v>
      </c>
      <c r="Y6" s="33" t="s">
        <v>455</v>
      </c>
      <c r="Z6" s="33" t="s">
        <v>456</v>
      </c>
      <c r="AA6" s="33" t="s">
        <v>807</v>
      </c>
      <c r="AB6" s="33" t="s">
        <v>808</v>
      </c>
      <c r="AC6" s="33" t="s">
        <v>799</v>
      </c>
      <c r="AD6" s="33" t="s">
        <v>809</v>
      </c>
    </row>
    <row r="7" spans="1:30" ht="25.95" customHeight="1">
      <c r="A7" s="143"/>
      <c r="B7" s="143"/>
      <c r="C7" s="145"/>
      <c r="D7" s="145"/>
      <c r="E7" s="145"/>
      <c r="F7" s="145"/>
      <c r="G7" s="145"/>
      <c r="H7" s="145"/>
      <c r="I7" s="145"/>
      <c r="J7" s="145"/>
      <c r="K7" s="142"/>
      <c r="L7" s="146" t="s">
        <v>2432</v>
      </c>
      <c r="M7" s="145" t="str">
        <f>IF(OR(L7="",L7="空"),"",IFERROR(VLOOKUP(L7,$W$2:$X$300,2,FALSE),""))</f>
        <v/>
      </c>
      <c r="N7" s="145"/>
      <c r="O7" s="145"/>
      <c r="P7" s="145"/>
      <c r="Q7" s="145"/>
      <c r="R7" s="145"/>
      <c r="S7" s="145"/>
      <c r="T7" s="145"/>
      <c r="U7" s="145"/>
      <c r="W7" s="33" t="s">
        <v>465</v>
      </c>
      <c r="X7" s="33" t="s">
        <v>466</v>
      </c>
      <c r="Y7" s="33" t="s">
        <v>455</v>
      </c>
      <c r="Z7" s="33" t="s">
        <v>456</v>
      </c>
      <c r="AA7" s="33" t="s">
        <v>810</v>
      </c>
      <c r="AB7" s="33" t="s">
        <v>811</v>
      </c>
      <c r="AC7" s="33" t="s">
        <v>799</v>
      </c>
      <c r="AD7" s="33" t="s">
        <v>806</v>
      </c>
    </row>
    <row r="8" spans="1:30" ht="25.95" customHeight="1">
      <c r="A8" s="143"/>
      <c r="B8" s="143"/>
      <c r="C8" s="145"/>
      <c r="D8" s="145"/>
      <c r="E8" s="145"/>
      <c r="F8" s="145"/>
      <c r="G8" s="145"/>
      <c r="H8" s="145"/>
      <c r="I8" s="145"/>
      <c r="J8" s="145"/>
      <c r="K8" s="142"/>
      <c r="L8" s="146" t="s">
        <v>2432</v>
      </c>
      <c r="M8" s="145" t="str">
        <f>IF(OR(L8="",L8="空"),"",IFERROR(VLOOKUP(L8,$W$2:$X$300,2,FALSE),""))</f>
        <v/>
      </c>
      <c r="N8" s="145"/>
      <c r="O8" s="145"/>
      <c r="P8" s="145"/>
      <c r="Q8" s="145"/>
      <c r="R8" s="145"/>
      <c r="S8" s="145"/>
      <c r="T8" s="145"/>
      <c r="U8" s="145"/>
      <c r="W8" s="33" t="s">
        <v>467</v>
      </c>
      <c r="X8" s="33" t="s">
        <v>468</v>
      </c>
      <c r="Y8" s="33" t="s">
        <v>455</v>
      </c>
      <c r="Z8" s="33" t="s">
        <v>456</v>
      </c>
      <c r="AA8" s="33" t="s">
        <v>813</v>
      </c>
      <c r="AB8" s="33" t="s">
        <v>814</v>
      </c>
      <c r="AC8" s="33" t="s">
        <v>815</v>
      </c>
      <c r="AD8" s="33" t="s">
        <v>816</v>
      </c>
    </row>
    <row r="9" spans="1:30" ht="25.95" customHeight="1">
      <c r="A9" s="143"/>
      <c r="B9" s="143"/>
      <c r="C9" s="145"/>
      <c r="D9" s="145"/>
      <c r="E9" s="145"/>
      <c r="F9" s="145"/>
      <c r="G9" s="145"/>
      <c r="H9" s="145"/>
      <c r="I9" s="145"/>
      <c r="J9" s="145"/>
      <c r="K9" s="142"/>
      <c r="L9" s="146" t="s">
        <v>2432</v>
      </c>
      <c r="M9" s="145" t="str">
        <f>IF(OR(L9="",L9="空"),"",IFERROR(VLOOKUP(L9,$W$2:$X$300,2,FALSE),""))</f>
        <v/>
      </c>
      <c r="N9" s="145"/>
      <c r="O9" s="145"/>
      <c r="P9" s="145"/>
      <c r="Q9" s="145"/>
      <c r="R9" s="145"/>
      <c r="S9" s="145"/>
      <c r="T9" s="145"/>
      <c r="U9" s="145"/>
      <c r="W9" s="33" t="s">
        <v>469</v>
      </c>
      <c r="X9" s="33" t="s">
        <v>470</v>
      </c>
      <c r="Y9" s="33" t="s">
        <v>455</v>
      </c>
      <c r="Z9" s="33" t="s">
        <v>456</v>
      </c>
      <c r="AA9" s="33" t="s">
        <v>817</v>
      </c>
      <c r="AB9" s="33" t="s">
        <v>818</v>
      </c>
      <c r="AC9" s="33" t="s">
        <v>819</v>
      </c>
      <c r="AD9" s="33"/>
    </row>
    <row r="10" spans="1:30" ht="25.95" customHeight="1">
      <c r="A10" s="143"/>
      <c r="B10" s="143"/>
      <c r="C10" s="145"/>
      <c r="D10" s="145"/>
      <c r="E10" s="145"/>
      <c r="F10" s="145"/>
      <c r="G10" s="145"/>
      <c r="H10" s="145"/>
      <c r="I10" s="145"/>
      <c r="J10" s="145"/>
      <c r="K10" s="142"/>
      <c r="L10" s="146" t="s">
        <v>2432</v>
      </c>
      <c r="M10" s="145" t="str">
        <f>IF(OR(L10="",L10="空"),"",IFERROR(VLOOKUP(L10,$W$2:$X$300,2,FALSE),""))</f>
        <v/>
      </c>
      <c r="N10" s="145"/>
      <c r="O10" s="145"/>
      <c r="P10" s="145"/>
      <c r="Q10" s="145"/>
      <c r="R10" s="145"/>
      <c r="S10" s="145"/>
      <c r="T10" s="145"/>
      <c r="U10" s="145"/>
      <c r="W10" s="33" t="s">
        <v>471</v>
      </c>
      <c r="X10" s="33" t="s">
        <v>472</v>
      </c>
      <c r="Y10" s="33" t="s">
        <v>455</v>
      </c>
      <c r="Z10" s="33" t="s">
        <v>456</v>
      </c>
      <c r="AA10" s="33" t="s">
        <v>820</v>
      </c>
      <c r="AB10" s="33" t="s">
        <v>821</v>
      </c>
      <c r="AC10" s="33" t="s">
        <v>819</v>
      </c>
      <c r="AD10" s="33"/>
    </row>
    <row r="11" spans="1:30" ht="25.95" customHeight="1">
      <c r="A11" s="143"/>
      <c r="B11" s="143"/>
      <c r="C11" s="145"/>
      <c r="D11" s="145"/>
      <c r="E11" s="145"/>
      <c r="F11" s="145"/>
      <c r="G11" s="145"/>
      <c r="H11" s="145"/>
      <c r="I11" s="145"/>
      <c r="J11" s="145"/>
      <c r="K11" s="142"/>
      <c r="L11" s="146" t="s">
        <v>2432</v>
      </c>
      <c r="M11" s="145" t="str">
        <f>IF(OR(L11="",L11="空"),"",IFERROR(VLOOKUP(L11,$W$2:$X$300,2,FALSE),""))</f>
        <v/>
      </c>
      <c r="N11" s="145"/>
      <c r="O11" s="145"/>
      <c r="P11" s="145"/>
      <c r="Q11" s="145"/>
      <c r="R11" s="145"/>
      <c r="S11" s="145"/>
      <c r="T11" s="145"/>
      <c r="U11" s="145"/>
      <c r="W11" s="33" t="s">
        <v>473</v>
      </c>
      <c r="X11" s="33" t="s">
        <v>474</v>
      </c>
      <c r="Y11" s="33" t="s">
        <v>455</v>
      </c>
      <c r="Z11" s="33" t="s">
        <v>456</v>
      </c>
      <c r="AA11" s="33" t="s">
        <v>823</v>
      </c>
      <c r="AB11" s="33" t="s">
        <v>824</v>
      </c>
      <c r="AC11" s="33" t="s">
        <v>825</v>
      </c>
      <c r="AD11" s="33" t="s">
        <v>826</v>
      </c>
    </row>
    <row r="12" spans="1:30" ht="25.95" customHeight="1">
      <c r="A12" s="143"/>
      <c r="B12" s="143"/>
      <c r="C12" s="145"/>
      <c r="D12" s="145"/>
      <c r="E12" s="145"/>
      <c r="F12" s="145"/>
      <c r="G12" s="145"/>
      <c r="H12" s="145"/>
      <c r="I12" s="145"/>
      <c r="J12" s="145"/>
      <c r="K12" s="142"/>
      <c r="L12" s="146" t="s">
        <v>2432</v>
      </c>
      <c r="M12" s="145" t="str">
        <f>IF(OR(L12="",L12="空"),"",IFERROR(VLOOKUP(L12,$W$2:$X$300,2,FALSE),""))</f>
        <v/>
      </c>
      <c r="N12" s="145"/>
      <c r="O12" s="145"/>
      <c r="P12" s="145"/>
      <c r="Q12" s="145"/>
      <c r="R12" s="145"/>
      <c r="S12" s="145"/>
      <c r="T12" s="145"/>
      <c r="U12" s="145"/>
      <c r="W12" s="33" t="s">
        <v>475</v>
      </c>
      <c r="X12" s="33" t="s">
        <v>476</v>
      </c>
      <c r="Y12" s="33" t="s">
        <v>455</v>
      </c>
      <c r="Z12" s="33" t="s">
        <v>456</v>
      </c>
      <c r="AA12" s="33" t="s">
        <v>827</v>
      </c>
      <c r="AB12" s="33" t="s">
        <v>828</v>
      </c>
      <c r="AC12" s="33" t="s">
        <v>825</v>
      </c>
      <c r="AD12" s="33" t="s">
        <v>829</v>
      </c>
    </row>
    <row r="13" spans="1:30" ht="25.95" customHeight="1">
      <c r="A13" s="143"/>
      <c r="B13" s="143"/>
      <c r="C13" s="145"/>
      <c r="D13" s="145"/>
      <c r="E13" s="145"/>
      <c r="F13" s="145"/>
      <c r="G13" s="145"/>
      <c r="H13" s="145"/>
      <c r="I13" s="145"/>
      <c r="J13" s="145"/>
      <c r="K13" s="142"/>
      <c r="L13" s="146" t="s">
        <v>2432</v>
      </c>
      <c r="M13" s="145" t="str">
        <f>IF(OR(L13="",L13="空"),"",IFERROR(VLOOKUP(L13,$W$2:$X$300,2,FALSE),""))</f>
        <v/>
      </c>
      <c r="N13" s="145"/>
      <c r="O13" s="145"/>
      <c r="P13" s="145"/>
      <c r="Q13" s="145"/>
      <c r="R13" s="145"/>
      <c r="S13" s="145"/>
      <c r="T13" s="145"/>
      <c r="U13" s="145"/>
      <c r="W13" s="33" t="s">
        <v>477</v>
      </c>
      <c r="X13" s="33" t="s">
        <v>478</v>
      </c>
      <c r="Y13" s="33" t="s">
        <v>455</v>
      </c>
      <c r="Z13" s="33" t="s">
        <v>456</v>
      </c>
      <c r="AA13" s="33" t="s">
        <v>831</v>
      </c>
      <c r="AB13" s="33" t="s">
        <v>832</v>
      </c>
      <c r="AC13" s="33" t="s">
        <v>825</v>
      </c>
      <c r="AD13" s="33" t="s">
        <v>833</v>
      </c>
    </row>
    <row r="14" spans="1:30" ht="25.95" customHeight="1">
      <c r="A14" s="143"/>
      <c r="B14" s="143"/>
      <c r="C14" s="145"/>
      <c r="D14" s="145"/>
      <c r="E14" s="145"/>
      <c r="F14" s="145"/>
      <c r="G14" s="145"/>
      <c r="H14" s="145"/>
      <c r="I14" s="145"/>
      <c r="J14" s="145"/>
      <c r="K14" s="142"/>
      <c r="L14" s="146" t="s">
        <v>2432</v>
      </c>
      <c r="M14" s="145" t="str">
        <f>IF(OR(L14="",L14="空"),"",IFERROR(VLOOKUP(L14,$W$2:$X$300,2,FALSE),""))</f>
        <v/>
      </c>
      <c r="N14" s="145"/>
      <c r="O14" s="145"/>
      <c r="P14" s="145"/>
      <c r="Q14" s="145"/>
      <c r="R14" s="145"/>
      <c r="S14" s="145"/>
      <c r="T14" s="145"/>
      <c r="U14" s="145"/>
      <c r="W14" s="33" t="s">
        <v>479</v>
      </c>
      <c r="X14" s="33" t="s">
        <v>480</v>
      </c>
      <c r="Y14" s="33" t="s">
        <v>455</v>
      </c>
      <c r="Z14" s="33" t="s">
        <v>456</v>
      </c>
      <c r="AA14" s="33" t="s">
        <v>834</v>
      </c>
      <c r="AB14" s="33" t="s">
        <v>835</v>
      </c>
      <c r="AC14" s="33" t="s">
        <v>836</v>
      </c>
      <c r="AD14" s="33" t="s">
        <v>837</v>
      </c>
    </row>
    <row r="15" spans="1:30" ht="25.95" customHeight="1">
      <c r="A15" s="143"/>
      <c r="B15" s="143"/>
      <c r="C15" s="145"/>
      <c r="D15" s="145"/>
      <c r="E15" s="145"/>
      <c r="F15" s="145"/>
      <c r="G15" s="145"/>
      <c r="H15" s="145"/>
      <c r="I15" s="145"/>
      <c r="J15" s="145"/>
      <c r="K15" s="142"/>
      <c r="L15" s="146" t="s">
        <v>2432</v>
      </c>
      <c r="M15" s="145" t="str">
        <f>IF(OR(L15="",L15="空"),"",IFERROR(VLOOKUP(L15,$W$2:$X$300,2,FALSE),""))</f>
        <v/>
      </c>
      <c r="N15" s="145"/>
      <c r="O15" s="145"/>
      <c r="P15" s="145"/>
      <c r="Q15" s="145"/>
      <c r="R15" s="145"/>
      <c r="S15" s="145"/>
      <c r="T15" s="145"/>
      <c r="U15" s="145"/>
      <c r="W15" s="33" t="s">
        <v>481</v>
      </c>
      <c r="X15" s="33" t="s">
        <v>482</v>
      </c>
      <c r="Y15" s="33" t="s">
        <v>455</v>
      </c>
      <c r="Z15" s="33" t="s">
        <v>456</v>
      </c>
      <c r="AA15" s="33" t="s">
        <v>838</v>
      </c>
      <c r="AB15" s="33" t="s">
        <v>839</v>
      </c>
      <c r="AC15" s="33" t="s">
        <v>836</v>
      </c>
      <c r="AD15" s="33" t="s">
        <v>840</v>
      </c>
    </row>
    <row r="16" spans="1:30" ht="25.95" customHeight="1">
      <c r="A16" s="143"/>
      <c r="B16" s="143"/>
      <c r="C16" s="145"/>
      <c r="D16" s="145"/>
      <c r="E16" s="145"/>
      <c r="F16" s="145"/>
      <c r="G16" s="145"/>
      <c r="H16" s="145"/>
      <c r="I16" s="145"/>
      <c r="J16" s="145"/>
      <c r="K16" s="142"/>
      <c r="L16" s="146" t="s">
        <v>2432</v>
      </c>
      <c r="M16" s="145" t="str">
        <f>IF(OR(L16="",L16="空"),"",IFERROR(VLOOKUP(L16,$W$2:$X$300,2,FALSE),""))</f>
        <v/>
      </c>
      <c r="N16" s="145"/>
      <c r="O16" s="145"/>
      <c r="P16" s="145"/>
      <c r="Q16" s="145"/>
      <c r="R16" s="145"/>
      <c r="S16" s="145"/>
      <c r="T16" s="145"/>
      <c r="U16" s="145"/>
      <c r="W16" s="33" t="s">
        <v>19</v>
      </c>
      <c r="X16" s="33" t="s">
        <v>483</v>
      </c>
      <c r="Y16" s="33" t="s">
        <v>455</v>
      </c>
      <c r="Z16" s="33" t="s">
        <v>456</v>
      </c>
      <c r="AA16" s="33" t="s">
        <v>841</v>
      </c>
      <c r="AB16" s="33" t="s">
        <v>842</v>
      </c>
      <c r="AC16" s="33" t="s">
        <v>819</v>
      </c>
      <c r="AD16" s="33" t="s">
        <v>800</v>
      </c>
    </row>
    <row r="17" spans="1:30" ht="25.95" customHeight="1">
      <c r="A17" s="143"/>
      <c r="B17" s="143"/>
      <c r="C17" s="145"/>
      <c r="D17" s="145"/>
      <c r="E17" s="145"/>
      <c r="F17" s="145"/>
      <c r="G17" s="145"/>
      <c r="H17" s="145"/>
      <c r="I17" s="145"/>
      <c r="J17" s="145"/>
      <c r="K17" s="142"/>
      <c r="L17" s="146" t="s">
        <v>2432</v>
      </c>
      <c r="M17" s="145" t="str">
        <f>IF(OR(L17="",L17="空"),"",IFERROR(VLOOKUP(L17,$W$2:$X$300,2,FALSE),""))</f>
        <v/>
      </c>
      <c r="N17" s="145"/>
      <c r="O17" s="145"/>
      <c r="P17" s="145"/>
      <c r="Q17" s="145"/>
      <c r="R17" s="145"/>
      <c r="S17" s="145"/>
      <c r="T17" s="145"/>
      <c r="U17" s="145"/>
      <c r="W17" s="33" t="s">
        <v>484</v>
      </c>
      <c r="X17" s="33" t="s">
        <v>485</v>
      </c>
      <c r="Y17" s="33" t="s">
        <v>455</v>
      </c>
      <c r="Z17" s="33" t="s">
        <v>456</v>
      </c>
      <c r="AA17" s="33" t="s">
        <v>1324</v>
      </c>
      <c r="AB17" s="33" t="s">
        <v>1325</v>
      </c>
      <c r="AC17" s="33" t="s">
        <v>875</v>
      </c>
      <c r="AD17" s="33" t="s">
        <v>1326</v>
      </c>
    </row>
    <row r="18" spans="1:30" ht="30" customHeight="1">
      <c r="A18" s="147" t="s">
        <v>2431</v>
      </c>
      <c r="B18" s="147"/>
      <c r="C18" s="147"/>
      <c r="D18" s="147"/>
      <c r="E18" s="147"/>
      <c r="F18" s="147"/>
      <c r="G18" s="147"/>
      <c r="H18" s="147"/>
      <c r="I18" s="147"/>
      <c r="J18" s="147"/>
      <c r="K18" s="147"/>
      <c r="L18" s="147"/>
      <c r="M18" s="147"/>
      <c r="N18" s="147"/>
      <c r="O18" s="147"/>
      <c r="P18" s="147"/>
      <c r="Q18" s="147"/>
      <c r="R18" s="147"/>
      <c r="S18" s="147"/>
      <c r="T18" s="147"/>
      <c r="U18" s="147"/>
      <c r="W18" s="33" t="s">
        <v>486</v>
      </c>
      <c r="X18" s="33" t="s">
        <v>487</v>
      </c>
      <c r="Y18" s="33" t="s">
        <v>455</v>
      </c>
      <c r="Z18" s="33" t="s">
        <v>456</v>
      </c>
      <c r="AA18" s="33" t="s">
        <v>1327</v>
      </c>
      <c r="AB18" s="33" t="s">
        <v>1328</v>
      </c>
      <c r="AC18" s="33" t="s">
        <v>857</v>
      </c>
      <c r="AD18" s="33" t="s">
        <v>1326</v>
      </c>
    </row>
    <row r="19" spans="1:30" ht="25.95" customHeight="1">
      <c r="A19" s="146" t="s">
        <v>124</v>
      </c>
      <c r="B19" s="148" t="s">
        <v>125</v>
      </c>
      <c r="C19" s="148"/>
      <c r="D19" s="148"/>
      <c r="E19" s="148"/>
      <c r="F19" s="148"/>
      <c r="G19" s="148"/>
      <c r="H19" s="148"/>
      <c r="I19" s="146" t="s">
        <v>126</v>
      </c>
      <c r="J19" s="146" t="s">
        <v>127</v>
      </c>
      <c r="K19" s="142"/>
      <c r="L19" s="146" t="s">
        <v>124</v>
      </c>
      <c r="M19" s="148" t="s">
        <v>125</v>
      </c>
      <c r="N19" s="148"/>
      <c r="O19" s="148"/>
      <c r="P19" s="148"/>
      <c r="Q19" s="148"/>
      <c r="R19" s="148"/>
      <c r="S19" s="148"/>
      <c r="T19" s="146" t="s">
        <v>126</v>
      </c>
      <c r="U19" s="146" t="s">
        <v>127</v>
      </c>
      <c r="W19" s="33" t="s">
        <v>488</v>
      </c>
      <c r="X19" s="33" t="s">
        <v>489</v>
      </c>
      <c r="Y19" s="33" t="s">
        <v>455</v>
      </c>
      <c r="Z19" s="33" t="s">
        <v>456</v>
      </c>
      <c r="AA19" s="33" t="s">
        <v>1329</v>
      </c>
      <c r="AB19" s="33" t="s">
        <v>1330</v>
      </c>
      <c r="AC19" s="33" t="s">
        <v>799</v>
      </c>
      <c r="AD19" s="33" t="s">
        <v>1326</v>
      </c>
    </row>
    <row r="20" spans="1:30" ht="25.95" customHeight="1">
      <c r="A20" s="146" t="s">
        <v>2432</v>
      </c>
      <c r="B20" s="50" t="str">
        <f>IF(OR(A20="",A20="空"),"",IFERROR(VLOOKUP(A20,$AA$2:$AD$400,2,FALSE),""))</f>
        <v/>
      </c>
      <c r="C20" s="50"/>
      <c r="D20" s="50"/>
      <c r="E20" s="50"/>
      <c r="F20" s="50"/>
      <c r="G20" s="50"/>
      <c r="H20" s="50"/>
      <c r="I20" s="149" t="str">
        <f>IF(OR(A20="",A20="空"),"",IFERROR(VLOOKUP(A20,$AA$2:$AD$400,3,FALSE),""))</f>
        <v/>
      </c>
      <c r="J20" s="149" t="str">
        <f>IF(OR(A20="",A20="空"),"",IFERROR(VLOOKUP(A20,$AA$2:$AD$400,4,FALSE),""))</f>
        <v/>
      </c>
      <c r="K20" s="142"/>
      <c r="L20" s="146" t="s">
        <v>2432</v>
      </c>
      <c r="M20" s="50" t="str">
        <f>IF(OR(L20="",L20="空"),"",IFERROR(VLOOKUP(L20,$AA$2:$AD$400,2,FALSE),""))</f>
        <v/>
      </c>
      <c r="N20" s="50"/>
      <c r="O20" s="50"/>
      <c r="P20" s="50"/>
      <c r="Q20" s="50"/>
      <c r="R20" s="50"/>
      <c r="S20" s="50"/>
      <c r="T20" s="149" t="str">
        <f>IF(OR(L20="",L20="空"),"",IFERROR(VLOOKUP(L20,$AA$2:$AD$400,3,FALSE),""))</f>
        <v/>
      </c>
      <c r="U20" s="149" t="str">
        <f>IF(OR(L20="",L20="空"),"",IFERROR(VLOOKUP(L20,$AA$2:$AD$400,4,FALSE),""))</f>
        <v/>
      </c>
      <c r="W20" s="33" t="s">
        <v>490</v>
      </c>
      <c r="X20" s="33" t="s">
        <v>491</v>
      </c>
      <c r="Y20" s="33" t="s">
        <v>455</v>
      </c>
      <c r="Z20" s="33" t="s">
        <v>456</v>
      </c>
      <c r="AA20" s="33" t="s">
        <v>1331</v>
      </c>
      <c r="AB20" s="33" t="s">
        <v>1332</v>
      </c>
      <c r="AC20" s="33" t="s">
        <v>836</v>
      </c>
      <c r="AD20" s="33" t="s">
        <v>1326</v>
      </c>
    </row>
    <row r="21" spans="1:30" ht="25.95" customHeight="1">
      <c r="A21" s="146" t="s">
        <v>2432</v>
      </c>
      <c r="B21" s="150" t="str">
        <f>IF(OR(A21="",A21="空"),"",IFERROR(VLOOKUP(A21,$AA$2:$AD$400,2,FALSE),""))</f>
        <v/>
      </c>
      <c r="C21" s="150"/>
      <c r="D21" s="150"/>
      <c r="E21" s="150"/>
      <c r="F21" s="150"/>
      <c r="G21" s="150"/>
      <c r="H21" s="150"/>
      <c r="I21" s="151" t="str">
        <f>IF(OR(A21="",A21="空"),"",IFERROR(VLOOKUP(A21,$AA$2:$AD$400,3,FALSE),""))</f>
        <v/>
      </c>
      <c r="J21" s="151" t="str">
        <f>IF(OR(A21="",A21="空"),"",IFERROR(VLOOKUP(A21,$AA$2:$AD$400,4,FALSE),""))</f>
        <v/>
      </c>
      <c r="K21" s="142"/>
      <c r="L21" s="146" t="s">
        <v>2432</v>
      </c>
      <c r="M21" s="150" t="str">
        <f>IF(OR(L21="",L21="空"),"",IFERROR(VLOOKUP(L21,$AA$2:$AD$400,2,FALSE),""))</f>
        <v/>
      </c>
      <c r="N21" s="150"/>
      <c r="O21" s="150"/>
      <c r="P21" s="150"/>
      <c r="Q21" s="150"/>
      <c r="R21" s="150"/>
      <c r="S21" s="150"/>
      <c r="T21" s="151" t="str">
        <f>IF(OR(L21="",L21="空"),"",IFERROR(VLOOKUP(L21,$AA$2:$AD$400,3,FALSE),""))</f>
        <v/>
      </c>
      <c r="U21" s="151" t="str">
        <f>IF(OR(L21="",L21="空"),"",IFERROR(VLOOKUP(L21,$AA$2:$AD$400,4,FALSE),""))</f>
        <v/>
      </c>
      <c r="W21" s="33" t="s">
        <v>492</v>
      </c>
      <c r="X21" s="33" t="s">
        <v>493</v>
      </c>
      <c r="Y21" s="33" t="s">
        <v>455</v>
      </c>
      <c r="Z21" s="33" t="s">
        <v>456</v>
      </c>
      <c r="AA21" s="33" t="s">
        <v>1334</v>
      </c>
      <c r="AB21" s="33" t="s">
        <v>1335</v>
      </c>
      <c r="AC21" s="33" t="s">
        <v>799</v>
      </c>
      <c r="AD21" s="33" t="s">
        <v>1326</v>
      </c>
    </row>
    <row r="22" spans="1:30" ht="25.95" customHeight="1">
      <c r="A22" s="146" t="s">
        <v>2432</v>
      </c>
      <c r="B22" s="50" t="str">
        <f>IF(OR(A22="",A22="空"),"",IFERROR(VLOOKUP(A22,$AA$2:$AD$400,2,FALSE),""))</f>
        <v/>
      </c>
      <c r="C22" s="50"/>
      <c r="D22" s="50"/>
      <c r="E22" s="50"/>
      <c r="F22" s="50"/>
      <c r="G22" s="50"/>
      <c r="H22" s="50"/>
      <c r="I22" s="149" t="str">
        <f>IF(OR(A22="",A22="空"),"",IFERROR(VLOOKUP(A22,$AA$2:$AD$400,3,FALSE),""))</f>
        <v/>
      </c>
      <c r="J22" s="149" t="str">
        <f>IF(OR(A22="",A22="空"),"",IFERROR(VLOOKUP(A22,$AA$2:$AD$400,4,FALSE),""))</f>
        <v/>
      </c>
      <c r="K22" s="142"/>
      <c r="L22" s="146" t="s">
        <v>2432</v>
      </c>
      <c r="M22" s="50" t="str">
        <f>IF(OR(L22="",L22="空"),"",IFERROR(VLOOKUP(L22,$AA$2:$AD$400,2,FALSE),""))</f>
        <v/>
      </c>
      <c r="N22" s="50"/>
      <c r="O22" s="50"/>
      <c r="P22" s="50"/>
      <c r="Q22" s="50"/>
      <c r="R22" s="50"/>
      <c r="S22" s="50"/>
      <c r="T22" s="149" t="str">
        <f>IF(OR(L22="",L22="空"),"",IFERROR(VLOOKUP(L22,$AA$2:$AD$400,3,FALSE),""))</f>
        <v/>
      </c>
      <c r="U22" s="149" t="str">
        <f>IF(OR(L22="",L22="空"),"",IFERROR(VLOOKUP(L22,$AA$2:$AD$400,4,FALSE),""))</f>
        <v/>
      </c>
      <c r="W22" s="33" t="s">
        <v>494</v>
      </c>
      <c r="X22" s="33" t="s">
        <v>495</v>
      </c>
      <c r="Y22" s="33" t="s">
        <v>455</v>
      </c>
      <c r="Z22" s="33" t="s">
        <v>456</v>
      </c>
      <c r="AA22" s="33" t="s">
        <v>1336</v>
      </c>
      <c r="AB22" s="33" t="s">
        <v>1337</v>
      </c>
      <c r="AC22" s="33" t="s">
        <v>1338</v>
      </c>
      <c r="AD22" s="33" t="s">
        <v>1326</v>
      </c>
    </row>
    <row r="23" spans="1:30" ht="25.95" customHeight="1">
      <c r="A23" s="146" t="s">
        <v>2432</v>
      </c>
      <c r="B23" s="150" t="str">
        <f>IF(OR(A23="",A23="空"),"",IFERROR(VLOOKUP(A23,$AA$2:$AD$400,2,FALSE),""))</f>
        <v/>
      </c>
      <c r="C23" s="150"/>
      <c r="D23" s="150"/>
      <c r="E23" s="150"/>
      <c r="F23" s="150"/>
      <c r="G23" s="150"/>
      <c r="H23" s="150"/>
      <c r="I23" s="151" t="str">
        <f>IF(OR(A23="",A23="空"),"",IFERROR(VLOOKUP(A23,$AA$2:$AD$400,3,FALSE),""))</f>
        <v/>
      </c>
      <c r="J23" s="151" t="str">
        <f>IF(OR(A23="",A23="空"),"",IFERROR(VLOOKUP(A23,$AA$2:$AD$400,4,FALSE),""))</f>
        <v/>
      </c>
      <c r="K23" s="142"/>
      <c r="L23" s="146" t="s">
        <v>2432</v>
      </c>
      <c r="M23" s="150" t="str">
        <f>IF(OR(L23="",L23="空"),"",IFERROR(VLOOKUP(L23,$AA$2:$AD$400,2,FALSE),""))</f>
        <v/>
      </c>
      <c r="N23" s="150"/>
      <c r="O23" s="150"/>
      <c r="P23" s="150"/>
      <c r="Q23" s="150"/>
      <c r="R23" s="150"/>
      <c r="S23" s="150"/>
      <c r="T23" s="151" t="str">
        <f>IF(OR(L23="",L23="空"),"",IFERROR(VLOOKUP(L23,$AA$2:$AD$400,3,FALSE),""))</f>
        <v/>
      </c>
      <c r="U23" s="151" t="str">
        <f>IF(OR(L23="",L23="空"),"",IFERROR(VLOOKUP(L23,$AA$2:$AD$400,4,FALSE),""))</f>
        <v/>
      </c>
      <c r="W23" s="33" t="s">
        <v>496</v>
      </c>
      <c r="X23" s="33" t="s">
        <v>497</v>
      </c>
      <c r="Y23" s="33" t="s">
        <v>455</v>
      </c>
      <c r="Z23" s="33" t="s">
        <v>456</v>
      </c>
      <c r="AA23" s="33" t="s">
        <v>1339</v>
      </c>
      <c r="AB23" s="33" t="s">
        <v>1340</v>
      </c>
      <c r="AC23" s="33" t="s">
        <v>799</v>
      </c>
      <c r="AD23" s="33" t="s">
        <v>1326</v>
      </c>
    </row>
    <row r="24" spans="1:30" ht="25.95" customHeight="1">
      <c r="A24" s="146" t="s">
        <v>2432</v>
      </c>
      <c r="B24" s="50" t="str">
        <f>IF(OR(A24="",A24="空"),"",IFERROR(VLOOKUP(A24,$AA$2:$AD$400,2,FALSE),""))</f>
        <v/>
      </c>
      <c r="C24" s="50"/>
      <c r="D24" s="50"/>
      <c r="E24" s="50"/>
      <c r="F24" s="50"/>
      <c r="G24" s="50"/>
      <c r="H24" s="50"/>
      <c r="I24" s="149" t="str">
        <f>IF(OR(A24="",A24="空"),"",IFERROR(VLOOKUP(A24,$AA$2:$AD$400,3,FALSE),""))</f>
        <v/>
      </c>
      <c r="J24" s="149" t="str">
        <f>IF(OR(A24="",A24="空"),"",IFERROR(VLOOKUP(A24,$AA$2:$AD$400,4,FALSE),""))</f>
        <v/>
      </c>
      <c r="K24" s="142"/>
      <c r="L24" s="146" t="s">
        <v>2432</v>
      </c>
      <c r="M24" s="50" t="str">
        <f>IF(OR(L24="",L24="空"),"",IFERROR(VLOOKUP(L24,$AA$2:$AD$400,2,FALSE),""))</f>
        <v/>
      </c>
      <c r="N24" s="50"/>
      <c r="O24" s="50"/>
      <c r="P24" s="50"/>
      <c r="Q24" s="50"/>
      <c r="R24" s="50"/>
      <c r="S24" s="50"/>
      <c r="T24" s="149" t="str">
        <f>IF(OR(L24="",L24="空"),"",IFERROR(VLOOKUP(L24,$AA$2:$AD$400,3,FALSE),""))</f>
        <v/>
      </c>
      <c r="U24" s="149" t="str">
        <f>IF(OR(L24="",L24="空"),"",IFERROR(VLOOKUP(L24,$AA$2:$AD$400,4,FALSE),""))</f>
        <v/>
      </c>
      <c r="W24" s="33" t="s">
        <v>498</v>
      </c>
      <c r="X24" s="33" t="s">
        <v>499</v>
      </c>
      <c r="Y24" s="33" t="s">
        <v>455</v>
      </c>
      <c r="Z24" s="33" t="s">
        <v>456</v>
      </c>
      <c r="AA24" s="33" t="s">
        <v>1341</v>
      </c>
      <c r="AB24" s="33" t="s">
        <v>1342</v>
      </c>
      <c r="AC24" s="33" t="s">
        <v>819</v>
      </c>
      <c r="AD24" s="33" t="s">
        <v>1343</v>
      </c>
    </row>
    <row r="25" spans="1:30" ht="25.95" customHeight="1">
      <c r="A25" s="146" t="s">
        <v>2432</v>
      </c>
      <c r="B25" s="150" t="str">
        <f>IF(OR(A25="",A25="空"),"",IFERROR(VLOOKUP(A25,$AA$2:$AD$400,2,FALSE),""))</f>
        <v/>
      </c>
      <c r="C25" s="150"/>
      <c r="D25" s="150"/>
      <c r="E25" s="150"/>
      <c r="F25" s="150"/>
      <c r="G25" s="150"/>
      <c r="H25" s="150"/>
      <c r="I25" s="151" t="str">
        <f>IF(OR(A25="",A25="空"),"",IFERROR(VLOOKUP(A25,$AA$2:$AD$400,3,FALSE),""))</f>
        <v/>
      </c>
      <c r="J25" s="151" t="str">
        <f>IF(OR(A25="",A25="空"),"",IFERROR(VLOOKUP(A25,$AA$2:$AD$400,4,FALSE),""))</f>
        <v/>
      </c>
      <c r="K25" s="142"/>
      <c r="L25" s="146" t="s">
        <v>2432</v>
      </c>
      <c r="M25" s="150" t="str">
        <f>IF(OR(L25="",L25="空"),"",IFERROR(VLOOKUP(L25,$AA$2:$AD$400,2,FALSE),""))</f>
        <v/>
      </c>
      <c r="N25" s="150"/>
      <c r="O25" s="150"/>
      <c r="P25" s="150"/>
      <c r="Q25" s="150"/>
      <c r="R25" s="150"/>
      <c r="S25" s="150"/>
      <c r="T25" s="151" t="str">
        <f>IF(OR(L25="",L25="空"),"",IFERROR(VLOOKUP(L25,$AA$2:$AD$400,3,FALSE),""))</f>
        <v/>
      </c>
      <c r="U25" s="151" t="str">
        <f>IF(OR(L25="",L25="空"),"",IFERROR(VLOOKUP(L25,$AA$2:$AD$400,4,FALSE),""))</f>
        <v/>
      </c>
      <c r="W25" s="33" t="s">
        <v>500</v>
      </c>
      <c r="X25" s="33" t="s">
        <v>501</v>
      </c>
      <c r="Y25" s="33" t="s">
        <v>455</v>
      </c>
      <c r="Z25" s="33" t="s">
        <v>456</v>
      </c>
      <c r="AA25" s="33" t="s">
        <v>1345</v>
      </c>
      <c r="AB25" s="33" t="s">
        <v>1346</v>
      </c>
      <c r="AC25" s="33" t="s">
        <v>799</v>
      </c>
      <c r="AD25" s="33" t="s">
        <v>1326</v>
      </c>
    </row>
    <row r="26" spans="1:30" ht="25.95" customHeight="1">
      <c r="A26" s="146" t="s">
        <v>2432</v>
      </c>
      <c r="B26" s="50" t="str">
        <f>IF(OR(A26="",A26="空"),"",IFERROR(VLOOKUP(A26,$AA$2:$AD$400,2,FALSE),""))</f>
        <v/>
      </c>
      <c r="C26" s="50"/>
      <c r="D26" s="50"/>
      <c r="E26" s="50"/>
      <c r="F26" s="50"/>
      <c r="G26" s="50"/>
      <c r="H26" s="50"/>
      <c r="I26" s="149" t="str">
        <f>IF(OR(A26="",A26="空"),"",IFERROR(VLOOKUP(A26,$AA$2:$AD$400,3,FALSE),""))</f>
        <v/>
      </c>
      <c r="J26" s="149" t="str">
        <f>IF(OR(A26="",A26="空"),"",IFERROR(VLOOKUP(A26,$AA$2:$AD$400,4,FALSE),""))</f>
        <v/>
      </c>
      <c r="K26" s="142"/>
      <c r="L26" s="146" t="s">
        <v>2432</v>
      </c>
      <c r="M26" s="50" t="str">
        <f>IF(OR(L26="",L26="空"),"",IFERROR(VLOOKUP(L26,$AA$2:$AD$400,2,FALSE),""))</f>
        <v/>
      </c>
      <c r="N26" s="50"/>
      <c r="O26" s="50"/>
      <c r="P26" s="50"/>
      <c r="Q26" s="50"/>
      <c r="R26" s="50"/>
      <c r="S26" s="50"/>
      <c r="T26" s="149" t="str">
        <f>IF(OR(L26="",L26="空"),"",IFERROR(VLOOKUP(L26,$AA$2:$AD$400,3,FALSE),""))</f>
        <v/>
      </c>
      <c r="U26" s="149" t="str">
        <f>IF(OR(L26="",L26="空"),"",IFERROR(VLOOKUP(L26,$AA$2:$AD$400,4,FALSE),""))</f>
        <v/>
      </c>
      <c r="W26" s="33" t="s">
        <v>736</v>
      </c>
      <c r="X26" s="33" t="s">
        <v>737</v>
      </c>
      <c r="Y26" s="33" t="s">
        <v>447</v>
      </c>
      <c r="Z26" s="33" t="s">
        <v>735</v>
      </c>
      <c r="AA26" s="33" t="s">
        <v>1347</v>
      </c>
      <c r="AB26" s="33" t="s">
        <v>1348</v>
      </c>
      <c r="AC26" s="33" t="s">
        <v>857</v>
      </c>
      <c r="AD26" s="33" t="s">
        <v>1326</v>
      </c>
    </row>
    <row r="27" spans="1:30" ht="25.95" customHeight="1">
      <c r="A27" s="146" t="s">
        <v>2432</v>
      </c>
      <c r="B27" s="150" t="str">
        <f>IF(OR(A27="",A27="空"),"",IFERROR(VLOOKUP(A27,$AA$2:$AD$400,2,FALSE),""))</f>
        <v/>
      </c>
      <c r="C27" s="150"/>
      <c r="D27" s="150"/>
      <c r="E27" s="150"/>
      <c r="F27" s="150"/>
      <c r="G27" s="150"/>
      <c r="H27" s="150"/>
      <c r="I27" s="151" t="str">
        <f>IF(OR(A27="",A27="空"),"",IFERROR(VLOOKUP(A27,$AA$2:$AD$400,3,FALSE),""))</f>
        <v/>
      </c>
      <c r="J27" s="151" t="str">
        <f>IF(OR(A27="",A27="空"),"",IFERROR(VLOOKUP(A27,$AA$2:$AD$400,4,FALSE),""))</f>
        <v/>
      </c>
      <c r="K27" s="142"/>
      <c r="L27" s="146" t="s">
        <v>2432</v>
      </c>
      <c r="M27" s="150" t="str">
        <f>IF(OR(L27="",L27="空"),"",IFERROR(VLOOKUP(L27,$AA$2:$AD$400,2,FALSE),""))</f>
        <v/>
      </c>
      <c r="N27" s="150"/>
      <c r="O27" s="150"/>
      <c r="P27" s="150"/>
      <c r="Q27" s="150"/>
      <c r="R27" s="150"/>
      <c r="S27" s="150"/>
      <c r="T27" s="151" t="str">
        <f>IF(OR(L27="",L27="空"),"",IFERROR(VLOOKUP(L27,$AA$2:$AD$400,3,FALSE),""))</f>
        <v/>
      </c>
      <c r="U27" s="151" t="str">
        <f>IF(OR(L27="",L27="空"),"",IFERROR(VLOOKUP(L27,$AA$2:$AD$400,4,FALSE),""))</f>
        <v/>
      </c>
      <c r="W27" s="33" t="s">
        <v>738</v>
      </c>
      <c r="X27" s="33" t="s">
        <v>739</v>
      </c>
      <c r="Y27" s="33" t="s">
        <v>447</v>
      </c>
      <c r="Z27" s="33" t="s">
        <v>735</v>
      </c>
      <c r="AA27" s="33" t="s">
        <v>1349</v>
      </c>
      <c r="AB27" s="33" t="s">
        <v>1350</v>
      </c>
      <c r="AC27" s="33" t="s">
        <v>799</v>
      </c>
      <c r="AD27" s="33" t="s">
        <v>1326</v>
      </c>
    </row>
    <row r="28" spans="1:30" ht="25.95" customHeight="1">
      <c r="A28" s="146" t="s">
        <v>2432</v>
      </c>
      <c r="B28" s="50" t="str">
        <f>IF(OR(A28="",A28="空"),"",IFERROR(VLOOKUP(A28,$AA$2:$AD$400,2,FALSE),""))</f>
        <v/>
      </c>
      <c r="C28" s="50"/>
      <c r="D28" s="50"/>
      <c r="E28" s="50"/>
      <c r="F28" s="50"/>
      <c r="G28" s="50"/>
      <c r="H28" s="50"/>
      <c r="I28" s="149" t="str">
        <f>IF(OR(A28="",A28="空"),"",IFERROR(VLOOKUP(A28,$AA$2:$AD$400,3,FALSE),""))</f>
        <v/>
      </c>
      <c r="J28" s="149" t="str">
        <f>IF(OR(A28="",A28="空"),"",IFERROR(VLOOKUP(A28,$AA$2:$AD$400,4,FALSE),""))</f>
        <v/>
      </c>
      <c r="K28" s="142"/>
      <c r="L28" s="146" t="s">
        <v>2432</v>
      </c>
      <c r="M28" s="50" t="str">
        <f>IF(OR(L28="",L28="空"),"",IFERROR(VLOOKUP(L28,$AA$2:$AD$400,2,FALSE),""))</f>
        <v/>
      </c>
      <c r="N28" s="50"/>
      <c r="O28" s="50"/>
      <c r="P28" s="50"/>
      <c r="Q28" s="50"/>
      <c r="R28" s="50"/>
      <c r="S28" s="50"/>
      <c r="T28" s="149" t="str">
        <f>IF(OR(L28="",L28="空"),"",IFERROR(VLOOKUP(L28,$AA$2:$AD$400,3,FALSE),""))</f>
        <v/>
      </c>
      <c r="U28" s="149" t="str">
        <f>IF(OR(L28="",L28="空"),"",IFERROR(VLOOKUP(L28,$AA$2:$AD$400,4,FALSE),""))</f>
        <v/>
      </c>
      <c r="W28" s="33" t="s">
        <v>740</v>
      </c>
      <c r="X28" s="33" t="s">
        <v>741</v>
      </c>
      <c r="Y28" s="33" t="s">
        <v>447</v>
      </c>
      <c r="Z28" s="33" t="s">
        <v>735</v>
      </c>
      <c r="AA28" s="33" t="s">
        <v>1351</v>
      </c>
      <c r="AB28" s="33" t="s">
        <v>1352</v>
      </c>
      <c r="AC28" s="33" t="s">
        <v>836</v>
      </c>
      <c r="AD28" s="33" t="s">
        <v>1343</v>
      </c>
    </row>
    <row r="29" spans="1:30" ht="25.95" customHeight="1">
      <c r="A29" s="146" t="s">
        <v>2432</v>
      </c>
      <c r="B29" s="150" t="str">
        <f>IF(OR(A29="",A29="空"),"",IFERROR(VLOOKUP(A29,$AA$2:$AD$400,2,FALSE),""))</f>
        <v/>
      </c>
      <c r="C29" s="150"/>
      <c r="D29" s="150"/>
      <c r="E29" s="150"/>
      <c r="F29" s="150"/>
      <c r="G29" s="150"/>
      <c r="H29" s="150"/>
      <c r="I29" s="151" t="str">
        <f>IF(OR(A29="",A29="空"),"",IFERROR(VLOOKUP(A29,$AA$2:$AD$400,3,FALSE),""))</f>
        <v/>
      </c>
      <c r="J29" s="151" t="str">
        <f>IF(OR(A29="",A29="空"),"",IFERROR(VLOOKUP(A29,$AA$2:$AD$400,4,FALSE),""))</f>
        <v/>
      </c>
      <c r="K29" s="142"/>
      <c r="L29" s="146" t="s">
        <v>2432</v>
      </c>
      <c r="M29" s="150" t="str">
        <f>IF(OR(L29="",L29="空"),"",IFERROR(VLOOKUP(L29,$AA$2:$AD$400,2,FALSE),""))</f>
        <v/>
      </c>
      <c r="N29" s="150"/>
      <c r="O29" s="150"/>
      <c r="P29" s="150"/>
      <c r="Q29" s="150"/>
      <c r="R29" s="150"/>
      <c r="S29" s="150"/>
      <c r="T29" s="151" t="str">
        <f>IF(OR(L29="",L29="空"),"",IFERROR(VLOOKUP(L29,$AA$2:$AD$400,3,FALSE),""))</f>
        <v/>
      </c>
      <c r="U29" s="151" t="str">
        <f>IF(OR(L29="",L29="空"),"",IFERROR(VLOOKUP(L29,$AA$2:$AD$400,4,FALSE),""))</f>
        <v/>
      </c>
      <c r="W29" s="33" t="s">
        <v>743</v>
      </c>
      <c r="X29" s="33" t="s">
        <v>744</v>
      </c>
      <c r="Y29" s="33" t="s">
        <v>447</v>
      </c>
      <c r="Z29" s="33" t="s">
        <v>742</v>
      </c>
      <c r="AA29" s="33" t="s">
        <v>1354</v>
      </c>
      <c r="AB29" s="33" t="s">
        <v>1355</v>
      </c>
      <c r="AC29" s="33" t="s">
        <v>799</v>
      </c>
      <c r="AD29" s="33" t="s">
        <v>1326</v>
      </c>
    </row>
    <row r="30" spans="1:30" ht="25.95" customHeight="1">
      <c r="A30" s="146" t="s">
        <v>2432</v>
      </c>
      <c r="B30" s="50" t="str">
        <f>IF(OR(A30="",A30="空"),"",IFERROR(VLOOKUP(A30,$AA$2:$AD$400,2,FALSE),""))</f>
        <v/>
      </c>
      <c r="C30" s="50"/>
      <c r="D30" s="50"/>
      <c r="E30" s="50"/>
      <c r="F30" s="50"/>
      <c r="G30" s="50"/>
      <c r="H30" s="50"/>
      <c r="I30" s="149" t="str">
        <f>IF(OR(A30="",A30="空"),"",IFERROR(VLOOKUP(A30,$AA$2:$AD$400,3,FALSE),""))</f>
        <v/>
      </c>
      <c r="J30" s="149" t="str">
        <f>IF(OR(A30="",A30="空"),"",IFERROR(VLOOKUP(A30,$AA$2:$AD$400,4,FALSE),""))</f>
        <v/>
      </c>
      <c r="K30" s="142"/>
      <c r="L30" s="146" t="s">
        <v>2432</v>
      </c>
      <c r="M30" s="50" t="str">
        <f>IF(OR(L30="",L30="空"),"",IFERROR(VLOOKUP(L30,$AA$2:$AD$400,2,FALSE),""))</f>
        <v/>
      </c>
      <c r="N30" s="50"/>
      <c r="O30" s="50"/>
      <c r="P30" s="50"/>
      <c r="Q30" s="50"/>
      <c r="R30" s="50"/>
      <c r="S30" s="50"/>
      <c r="T30" s="149" t="str">
        <f>IF(OR(L30="",L30="空"),"",IFERROR(VLOOKUP(L30,$AA$2:$AD$400,3,FALSE),""))</f>
        <v/>
      </c>
      <c r="U30" s="149" t="str">
        <f>IF(OR(L30="",L30="空"),"",IFERROR(VLOOKUP(L30,$AA$2:$AD$400,4,FALSE),""))</f>
        <v/>
      </c>
      <c r="W30" s="33" t="s">
        <v>745</v>
      </c>
      <c r="X30" s="33" t="s">
        <v>746</v>
      </c>
      <c r="Y30" s="33" t="s">
        <v>447</v>
      </c>
      <c r="Z30" s="33" t="s">
        <v>742</v>
      </c>
      <c r="AA30" s="33" t="s">
        <v>1356</v>
      </c>
      <c r="AB30" s="33" t="s">
        <v>1357</v>
      </c>
      <c r="AC30" s="33" t="s">
        <v>799</v>
      </c>
      <c r="AD30" s="33" t="s">
        <v>1326</v>
      </c>
    </row>
    <row r="31" spans="1:30" ht="25.95" customHeight="1">
      <c r="A31" s="146" t="s">
        <v>2432</v>
      </c>
      <c r="B31" s="150" t="str">
        <f>IF(OR(A31="",A31="空"),"",IFERROR(VLOOKUP(A31,$AA$2:$AD$400,2,FALSE),""))</f>
        <v/>
      </c>
      <c r="C31" s="150"/>
      <c r="D31" s="150"/>
      <c r="E31" s="150"/>
      <c r="F31" s="150"/>
      <c r="G31" s="150"/>
      <c r="H31" s="150"/>
      <c r="I31" s="151" t="str">
        <f>IF(OR(A31="",A31="空"),"",IFERROR(VLOOKUP(A31,$AA$2:$AD$400,3,FALSE),""))</f>
        <v/>
      </c>
      <c r="J31" s="151" t="str">
        <f>IF(OR(A31="",A31="空"),"",IFERROR(VLOOKUP(A31,$AA$2:$AD$400,4,FALSE),""))</f>
        <v/>
      </c>
      <c r="K31" s="142"/>
      <c r="L31" s="146" t="s">
        <v>2432</v>
      </c>
      <c r="M31" s="150" t="str">
        <f>IF(OR(L31="",L31="空"),"",IFERROR(VLOOKUP(L31,$AA$2:$AD$400,2,FALSE),""))</f>
        <v/>
      </c>
      <c r="N31" s="150"/>
      <c r="O31" s="150"/>
      <c r="P31" s="150"/>
      <c r="Q31" s="150"/>
      <c r="R31" s="150"/>
      <c r="S31" s="150"/>
      <c r="T31" s="151" t="str">
        <f>IF(OR(L31="",L31="空"),"",IFERROR(VLOOKUP(L31,$AA$2:$AD$400,3,FALSE),""))</f>
        <v/>
      </c>
      <c r="U31" s="151" t="str">
        <f>IF(OR(L31="",L31="空"),"",IFERROR(VLOOKUP(L31,$AA$2:$AD$400,4,FALSE),""))</f>
        <v/>
      </c>
      <c r="W31" s="33" t="s">
        <v>747</v>
      </c>
      <c r="X31" s="33" t="s">
        <v>748</v>
      </c>
      <c r="Y31" s="33" t="s">
        <v>447</v>
      </c>
      <c r="Z31" s="33" t="s">
        <v>742</v>
      </c>
      <c r="AA31" s="33" t="s">
        <v>1358</v>
      </c>
      <c r="AB31" s="33" t="s">
        <v>1359</v>
      </c>
      <c r="AC31" s="33" t="s">
        <v>799</v>
      </c>
      <c r="AD31" s="33" t="s">
        <v>1326</v>
      </c>
    </row>
    <row r="32" spans="1:30" ht="25.95" customHeight="1">
      <c r="A32" s="146" t="s">
        <v>2432</v>
      </c>
      <c r="B32" s="50" t="str">
        <f>IF(OR(A32="",A32="空"),"",IFERROR(VLOOKUP(A32,$AA$2:$AD$400,2,FALSE),""))</f>
        <v/>
      </c>
      <c r="C32" s="50"/>
      <c r="D32" s="50"/>
      <c r="E32" s="50"/>
      <c r="F32" s="50"/>
      <c r="G32" s="50"/>
      <c r="H32" s="50"/>
      <c r="I32" s="149" t="str">
        <f>IF(OR(A32="",A32="空"),"",IFERROR(VLOOKUP(A32,$AA$2:$AD$400,3,FALSE),""))</f>
        <v/>
      </c>
      <c r="J32" s="149" t="str">
        <f>IF(OR(A32="",A32="空"),"",IFERROR(VLOOKUP(A32,$AA$2:$AD$400,4,FALSE),""))</f>
        <v/>
      </c>
      <c r="K32" s="142"/>
      <c r="L32" s="146" t="s">
        <v>2432</v>
      </c>
      <c r="M32" s="50" t="str">
        <f>IF(OR(L32="",L32="空"),"",IFERROR(VLOOKUP(L32,$AA$2:$AD$400,2,FALSE),""))</f>
        <v/>
      </c>
      <c r="N32" s="50"/>
      <c r="O32" s="50"/>
      <c r="P32" s="50"/>
      <c r="Q32" s="50"/>
      <c r="R32" s="50"/>
      <c r="S32" s="50"/>
      <c r="T32" s="149" t="str">
        <f>IF(OR(L32="",L32="空"),"",IFERROR(VLOOKUP(L32,$AA$2:$AD$400,3,FALSE),""))</f>
        <v/>
      </c>
      <c r="U32" s="149" t="str">
        <f>IF(OR(L32="",L32="空"),"",IFERROR(VLOOKUP(L32,$AA$2:$AD$400,4,FALSE),""))</f>
        <v/>
      </c>
      <c r="W32" s="33" t="s">
        <v>749</v>
      </c>
      <c r="X32" s="33" t="s">
        <v>750</v>
      </c>
      <c r="Y32" s="33" t="s">
        <v>447</v>
      </c>
      <c r="Z32" s="33" t="s">
        <v>742</v>
      </c>
      <c r="AA32" s="33" t="s">
        <v>1360</v>
      </c>
      <c r="AB32" s="33" t="s">
        <v>1352</v>
      </c>
      <c r="AC32" s="33" t="s">
        <v>836</v>
      </c>
      <c r="AD32" s="33" t="s">
        <v>1343</v>
      </c>
    </row>
    <row r="33" spans="1:30" ht="25.95" customHeight="1">
      <c r="A33" s="146" t="s">
        <v>2432</v>
      </c>
      <c r="B33" s="150" t="str">
        <f>IF(OR(A33="",A33="空"),"",IFERROR(VLOOKUP(A33,$AA$2:$AD$400,2,FALSE),""))</f>
        <v/>
      </c>
      <c r="C33" s="150"/>
      <c r="D33" s="150"/>
      <c r="E33" s="150"/>
      <c r="F33" s="150"/>
      <c r="G33" s="150"/>
      <c r="H33" s="150"/>
      <c r="I33" s="151" t="str">
        <f>IF(OR(A33="",A33="空"),"",IFERROR(VLOOKUP(A33,$AA$2:$AD$400,3,FALSE),""))</f>
        <v/>
      </c>
      <c r="J33" s="151" t="str">
        <f>IF(OR(A33="",A33="空"),"",IFERROR(VLOOKUP(A33,$AA$2:$AD$400,4,FALSE),""))</f>
        <v/>
      </c>
      <c r="K33" s="142"/>
      <c r="L33" s="146" t="s">
        <v>2432</v>
      </c>
      <c r="M33" s="150" t="str">
        <f>IF(OR(L33="",L33="空"),"",IFERROR(VLOOKUP(L33,$AA$2:$AD$400,2,FALSE),""))</f>
        <v/>
      </c>
      <c r="N33" s="150"/>
      <c r="O33" s="150"/>
      <c r="P33" s="150"/>
      <c r="Q33" s="150"/>
      <c r="R33" s="150"/>
      <c r="S33" s="150"/>
      <c r="T33" s="151" t="str">
        <f>IF(OR(L33="",L33="空"),"",IFERROR(VLOOKUP(L33,$AA$2:$AD$400,3,FALSE),""))</f>
        <v/>
      </c>
      <c r="U33" s="151" t="str">
        <f>IF(OR(L33="",L33="空"),"",IFERROR(VLOOKUP(L33,$AA$2:$AD$400,4,FALSE),""))</f>
        <v/>
      </c>
      <c r="W33" s="33" t="s">
        <v>751</v>
      </c>
      <c r="X33" s="33" t="s">
        <v>752</v>
      </c>
      <c r="Y33" s="33" t="s">
        <v>447</v>
      </c>
      <c r="Z33" s="33" t="s">
        <v>742</v>
      </c>
      <c r="AA33" s="33" t="s">
        <v>1362</v>
      </c>
      <c r="AB33" s="33" t="s">
        <v>1363</v>
      </c>
      <c r="AC33" s="33" t="s">
        <v>875</v>
      </c>
      <c r="AD33" s="33" t="s">
        <v>1364</v>
      </c>
    </row>
    <row r="34" spans="1:30" ht="25.95" customHeight="1">
      <c r="A34" s="146" t="s">
        <v>2432</v>
      </c>
      <c r="B34" s="50" t="str">
        <f>IF(OR(A34="",A34="空"),"",IFERROR(VLOOKUP(A34,$AA$2:$AD$400,2,FALSE),""))</f>
        <v/>
      </c>
      <c r="C34" s="50"/>
      <c r="D34" s="50"/>
      <c r="E34" s="50"/>
      <c r="F34" s="50"/>
      <c r="G34" s="50"/>
      <c r="H34" s="50"/>
      <c r="I34" s="149" t="str">
        <f>IF(OR(A34="",A34="空"),"",IFERROR(VLOOKUP(A34,$AA$2:$AD$400,3,FALSE),""))</f>
        <v/>
      </c>
      <c r="J34" s="149" t="str">
        <f>IF(OR(A34="",A34="空"),"",IFERROR(VLOOKUP(A34,$AA$2:$AD$400,4,FALSE),""))</f>
        <v/>
      </c>
      <c r="K34" s="142"/>
      <c r="L34" s="146" t="s">
        <v>2432</v>
      </c>
      <c r="M34" s="50" t="str">
        <f>IF(OR(L34="",L34="空"),"",IFERROR(VLOOKUP(L34,$AA$2:$AD$400,2,FALSE),""))</f>
        <v/>
      </c>
      <c r="N34" s="50"/>
      <c r="O34" s="50"/>
      <c r="P34" s="50"/>
      <c r="Q34" s="50"/>
      <c r="R34" s="50"/>
      <c r="S34" s="50"/>
      <c r="T34" s="149" t="str">
        <f>IF(OR(L34="",L34="空"),"",IFERROR(VLOOKUP(L34,$AA$2:$AD$400,3,FALSE),""))</f>
        <v/>
      </c>
      <c r="U34" s="149" t="str">
        <f>IF(OR(L34="",L34="空"),"",IFERROR(VLOOKUP(L34,$AA$2:$AD$400,4,FALSE),""))</f>
        <v/>
      </c>
      <c r="W34" s="33" t="s">
        <v>754</v>
      </c>
      <c r="X34" s="33" t="s">
        <v>755</v>
      </c>
      <c r="Y34" s="33" t="s">
        <v>447</v>
      </c>
      <c r="Z34" s="33" t="s">
        <v>753</v>
      </c>
      <c r="AA34" s="33" t="s">
        <v>1365</v>
      </c>
      <c r="AB34" s="33" t="s">
        <v>1366</v>
      </c>
      <c r="AC34" s="33" t="s">
        <v>868</v>
      </c>
      <c r="AD34" s="33" t="s">
        <v>1326</v>
      </c>
    </row>
    <row r="35" spans="1:30" ht="25.95" customHeight="1">
      <c r="A35" s="146" t="s">
        <v>2432</v>
      </c>
      <c r="B35" s="150" t="str">
        <f>IF(OR(A35="",A35="空"),"",IFERROR(VLOOKUP(A35,$AA$2:$AD$400,2,FALSE),""))</f>
        <v/>
      </c>
      <c r="C35" s="150"/>
      <c r="D35" s="150"/>
      <c r="E35" s="150"/>
      <c r="F35" s="150"/>
      <c r="G35" s="150"/>
      <c r="H35" s="150"/>
      <c r="I35" s="151" t="str">
        <f>IF(OR(A35="",A35="空"),"",IFERROR(VLOOKUP(A35,$AA$2:$AD$400,3,FALSE),""))</f>
        <v/>
      </c>
      <c r="J35" s="151" t="str">
        <f>IF(OR(A35="",A35="空"),"",IFERROR(VLOOKUP(A35,$AA$2:$AD$400,4,FALSE),""))</f>
        <v/>
      </c>
      <c r="K35" s="142"/>
      <c r="L35" s="146" t="s">
        <v>2432</v>
      </c>
      <c r="M35" s="150" t="str">
        <f>IF(OR(L35="",L35="空"),"",IFERROR(VLOOKUP(L35,$AA$2:$AD$400,2,FALSE),""))</f>
        <v/>
      </c>
      <c r="N35" s="150"/>
      <c r="O35" s="150"/>
      <c r="P35" s="150"/>
      <c r="Q35" s="150"/>
      <c r="R35" s="150"/>
      <c r="S35" s="150"/>
      <c r="T35" s="151" t="str">
        <f>IF(OR(L35="",L35="空"),"",IFERROR(VLOOKUP(L35,$AA$2:$AD$400,3,FALSE),""))</f>
        <v/>
      </c>
      <c r="U35" s="151" t="str">
        <f>IF(OR(L35="",L35="空"),"",IFERROR(VLOOKUP(L35,$AA$2:$AD$400,4,FALSE),""))</f>
        <v/>
      </c>
      <c r="W35" s="33" t="s">
        <v>756</v>
      </c>
      <c r="X35" s="33" t="s">
        <v>757</v>
      </c>
      <c r="Y35" s="33" t="s">
        <v>447</v>
      </c>
      <c r="Z35" s="33" t="s">
        <v>753</v>
      </c>
      <c r="AA35" s="33" t="s">
        <v>1367</v>
      </c>
      <c r="AB35" s="33" t="s">
        <v>1368</v>
      </c>
      <c r="AC35" s="33" t="s">
        <v>799</v>
      </c>
      <c r="AD35" s="33" t="s">
        <v>1326</v>
      </c>
    </row>
    <row r="36" spans="1:30" ht="60">
      <c r="W36" s="33" t="s">
        <v>758</v>
      </c>
      <c r="X36" s="33" t="s">
        <v>759</v>
      </c>
      <c r="Y36" s="33" t="s">
        <v>447</v>
      </c>
      <c r="Z36" s="33" t="s">
        <v>753</v>
      </c>
      <c r="AA36" s="33" t="s">
        <v>1369</v>
      </c>
      <c r="AB36" s="33" t="s">
        <v>1370</v>
      </c>
      <c r="AC36" s="33" t="s">
        <v>1371</v>
      </c>
      <c r="AD36" s="33"/>
    </row>
    <row r="37" spans="1:30" ht="144">
      <c r="W37" s="33" t="s">
        <v>760</v>
      </c>
      <c r="X37" s="33" t="s">
        <v>761</v>
      </c>
      <c r="Y37" s="33" t="s">
        <v>447</v>
      </c>
      <c r="Z37" s="33" t="s">
        <v>753</v>
      </c>
      <c r="AA37" s="33" t="s">
        <v>1372</v>
      </c>
      <c r="AB37" s="33" t="s">
        <v>1373</v>
      </c>
      <c r="AC37" s="33" t="s">
        <v>799</v>
      </c>
      <c r="AD37" s="33" t="s">
        <v>1326</v>
      </c>
    </row>
    <row r="38" spans="1:30" ht="108">
      <c r="W38" s="33" t="s">
        <v>762</v>
      </c>
      <c r="X38" s="33" t="s">
        <v>763</v>
      </c>
      <c r="Y38" s="33" t="s">
        <v>447</v>
      </c>
      <c r="Z38" s="33" t="s">
        <v>753</v>
      </c>
      <c r="AA38" s="33" t="s">
        <v>1374</v>
      </c>
      <c r="AB38" s="33" t="s">
        <v>1375</v>
      </c>
      <c r="AC38" s="33"/>
      <c r="AD38" s="33" t="s">
        <v>1376</v>
      </c>
    </row>
    <row r="39" spans="1:30" ht="120">
      <c r="W39" s="33" t="s">
        <v>765</v>
      </c>
      <c r="X39" s="33" t="s">
        <v>766</v>
      </c>
      <c r="Y39" s="33" t="s">
        <v>447</v>
      </c>
      <c r="Z39" s="33" t="s">
        <v>764</v>
      </c>
      <c r="AA39" s="33" t="s">
        <v>1378</v>
      </c>
      <c r="AB39" s="33" t="s">
        <v>1379</v>
      </c>
      <c r="AC39" s="33" t="s">
        <v>799</v>
      </c>
      <c r="AD39" s="33" t="s">
        <v>1326</v>
      </c>
    </row>
    <row r="40" spans="1:30" ht="96">
      <c r="W40" s="33" t="s">
        <v>767</v>
      </c>
      <c r="X40" s="33" t="s">
        <v>768</v>
      </c>
      <c r="Y40" s="33" t="s">
        <v>447</v>
      </c>
      <c r="Z40" s="33" t="s">
        <v>764</v>
      </c>
      <c r="AA40" s="33" t="s">
        <v>1380</v>
      </c>
      <c r="AB40" s="33" t="s">
        <v>1381</v>
      </c>
      <c r="AC40" s="33" t="s">
        <v>799</v>
      </c>
      <c r="AD40" s="33" t="s">
        <v>1326</v>
      </c>
    </row>
    <row r="41" spans="1:30" ht="132">
      <c r="W41" s="33" t="s">
        <v>769</v>
      </c>
      <c r="X41" s="33" t="s">
        <v>770</v>
      </c>
      <c r="Y41" s="33" t="s">
        <v>447</v>
      </c>
      <c r="Z41" s="33" t="s">
        <v>764</v>
      </c>
      <c r="AA41" s="33" t="s">
        <v>1382</v>
      </c>
      <c r="AB41" s="33" t="s">
        <v>1383</v>
      </c>
      <c r="AC41" s="33" t="s">
        <v>799</v>
      </c>
      <c r="AD41" s="33" t="s">
        <v>1326</v>
      </c>
    </row>
    <row r="42" spans="1:30" ht="132">
      <c r="W42" s="33" t="s">
        <v>771</v>
      </c>
      <c r="X42" s="33" t="s">
        <v>772</v>
      </c>
      <c r="Y42" s="33" t="s">
        <v>447</v>
      </c>
      <c r="Z42" s="33" t="s">
        <v>764</v>
      </c>
      <c r="AA42" s="33" t="s">
        <v>1384</v>
      </c>
      <c r="AB42" s="33" t="s">
        <v>1385</v>
      </c>
      <c r="AC42" s="33" t="s">
        <v>799</v>
      </c>
      <c r="AD42" s="33" t="s">
        <v>1364</v>
      </c>
    </row>
    <row r="43" spans="1:30" ht="144">
      <c r="W43" s="33" t="s">
        <v>773</v>
      </c>
      <c r="X43" s="33" t="s">
        <v>774</v>
      </c>
      <c r="Y43" s="33" t="s">
        <v>447</v>
      </c>
      <c r="Z43" s="33" t="s">
        <v>764</v>
      </c>
      <c r="AA43" s="33" t="s">
        <v>1386</v>
      </c>
      <c r="AB43" s="33" t="s">
        <v>1387</v>
      </c>
      <c r="AC43" s="33"/>
      <c r="AD43" s="33" t="s">
        <v>1364</v>
      </c>
    </row>
    <row r="44" spans="1:30" ht="144">
      <c r="W44" s="33" t="s">
        <v>775</v>
      </c>
      <c r="X44" s="33" t="s">
        <v>776</v>
      </c>
      <c r="Y44" s="33" t="s">
        <v>447</v>
      </c>
      <c r="Z44" s="33" t="s">
        <v>764</v>
      </c>
      <c r="AA44" s="33" t="s">
        <v>1388</v>
      </c>
      <c r="AB44" s="33" t="s">
        <v>1389</v>
      </c>
      <c r="AC44" s="33"/>
      <c r="AD44" s="33" t="s">
        <v>1364</v>
      </c>
    </row>
    <row r="45" spans="1:30" ht="36">
      <c r="W45" s="33" t="s">
        <v>777</v>
      </c>
      <c r="X45" s="33" t="s">
        <v>778</v>
      </c>
      <c r="Y45" s="33" t="s">
        <v>447</v>
      </c>
      <c r="Z45" s="33" t="s">
        <v>764</v>
      </c>
      <c r="AA45" s="33"/>
      <c r="AB45" s="33"/>
      <c r="AC45" s="33"/>
      <c r="AD45" s="33"/>
    </row>
    <row r="46" spans="1:30" ht="60">
      <c r="W46" s="33" t="s">
        <v>779</v>
      </c>
      <c r="X46" s="33" t="s">
        <v>780</v>
      </c>
      <c r="Y46" s="33" t="s">
        <v>447</v>
      </c>
      <c r="Z46" s="33" t="s">
        <v>764</v>
      </c>
      <c r="AA46" s="33"/>
      <c r="AB46" s="33"/>
      <c r="AC46" s="33"/>
      <c r="AD46" s="33"/>
    </row>
    <row r="47" spans="1:30" ht="72">
      <c r="W47" s="33" t="s">
        <v>782</v>
      </c>
      <c r="X47" s="33" t="s">
        <v>783</v>
      </c>
      <c r="Y47" s="33" t="s">
        <v>447</v>
      </c>
      <c r="Z47" s="33" t="s">
        <v>781</v>
      </c>
      <c r="AA47" s="33"/>
      <c r="AB47" s="33"/>
      <c r="AC47" s="33"/>
      <c r="AD47" s="33"/>
    </row>
    <row r="48" spans="1:30" ht="72">
      <c r="W48" s="33" t="s">
        <v>784</v>
      </c>
      <c r="X48" s="33" t="s">
        <v>785</v>
      </c>
      <c r="Y48" s="33" t="s">
        <v>447</v>
      </c>
      <c r="Z48" s="33" t="s">
        <v>781</v>
      </c>
      <c r="AA48" s="33"/>
      <c r="AB48" s="33"/>
      <c r="AC48" s="33"/>
      <c r="AD48" s="33"/>
    </row>
    <row r="49" spans="23:30" ht="36">
      <c r="W49" s="33" t="s">
        <v>786</v>
      </c>
      <c r="X49" s="33" t="s">
        <v>787</v>
      </c>
      <c r="Y49" s="33" t="s">
        <v>447</v>
      </c>
      <c r="Z49" s="33" t="s">
        <v>781</v>
      </c>
      <c r="AA49" s="33"/>
      <c r="AB49" s="33"/>
      <c r="AC49" s="33"/>
      <c r="AD49" s="33"/>
    </row>
    <row r="50" spans="23:30" ht="72">
      <c r="W50" s="33" t="s">
        <v>788</v>
      </c>
      <c r="X50" s="33" t="s">
        <v>789</v>
      </c>
      <c r="Y50" s="33" t="s">
        <v>447</v>
      </c>
      <c r="Z50" s="33" t="s">
        <v>781</v>
      </c>
      <c r="AA50" s="33"/>
      <c r="AB50" s="33"/>
      <c r="AC50" s="33"/>
      <c r="AD50" s="33"/>
    </row>
    <row r="51" spans="23:30" ht="144">
      <c r="W51" s="33" t="s">
        <v>791</v>
      </c>
      <c r="X51" s="33" t="s">
        <v>792</v>
      </c>
      <c r="Y51" s="33" t="s">
        <v>447</v>
      </c>
      <c r="Z51" s="33" t="s">
        <v>790</v>
      </c>
      <c r="AA51" s="33"/>
      <c r="AB51" s="33"/>
      <c r="AC51" s="33"/>
      <c r="AD51" s="33"/>
    </row>
    <row r="52" spans="23:30" ht="144">
      <c r="W52" s="33" t="s">
        <v>793</v>
      </c>
      <c r="X52" s="33" t="s">
        <v>794</v>
      </c>
      <c r="Y52" s="33" t="s">
        <v>447</v>
      </c>
      <c r="Z52" s="33" t="s">
        <v>790</v>
      </c>
      <c r="AA52" s="33"/>
      <c r="AB52" s="33"/>
      <c r="AC52" s="33"/>
      <c r="AD52" s="33"/>
    </row>
    <row r="53" spans="23:30">
      <c r="W53" s="33"/>
      <c r="X53" s="33"/>
      <c r="Y53" s="33"/>
      <c r="Z53" s="33"/>
      <c r="AA53" s="33"/>
      <c r="AB53" s="33"/>
      <c r="AC53" s="33"/>
      <c r="AD53" s="33"/>
    </row>
    <row r="54" spans="23:30">
      <c r="W54" s="33"/>
      <c r="X54" s="33"/>
      <c r="Y54" s="33"/>
      <c r="Z54" s="33"/>
      <c r="AA54" s="33"/>
      <c r="AB54" s="33"/>
      <c r="AC54" s="33"/>
      <c r="AD54" s="33"/>
    </row>
    <row r="55" spans="23:30">
      <c r="W55" s="33"/>
      <c r="X55" s="33"/>
      <c r="Y55" s="33"/>
      <c r="Z55" s="33"/>
      <c r="AA55" s="33"/>
      <c r="AB55" s="33"/>
      <c r="AC55" s="33"/>
      <c r="AD55" s="33"/>
    </row>
    <row r="56" spans="23:30">
      <c r="W56" s="33"/>
      <c r="X56" s="33"/>
      <c r="Y56" s="33"/>
      <c r="Z56" s="33"/>
      <c r="AA56" s="33"/>
      <c r="AB56" s="33"/>
      <c r="AC56" s="33"/>
      <c r="AD56" s="33"/>
    </row>
    <row r="57" spans="23:30">
      <c r="W57" s="33"/>
      <c r="X57" s="33"/>
      <c r="Y57" s="33"/>
      <c r="Z57" s="33"/>
      <c r="AA57" s="33"/>
      <c r="AB57" s="33"/>
      <c r="AC57" s="33"/>
      <c r="AD57" s="33"/>
    </row>
    <row r="58" spans="23:30">
      <c r="W58" s="33"/>
      <c r="X58" s="33"/>
      <c r="Y58" s="33"/>
      <c r="Z58" s="33"/>
      <c r="AA58" s="33"/>
      <c r="AB58" s="33"/>
      <c r="AC58" s="33"/>
      <c r="AD58" s="33"/>
    </row>
    <row r="59" spans="23:30">
      <c r="W59" s="33"/>
      <c r="X59" s="33"/>
      <c r="Y59" s="33"/>
      <c r="Z59" s="33"/>
      <c r="AA59" s="33"/>
      <c r="AB59" s="33"/>
      <c r="AC59" s="33"/>
      <c r="AD59" s="33"/>
    </row>
    <row r="60" spans="23:30">
      <c r="W60" s="33"/>
      <c r="X60" s="33"/>
      <c r="Y60" s="33"/>
      <c r="Z60" s="33"/>
      <c r="AA60" s="33"/>
      <c r="AB60" s="33"/>
      <c r="AC60" s="33"/>
      <c r="AD60" s="33"/>
    </row>
    <row r="61" spans="23:30">
      <c r="W61" s="33"/>
      <c r="X61" s="33"/>
      <c r="Y61" s="33"/>
      <c r="Z61" s="33"/>
      <c r="AA61" s="33"/>
      <c r="AB61" s="33"/>
      <c r="AC61" s="33"/>
      <c r="AD61" s="33"/>
    </row>
    <row r="62" spans="23:30">
      <c r="W62" s="33"/>
      <c r="X62" s="33"/>
      <c r="Y62" s="33"/>
      <c r="Z62" s="33"/>
      <c r="AA62" s="33"/>
      <c r="AB62" s="33"/>
      <c r="AC62" s="33"/>
      <c r="AD62" s="33"/>
    </row>
    <row r="63" spans="23:30">
      <c r="W63" s="33"/>
      <c r="X63" s="33"/>
      <c r="Y63" s="33"/>
      <c r="Z63" s="33"/>
      <c r="AA63" s="33"/>
      <c r="AB63" s="33"/>
      <c r="AC63" s="33"/>
      <c r="AD63" s="33"/>
    </row>
    <row r="64" spans="23:30">
      <c r="W64" s="33"/>
      <c r="X64" s="33"/>
      <c r="Y64" s="33"/>
      <c r="Z64" s="33"/>
      <c r="AA64" s="33"/>
      <c r="AB64" s="33"/>
      <c r="AC64" s="33"/>
      <c r="AD64" s="33"/>
    </row>
    <row r="65" spans="23:30">
      <c r="W65" s="33"/>
      <c r="X65" s="33"/>
      <c r="Y65" s="33"/>
      <c r="Z65" s="33"/>
      <c r="AA65" s="33"/>
      <c r="AB65" s="33"/>
      <c r="AC65" s="33"/>
      <c r="AD65" s="33"/>
    </row>
    <row r="66" spans="23:30">
      <c r="W66" s="33"/>
      <c r="X66" s="33"/>
      <c r="Y66" s="33"/>
      <c r="Z66" s="33"/>
      <c r="AA66" s="33"/>
      <c r="AB66" s="33"/>
      <c r="AC66" s="33"/>
      <c r="AD66" s="33"/>
    </row>
    <row r="67" spans="23:30">
      <c r="W67" s="33"/>
      <c r="X67" s="33"/>
      <c r="Y67" s="33"/>
      <c r="Z67" s="33"/>
      <c r="AA67" s="33"/>
      <c r="AB67" s="33"/>
      <c r="AC67" s="33"/>
      <c r="AD67" s="33"/>
    </row>
    <row r="68" spans="23:30">
      <c r="W68" s="33"/>
      <c r="X68" s="33"/>
      <c r="Y68" s="33"/>
      <c r="Z68" s="33"/>
      <c r="AA68" s="33"/>
      <c r="AB68" s="33"/>
      <c r="AC68" s="33"/>
      <c r="AD68" s="33"/>
    </row>
    <row r="69" spans="23:30">
      <c r="W69" s="33"/>
      <c r="X69" s="33"/>
      <c r="Y69" s="33"/>
      <c r="Z69" s="33"/>
      <c r="AA69" s="33"/>
      <c r="AB69" s="33"/>
      <c r="AC69" s="33"/>
      <c r="AD69" s="33"/>
    </row>
    <row r="70" spans="23:30">
      <c r="W70" s="33"/>
      <c r="X70" s="33"/>
      <c r="Y70" s="33"/>
      <c r="Z70" s="33"/>
      <c r="AA70" s="33"/>
      <c r="AB70" s="33"/>
      <c r="AC70" s="33"/>
      <c r="AD70" s="33"/>
    </row>
    <row r="71" spans="23:30">
      <c r="W71" s="33"/>
      <c r="X71" s="33"/>
      <c r="Y71" s="33"/>
      <c r="Z71" s="33"/>
      <c r="AA71" s="33"/>
      <c r="AB71" s="33"/>
      <c r="AC71" s="33"/>
      <c r="AD71" s="33"/>
    </row>
    <row r="72" spans="23:30">
      <c r="W72" s="33"/>
      <c r="X72" s="33"/>
      <c r="Y72" s="33"/>
      <c r="Z72" s="33"/>
      <c r="AA72" s="33"/>
      <c r="AB72" s="33"/>
      <c r="AC72" s="33"/>
      <c r="AD72" s="33"/>
    </row>
    <row r="73" spans="23:30">
      <c r="W73" s="33"/>
      <c r="X73" s="33"/>
      <c r="Y73" s="33"/>
      <c r="Z73" s="33"/>
      <c r="AA73" s="33"/>
      <c r="AB73" s="33"/>
      <c r="AC73" s="33"/>
      <c r="AD73" s="33"/>
    </row>
    <row r="74" spans="23:30">
      <c r="W74" s="33"/>
      <c r="X74" s="33"/>
      <c r="Y74" s="33"/>
      <c r="Z74" s="33"/>
      <c r="AA74" s="33"/>
      <c r="AB74" s="33"/>
      <c r="AC74" s="33"/>
      <c r="AD74" s="33"/>
    </row>
    <row r="75" spans="23:30">
      <c r="W75" s="33"/>
      <c r="X75" s="33"/>
      <c r="Y75" s="33"/>
      <c r="Z75" s="33"/>
      <c r="AA75" s="33"/>
      <c r="AB75" s="33"/>
      <c r="AC75" s="33"/>
      <c r="AD75" s="33"/>
    </row>
    <row r="76" spans="23:30">
      <c r="W76" s="33"/>
      <c r="X76" s="33"/>
      <c r="Y76" s="33"/>
      <c r="Z76" s="33"/>
      <c r="AA76" s="33"/>
      <c r="AB76" s="33"/>
      <c r="AC76" s="33"/>
      <c r="AD76" s="33"/>
    </row>
    <row r="77" spans="23:30">
      <c r="W77" s="33"/>
      <c r="X77" s="33"/>
      <c r="Y77" s="33"/>
      <c r="Z77" s="33"/>
      <c r="AA77" s="33"/>
      <c r="AB77" s="33"/>
      <c r="AC77" s="33"/>
      <c r="AD77" s="33"/>
    </row>
    <row r="78" spans="23:30">
      <c r="W78" s="33"/>
      <c r="X78" s="33"/>
      <c r="Y78" s="33"/>
      <c r="Z78" s="33"/>
      <c r="AA78" s="33"/>
      <c r="AB78" s="33"/>
      <c r="AC78" s="33"/>
      <c r="AD78" s="33"/>
    </row>
    <row r="79" spans="23:30">
      <c r="W79" s="33"/>
      <c r="X79" s="33"/>
      <c r="Y79" s="33"/>
      <c r="Z79" s="33"/>
      <c r="AA79" s="33"/>
      <c r="AB79" s="33"/>
      <c r="AC79" s="33"/>
      <c r="AD79" s="33"/>
    </row>
    <row r="80" spans="23:30">
      <c r="W80" s="33"/>
      <c r="X80" s="33"/>
      <c r="Y80" s="33"/>
      <c r="Z80" s="33"/>
      <c r="AA80" s="33"/>
      <c r="AB80" s="33"/>
      <c r="AC80" s="33"/>
      <c r="AD80" s="33"/>
    </row>
    <row r="81" spans="23:30">
      <c r="W81" s="33"/>
      <c r="X81" s="33"/>
      <c r="Y81" s="33"/>
      <c r="Z81" s="33"/>
      <c r="AA81" s="33"/>
      <c r="AB81" s="33"/>
      <c r="AC81" s="33"/>
      <c r="AD81" s="33"/>
    </row>
    <row r="82" spans="23:30">
      <c r="W82" s="33"/>
      <c r="X82" s="33"/>
      <c r="Y82" s="33"/>
      <c r="Z82" s="33"/>
      <c r="AA82" s="33"/>
      <c r="AB82" s="33"/>
      <c r="AC82" s="33"/>
      <c r="AD82" s="33"/>
    </row>
    <row r="83" spans="23:30">
      <c r="W83" s="33"/>
      <c r="X83" s="33"/>
      <c r="Y83" s="33"/>
      <c r="Z83" s="33"/>
      <c r="AA83" s="33"/>
      <c r="AB83" s="33"/>
      <c r="AC83" s="33"/>
      <c r="AD83" s="33"/>
    </row>
    <row r="84" spans="23:30">
      <c r="W84" s="33"/>
      <c r="X84" s="33"/>
      <c r="Y84" s="33"/>
      <c r="Z84" s="33"/>
      <c r="AA84" s="33"/>
      <c r="AB84" s="33"/>
      <c r="AC84" s="33"/>
      <c r="AD84" s="33"/>
    </row>
    <row r="85" spans="23:30">
      <c r="W85" s="33"/>
      <c r="X85" s="33"/>
      <c r="Y85" s="33"/>
      <c r="Z85" s="33"/>
      <c r="AA85" s="33"/>
      <c r="AB85" s="33"/>
      <c r="AC85" s="33"/>
      <c r="AD85" s="33"/>
    </row>
    <row r="86" spans="23:30">
      <c r="W86" s="33"/>
      <c r="X86" s="33"/>
      <c r="Y86" s="33"/>
      <c r="Z86" s="33"/>
      <c r="AA86" s="33"/>
      <c r="AB86" s="33"/>
      <c r="AC86" s="33"/>
      <c r="AD86" s="33"/>
    </row>
    <row r="87" spans="23:30">
      <c r="W87" s="33"/>
      <c r="X87" s="33"/>
      <c r="Y87" s="33"/>
      <c r="Z87" s="33"/>
      <c r="AA87" s="33"/>
      <c r="AB87" s="33"/>
      <c r="AC87" s="33"/>
      <c r="AD87" s="33"/>
    </row>
    <row r="88" spans="23:30">
      <c r="W88" s="33"/>
      <c r="X88" s="33"/>
      <c r="Y88" s="33"/>
      <c r="Z88" s="33"/>
      <c r="AA88" s="33"/>
      <c r="AB88" s="33"/>
      <c r="AC88" s="33"/>
      <c r="AD88" s="33"/>
    </row>
    <row r="89" spans="23:30">
      <c r="W89" s="33"/>
      <c r="X89" s="33"/>
      <c r="Y89" s="33"/>
      <c r="Z89" s="33"/>
      <c r="AA89" s="33"/>
      <c r="AB89" s="33"/>
      <c r="AC89" s="33"/>
      <c r="AD89" s="33"/>
    </row>
    <row r="90" spans="23:30">
      <c r="W90" s="33"/>
      <c r="X90" s="33"/>
      <c r="Y90" s="33"/>
      <c r="Z90" s="33"/>
      <c r="AA90" s="33"/>
      <c r="AB90" s="33"/>
      <c r="AC90" s="33"/>
      <c r="AD90" s="33"/>
    </row>
    <row r="91" spans="23:30">
      <c r="W91" s="33"/>
      <c r="X91" s="33"/>
      <c r="Y91" s="33"/>
      <c r="Z91" s="33"/>
      <c r="AA91" s="33"/>
      <c r="AB91" s="33"/>
      <c r="AC91" s="33"/>
      <c r="AD91" s="33"/>
    </row>
    <row r="92" spans="23:30">
      <c r="W92" s="33"/>
      <c r="X92" s="33"/>
      <c r="Y92" s="33"/>
      <c r="Z92" s="33"/>
      <c r="AA92" s="33"/>
      <c r="AB92" s="33"/>
      <c r="AC92" s="33"/>
      <c r="AD92" s="33"/>
    </row>
    <row r="93" spans="23:30">
      <c r="W93" s="33"/>
      <c r="X93" s="33"/>
      <c r="Y93" s="33"/>
      <c r="Z93" s="33"/>
      <c r="AA93" s="33"/>
      <c r="AB93" s="33"/>
      <c r="AC93" s="33"/>
      <c r="AD93" s="33"/>
    </row>
    <row r="94" spans="23:30">
      <c r="W94" s="33"/>
      <c r="X94" s="33"/>
      <c r="Y94" s="33"/>
      <c r="Z94" s="33"/>
      <c r="AA94" s="33"/>
      <c r="AB94" s="33"/>
      <c r="AC94" s="33"/>
      <c r="AD94" s="33"/>
    </row>
    <row r="95" spans="23:30">
      <c r="W95" s="33"/>
      <c r="X95" s="33"/>
      <c r="Y95" s="33"/>
      <c r="Z95" s="33"/>
      <c r="AA95" s="33"/>
      <c r="AB95" s="33"/>
      <c r="AC95" s="33"/>
      <c r="AD95" s="33"/>
    </row>
    <row r="96" spans="23:30">
      <c r="W96" s="33"/>
      <c r="X96" s="33"/>
      <c r="Y96" s="33"/>
      <c r="Z96" s="33"/>
      <c r="AA96" s="33"/>
      <c r="AB96" s="33"/>
      <c r="AC96" s="33"/>
      <c r="AD96" s="33"/>
    </row>
    <row r="97" spans="23:30">
      <c r="W97" s="33"/>
      <c r="X97" s="33"/>
      <c r="Y97" s="33"/>
      <c r="Z97" s="33"/>
      <c r="AA97" s="33"/>
      <c r="AB97" s="33"/>
      <c r="AC97" s="33"/>
      <c r="AD97" s="33"/>
    </row>
    <row r="98" spans="23:30">
      <c r="W98" s="33"/>
      <c r="X98" s="33"/>
      <c r="Y98" s="33"/>
      <c r="Z98" s="33"/>
      <c r="AA98" s="33"/>
      <c r="AB98" s="33"/>
      <c r="AC98" s="33"/>
      <c r="AD98" s="33"/>
    </row>
    <row r="99" spans="23:30">
      <c r="W99" s="33"/>
      <c r="X99" s="33"/>
      <c r="Y99" s="33"/>
      <c r="Z99" s="33"/>
      <c r="AA99" s="33"/>
      <c r="AB99" s="33"/>
      <c r="AC99" s="33"/>
      <c r="AD99" s="33"/>
    </row>
    <row r="100" spans="23:30">
      <c r="W100" s="33"/>
      <c r="X100" s="33"/>
      <c r="Y100" s="33"/>
      <c r="Z100" s="33"/>
      <c r="AA100" s="33"/>
      <c r="AB100" s="33"/>
      <c r="AC100" s="33"/>
      <c r="AD100" s="33"/>
    </row>
    <row r="101" spans="23:30">
      <c r="W101" s="33"/>
      <c r="X101" s="33"/>
      <c r="Y101" s="33"/>
      <c r="Z101" s="33"/>
      <c r="AA101" s="33"/>
      <c r="AB101" s="33"/>
      <c r="AC101" s="33"/>
      <c r="AD101" s="33"/>
    </row>
    <row r="102" spans="23:30">
      <c r="W102" s="33"/>
      <c r="X102" s="33"/>
      <c r="Y102" s="33"/>
      <c r="Z102" s="33"/>
      <c r="AA102" s="33"/>
      <c r="AB102" s="33"/>
      <c r="AC102" s="33"/>
      <c r="AD102" s="33"/>
    </row>
    <row r="103" spans="23:30">
      <c r="W103" s="33"/>
      <c r="X103" s="33"/>
      <c r="Y103" s="33"/>
      <c r="Z103" s="33"/>
      <c r="AA103" s="33"/>
      <c r="AB103" s="33"/>
      <c r="AC103" s="33"/>
      <c r="AD103" s="33"/>
    </row>
    <row r="104" spans="23:30">
      <c r="W104" s="33"/>
      <c r="X104" s="33"/>
      <c r="Y104" s="33"/>
      <c r="Z104" s="33"/>
      <c r="AA104" s="33"/>
      <c r="AB104" s="33"/>
      <c r="AC104" s="33"/>
      <c r="AD104" s="33"/>
    </row>
    <row r="105" spans="23:30">
      <c r="W105" s="33"/>
      <c r="X105" s="33"/>
      <c r="Y105" s="33"/>
      <c r="Z105" s="33"/>
      <c r="AA105" s="33"/>
      <c r="AB105" s="33"/>
      <c r="AC105" s="33"/>
      <c r="AD105" s="33"/>
    </row>
    <row r="106" spans="23:30">
      <c r="W106" s="33"/>
      <c r="X106" s="33"/>
      <c r="Y106" s="33"/>
      <c r="Z106" s="33"/>
      <c r="AA106" s="33"/>
      <c r="AB106" s="33"/>
      <c r="AC106" s="33"/>
      <c r="AD106" s="33"/>
    </row>
    <row r="107" spans="23:30">
      <c r="W107" s="33"/>
      <c r="X107" s="33"/>
      <c r="Y107" s="33"/>
      <c r="Z107" s="33"/>
      <c r="AA107" s="33"/>
      <c r="AB107" s="33"/>
      <c r="AC107" s="33"/>
      <c r="AD107" s="33"/>
    </row>
    <row r="108" spans="23:30">
      <c r="W108" s="33"/>
      <c r="X108" s="33"/>
      <c r="Y108" s="33"/>
      <c r="Z108" s="33"/>
      <c r="AA108" s="33"/>
      <c r="AB108" s="33"/>
      <c r="AC108" s="33"/>
      <c r="AD108" s="33"/>
    </row>
    <row r="109" spans="23:30">
      <c r="W109" s="33"/>
      <c r="X109" s="33"/>
      <c r="Y109" s="33"/>
      <c r="Z109" s="33"/>
      <c r="AA109" s="33"/>
      <c r="AB109" s="33"/>
      <c r="AC109" s="33"/>
      <c r="AD109" s="33"/>
    </row>
    <row r="110" spans="23:30">
      <c r="W110" s="33"/>
      <c r="X110" s="33"/>
      <c r="Y110" s="33"/>
      <c r="Z110" s="33"/>
      <c r="AA110" s="33"/>
      <c r="AB110" s="33"/>
      <c r="AC110" s="33"/>
      <c r="AD110" s="33"/>
    </row>
    <row r="111" spans="23:30">
      <c r="W111" s="33"/>
      <c r="X111" s="33"/>
      <c r="Y111" s="33"/>
      <c r="Z111" s="33"/>
      <c r="AA111" s="33"/>
      <c r="AB111" s="33"/>
      <c r="AC111" s="33"/>
      <c r="AD111" s="33"/>
    </row>
    <row r="112" spans="23:30">
      <c r="W112" s="33"/>
      <c r="X112" s="33"/>
      <c r="Y112" s="33"/>
      <c r="Z112" s="33"/>
      <c r="AA112" s="33"/>
      <c r="AB112" s="33"/>
      <c r="AC112" s="33"/>
      <c r="AD112" s="33"/>
    </row>
    <row r="113" spans="23:30">
      <c r="W113" s="33"/>
      <c r="X113" s="33"/>
      <c r="Y113" s="33"/>
      <c r="Z113" s="33"/>
      <c r="AA113" s="33"/>
      <c r="AB113" s="33"/>
      <c r="AC113" s="33"/>
      <c r="AD113" s="33"/>
    </row>
    <row r="114" spans="23:30">
      <c r="W114" s="33"/>
      <c r="X114" s="33"/>
      <c r="Y114" s="33"/>
      <c r="Z114" s="33"/>
      <c r="AA114" s="33"/>
      <c r="AB114" s="33"/>
      <c r="AC114" s="33"/>
      <c r="AD114" s="33"/>
    </row>
    <row r="115" spans="23:30">
      <c r="W115" s="33"/>
      <c r="X115" s="33"/>
      <c r="Y115" s="33"/>
      <c r="Z115" s="33"/>
      <c r="AA115" s="33"/>
      <c r="AB115" s="33"/>
      <c r="AC115" s="33"/>
      <c r="AD115" s="33"/>
    </row>
    <row r="116" spans="23:30">
      <c r="W116" s="33"/>
      <c r="X116" s="33"/>
      <c r="Y116" s="33"/>
      <c r="Z116" s="33"/>
      <c r="AA116" s="33"/>
      <c r="AB116" s="33"/>
      <c r="AC116" s="33"/>
      <c r="AD116" s="33"/>
    </row>
    <row r="117" spans="23:30">
      <c r="W117" s="33"/>
      <c r="X117" s="33"/>
      <c r="Y117" s="33"/>
      <c r="Z117" s="33"/>
      <c r="AA117" s="33"/>
      <c r="AB117" s="33"/>
      <c r="AC117" s="33"/>
      <c r="AD117" s="33"/>
    </row>
    <row r="118" spans="23:30">
      <c r="W118" s="33"/>
      <c r="X118" s="33"/>
      <c r="Y118" s="33"/>
      <c r="Z118" s="33"/>
      <c r="AA118" s="33"/>
      <c r="AB118" s="33"/>
      <c r="AC118" s="33"/>
      <c r="AD118" s="33"/>
    </row>
    <row r="119" spans="23:30">
      <c r="W119" s="33"/>
      <c r="X119" s="33"/>
      <c r="Y119" s="33"/>
      <c r="Z119" s="33"/>
      <c r="AA119" s="33"/>
      <c r="AB119" s="33"/>
      <c r="AC119" s="33"/>
      <c r="AD119" s="33"/>
    </row>
    <row r="120" spans="23:30">
      <c r="W120" s="33"/>
      <c r="X120" s="33"/>
      <c r="Y120" s="33"/>
      <c r="Z120" s="33"/>
      <c r="AA120" s="33"/>
      <c r="AB120" s="33"/>
      <c r="AC120" s="33"/>
      <c r="AD120" s="33"/>
    </row>
    <row r="121" spans="23:30">
      <c r="W121" s="33"/>
      <c r="X121" s="33"/>
      <c r="Y121" s="33"/>
      <c r="Z121" s="33"/>
      <c r="AA121" s="33"/>
      <c r="AB121" s="33"/>
      <c r="AC121" s="33"/>
      <c r="AD121" s="33"/>
    </row>
    <row r="122" spans="23:30">
      <c r="W122" s="33"/>
      <c r="X122" s="33"/>
      <c r="Y122" s="33"/>
      <c r="Z122" s="33"/>
      <c r="AA122" s="33"/>
      <c r="AB122" s="33"/>
      <c r="AC122" s="33"/>
      <c r="AD122" s="33"/>
    </row>
    <row r="123" spans="23:30">
      <c r="W123" s="33"/>
      <c r="X123" s="33"/>
      <c r="Y123" s="33"/>
      <c r="Z123" s="33"/>
      <c r="AA123" s="33"/>
      <c r="AB123" s="33"/>
      <c r="AC123" s="33"/>
      <c r="AD123" s="33"/>
    </row>
    <row r="124" spans="23:30">
      <c r="W124" s="33"/>
      <c r="X124" s="33"/>
      <c r="Y124" s="33"/>
      <c r="Z124" s="33"/>
      <c r="AA124" s="33"/>
      <c r="AB124" s="33"/>
      <c r="AC124" s="33"/>
      <c r="AD124" s="33"/>
    </row>
    <row r="125" spans="23:30">
      <c r="W125" s="33"/>
      <c r="X125" s="33"/>
      <c r="Y125" s="33"/>
      <c r="Z125" s="33"/>
      <c r="AA125" s="33"/>
      <c r="AB125" s="33"/>
      <c r="AC125" s="33"/>
      <c r="AD125" s="33"/>
    </row>
    <row r="126" spans="23:30">
      <c r="W126" s="33"/>
      <c r="X126" s="33"/>
      <c r="Y126" s="33"/>
      <c r="Z126" s="33"/>
      <c r="AA126" s="33"/>
      <c r="AB126" s="33"/>
      <c r="AC126" s="33"/>
      <c r="AD126" s="33"/>
    </row>
    <row r="127" spans="23:30">
      <c r="W127" s="33"/>
      <c r="X127" s="33"/>
      <c r="Y127" s="33"/>
      <c r="Z127" s="33"/>
      <c r="AA127" s="33"/>
      <c r="AB127" s="33"/>
      <c r="AC127" s="33"/>
      <c r="AD127" s="33"/>
    </row>
    <row r="128" spans="23:30">
      <c r="W128" s="33"/>
      <c r="X128" s="33"/>
      <c r="Y128" s="33"/>
      <c r="Z128" s="33"/>
      <c r="AA128" s="33"/>
      <c r="AB128" s="33"/>
      <c r="AC128" s="33"/>
      <c r="AD128" s="33"/>
    </row>
    <row r="129" spans="23:30">
      <c r="W129" s="33"/>
      <c r="X129" s="33"/>
      <c r="Y129" s="33"/>
      <c r="Z129" s="33"/>
      <c r="AA129" s="33"/>
      <c r="AB129" s="33"/>
      <c r="AC129" s="33"/>
      <c r="AD129" s="33"/>
    </row>
    <row r="130" spans="23:30">
      <c r="W130" s="33"/>
      <c r="X130" s="33"/>
      <c r="Y130" s="33"/>
      <c r="Z130" s="33"/>
      <c r="AA130" s="33"/>
      <c r="AB130" s="33"/>
      <c r="AC130" s="33"/>
      <c r="AD130" s="33"/>
    </row>
    <row r="131" spans="23:30">
      <c r="W131" s="33"/>
      <c r="X131" s="33"/>
      <c r="Y131" s="33"/>
      <c r="Z131" s="33"/>
      <c r="AA131" s="33"/>
      <c r="AB131" s="33"/>
      <c r="AC131" s="33"/>
      <c r="AD131" s="33"/>
    </row>
    <row r="132" spans="23:30">
      <c r="W132" s="33"/>
      <c r="X132" s="33"/>
      <c r="Y132" s="33"/>
      <c r="Z132" s="33"/>
      <c r="AA132" s="33"/>
      <c r="AB132" s="33"/>
      <c r="AC132" s="33"/>
      <c r="AD132" s="33"/>
    </row>
    <row r="133" spans="23:30">
      <c r="W133" s="33"/>
      <c r="X133" s="33"/>
      <c r="Y133" s="33"/>
      <c r="Z133" s="33"/>
      <c r="AA133" s="33"/>
      <c r="AB133" s="33"/>
      <c r="AC133" s="33"/>
      <c r="AD133" s="33"/>
    </row>
    <row r="134" spans="23:30">
      <c r="W134" s="33"/>
      <c r="X134" s="33"/>
      <c r="Y134" s="33"/>
      <c r="Z134" s="33"/>
      <c r="AA134" s="33"/>
      <c r="AB134" s="33"/>
      <c r="AC134" s="33"/>
      <c r="AD134" s="33"/>
    </row>
    <row r="135" spans="23:30">
      <c r="W135" s="33"/>
      <c r="X135" s="33"/>
      <c r="Y135" s="33"/>
      <c r="Z135" s="33"/>
      <c r="AA135" s="33"/>
      <c r="AB135" s="33"/>
      <c r="AC135" s="33"/>
      <c r="AD135" s="33"/>
    </row>
    <row r="136" spans="23:30">
      <c r="W136" s="33"/>
      <c r="X136" s="33"/>
      <c r="Y136" s="33"/>
      <c r="Z136" s="33"/>
      <c r="AA136" s="33"/>
      <c r="AB136" s="33"/>
      <c r="AC136" s="33"/>
      <c r="AD136" s="33"/>
    </row>
    <row r="137" spans="23:30">
      <c r="W137" s="33"/>
      <c r="X137" s="33"/>
      <c r="Y137" s="33"/>
      <c r="Z137" s="33"/>
      <c r="AA137" s="33"/>
      <c r="AB137" s="33"/>
      <c r="AC137" s="33"/>
      <c r="AD137" s="33"/>
    </row>
    <row r="138" spans="23:30">
      <c r="W138" s="33"/>
      <c r="X138" s="33"/>
      <c r="Y138" s="33"/>
      <c r="Z138" s="33"/>
      <c r="AA138" s="33"/>
      <c r="AB138" s="33"/>
      <c r="AC138" s="33"/>
      <c r="AD138" s="33"/>
    </row>
    <row r="139" spans="23:30">
      <c r="W139" s="33"/>
      <c r="X139" s="33"/>
      <c r="Y139" s="33"/>
      <c r="Z139" s="33"/>
      <c r="AA139" s="33"/>
      <c r="AB139" s="33"/>
      <c r="AC139" s="33"/>
      <c r="AD139" s="33"/>
    </row>
    <row r="140" spans="23:30">
      <c r="W140" s="33"/>
      <c r="X140" s="33"/>
      <c r="Y140" s="33"/>
      <c r="Z140" s="33"/>
      <c r="AA140" s="33"/>
      <c r="AB140" s="33"/>
      <c r="AC140" s="33"/>
      <c r="AD140" s="33"/>
    </row>
    <row r="141" spans="23:30">
      <c r="W141" s="33"/>
      <c r="X141" s="33"/>
      <c r="Y141" s="33"/>
      <c r="Z141" s="33"/>
      <c r="AA141" s="33"/>
      <c r="AB141" s="33"/>
      <c r="AC141" s="33"/>
      <c r="AD141" s="33"/>
    </row>
    <row r="142" spans="23:30">
      <c r="W142" s="33"/>
      <c r="X142" s="33"/>
      <c r="Y142" s="33"/>
      <c r="Z142" s="33"/>
      <c r="AA142" s="33"/>
      <c r="AB142" s="33"/>
      <c r="AC142" s="33"/>
      <c r="AD142" s="33"/>
    </row>
    <row r="143" spans="23:30">
      <c r="W143" s="33"/>
      <c r="X143" s="33"/>
      <c r="Y143" s="33"/>
      <c r="Z143" s="33"/>
      <c r="AA143" s="33"/>
      <c r="AB143" s="33"/>
      <c r="AC143" s="33"/>
      <c r="AD143" s="33"/>
    </row>
    <row r="144" spans="23:30">
      <c r="W144" s="33"/>
      <c r="X144" s="33"/>
      <c r="Y144" s="33"/>
      <c r="Z144" s="33"/>
      <c r="AA144" s="33"/>
      <c r="AB144" s="33"/>
      <c r="AC144" s="33"/>
      <c r="AD144" s="33"/>
    </row>
    <row r="145" spans="23:30">
      <c r="W145" s="33"/>
      <c r="X145" s="33"/>
      <c r="Y145" s="33"/>
      <c r="Z145" s="33"/>
      <c r="AA145" s="33"/>
      <c r="AB145" s="33"/>
      <c r="AC145" s="33"/>
      <c r="AD145" s="33"/>
    </row>
    <row r="146" spans="23:30">
      <c r="W146" s="33"/>
      <c r="X146" s="33"/>
      <c r="Y146" s="33"/>
      <c r="Z146" s="33"/>
      <c r="AA146" s="33"/>
      <c r="AB146" s="33"/>
      <c r="AC146" s="33"/>
      <c r="AD146" s="33"/>
    </row>
    <row r="147" spans="23:30">
      <c r="W147" s="33"/>
      <c r="X147" s="33"/>
      <c r="Y147" s="33"/>
      <c r="Z147" s="33"/>
      <c r="AA147" s="33"/>
      <c r="AB147" s="33"/>
      <c r="AC147" s="33"/>
      <c r="AD147" s="33"/>
    </row>
    <row r="148" spans="23:30">
      <c r="W148" s="33"/>
      <c r="X148" s="33"/>
      <c r="Y148" s="33"/>
      <c r="Z148" s="33"/>
      <c r="AA148" s="33"/>
      <c r="AB148" s="33"/>
      <c r="AC148" s="33"/>
      <c r="AD148" s="33"/>
    </row>
    <row r="149" spans="23:30">
      <c r="W149" s="33"/>
      <c r="X149" s="33"/>
      <c r="Y149" s="33"/>
      <c r="Z149" s="33"/>
      <c r="AA149" s="33"/>
      <c r="AB149" s="33"/>
      <c r="AC149" s="33"/>
      <c r="AD149" s="33"/>
    </row>
    <row r="150" spans="23:30">
      <c r="W150" s="33"/>
      <c r="X150" s="33"/>
      <c r="Y150" s="33"/>
      <c r="Z150" s="33"/>
      <c r="AA150" s="33"/>
      <c r="AB150" s="33"/>
      <c r="AC150" s="33"/>
      <c r="AD150" s="33"/>
    </row>
    <row r="151" spans="23:30">
      <c r="W151" s="33"/>
      <c r="X151" s="33"/>
      <c r="Y151" s="33"/>
      <c r="Z151" s="33"/>
      <c r="AA151" s="33"/>
      <c r="AB151" s="33"/>
      <c r="AC151" s="33"/>
      <c r="AD151" s="33"/>
    </row>
    <row r="152" spans="23:30">
      <c r="W152" s="33"/>
      <c r="X152" s="33"/>
      <c r="Y152" s="33"/>
      <c r="Z152" s="33"/>
      <c r="AA152" s="33"/>
      <c r="AB152" s="33"/>
      <c r="AC152" s="33"/>
      <c r="AD152" s="33"/>
    </row>
    <row r="153" spans="23:30">
      <c r="W153" s="33"/>
      <c r="X153" s="33"/>
      <c r="Y153" s="33"/>
      <c r="Z153" s="33"/>
      <c r="AA153" s="33"/>
      <c r="AB153" s="33"/>
      <c r="AC153" s="33"/>
      <c r="AD153" s="33"/>
    </row>
    <row r="154" spans="23:30">
      <c r="W154" s="33"/>
      <c r="X154" s="33"/>
      <c r="Y154" s="33"/>
      <c r="Z154" s="33"/>
      <c r="AA154" s="33"/>
      <c r="AB154" s="33"/>
      <c r="AC154" s="33"/>
      <c r="AD154" s="33"/>
    </row>
    <row r="155" spans="23:30">
      <c r="W155" s="33"/>
      <c r="X155" s="33"/>
      <c r="Y155" s="33"/>
      <c r="Z155" s="33"/>
      <c r="AA155" s="33"/>
      <c r="AB155" s="33"/>
      <c r="AC155" s="33"/>
      <c r="AD155" s="33"/>
    </row>
    <row r="156" spans="23:30">
      <c r="W156" s="33"/>
      <c r="X156" s="33"/>
      <c r="Y156" s="33"/>
      <c r="Z156" s="33"/>
      <c r="AA156" s="33"/>
      <c r="AB156" s="33"/>
      <c r="AC156" s="33"/>
      <c r="AD156" s="33"/>
    </row>
    <row r="157" spans="23:30">
      <c r="W157" s="33"/>
      <c r="X157" s="33"/>
      <c r="Y157" s="33"/>
      <c r="Z157" s="33"/>
      <c r="AA157" s="33"/>
      <c r="AB157" s="33"/>
      <c r="AC157" s="33"/>
      <c r="AD157" s="33"/>
    </row>
    <row r="158" spans="23:30">
      <c r="W158" s="33"/>
      <c r="X158" s="33"/>
      <c r="Y158" s="33"/>
      <c r="Z158" s="33"/>
      <c r="AA158" s="33"/>
      <c r="AB158" s="33"/>
      <c r="AC158" s="33"/>
      <c r="AD158" s="33"/>
    </row>
    <row r="159" spans="23:30">
      <c r="W159" s="33"/>
      <c r="X159" s="33"/>
      <c r="Y159" s="33"/>
      <c r="Z159" s="33"/>
      <c r="AA159" s="33"/>
      <c r="AB159" s="33"/>
      <c r="AC159" s="33"/>
      <c r="AD159" s="33"/>
    </row>
    <row r="160" spans="23:30">
      <c r="W160" s="33"/>
      <c r="X160" s="33"/>
      <c r="Y160" s="33"/>
      <c r="Z160" s="33"/>
      <c r="AA160" s="33"/>
      <c r="AB160" s="33"/>
      <c r="AC160" s="33"/>
      <c r="AD160" s="33"/>
    </row>
    <row r="161" spans="23:30">
      <c r="W161" s="33"/>
      <c r="X161" s="33"/>
      <c r="Y161" s="33"/>
      <c r="Z161" s="33"/>
      <c r="AA161" s="33"/>
      <c r="AB161" s="33"/>
      <c r="AC161" s="33"/>
      <c r="AD161" s="33"/>
    </row>
    <row r="162" spans="23:30">
      <c r="W162" s="33"/>
      <c r="X162" s="33"/>
      <c r="Y162" s="33"/>
      <c r="Z162" s="33"/>
      <c r="AA162" s="33"/>
      <c r="AB162" s="33"/>
      <c r="AC162" s="33"/>
      <c r="AD162" s="33"/>
    </row>
    <row r="163" spans="23:30">
      <c r="W163" s="33"/>
      <c r="X163" s="33"/>
      <c r="Y163" s="33"/>
      <c r="Z163" s="33"/>
      <c r="AA163" s="33"/>
      <c r="AB163" s="33"/>
      <c r="AC163" s="33"/>
      <c r="AD163" s="33"/>
    </row>
    <row r="164" spans="23:30">
      <c r="W164" s="33"/>
      <c r="X164" s="33"/>
      <c r="Y164" s="33"/>
      <c r="Z164" s="33"/>
      <c r="AA164" s="33"/>
      <c r="AB164" s="33"/>
      <c r="AC164" s="33"/>
      <c r="AD164" s="33"/>
    </row>
    <row r="165" spans="23:30">
      <c r="W165" s="33"/>
      <c r="X165" s="33"/>
      <c r="Y165" s="33"/>
      <c r="Z165" s="33"/>
      <c r="AA165" s="33"/>
      <c r="AB165" s="33"/>
      <c r="AC165" s="33"/>
      <c r="AD165" s="33"/>
    </row>
    <row r="166" spans="23:30">
      <c r="W166" s="33"/>
      <c r="X166" s="33"/>
      <c r="Y166" s="33"/>
      <c r="Z166" s="33"/>
      <c r="AA166" s="33"/>
      <c r="AB166" s="33"/>
      <c r="AC166" s="33"/>
      <c r="AD166" s="33"/>
    </row>
    <row r="167" spans="23:30">
      <c r="W167" s="33"/>
      <c r="X167" s="33"/>
      <c r="Y167" s="33"/>
      <c r="Z167" s="33"/>
      <c r="AA167" s="33"/>
      <c r="AB167" s="33"/>
      <c r="AC167" s="33"/>
      <c r="AD167" s="33"/>
    </row>
    <row r="168" spans="23:30">
      <c r="W168" s="33"/>
      <c r="X168" s="33"/>
      <c r="Y168" s="33"/>
      <c r="Z168" s="33"/>
      <c r="AA168" s="33"/>
      <c r="AB168" s="33"/>
      <c r="AC168" s="33"/>
      <c r="AD168" s="33"/>
    </row>
    <row r="169" spans="23:30">
      <c r="W169" s="33"/>
      <c r="X169" s="33"/>
      <c r="Y169" s="33"/>
      <c r="Z169" s="33"/>
      <c r="AA169" s="33"/>
      <c r="AB169" s="33"/>
      <c r="AC169" s="33"/>
      <c r="AD169" s="33"/>
    </row>
    <row r="170" spans="23:30">
      <c r="W170" s="33"/>
      <c r="X170" s="33"/>
      <c r="Y170" s="33"/>
      <c r="Z170" s="33"/>
      <c r="AA170" s="33"/>
      <c r="AB170" s="33"/>
      <c r="AC170" s="33"/>
      <c r="AD170" s="33"/>
    </row>
    <row r="171" spans="23:30">
      <c r="W171" s="33"/>
      <c r="X171" s="33"/>
      <c r="Y171" s="33"/>
      <c r="Z171" s="33"/>
      <c r="AA171" s="33"/>
      <c r="AB171" s="33"/>
      <c r="AC171" s="33"/>
      <c r="AD171" s="33"/>
    </row>
    <row r="172" spans="23:30">
      <c r="W172" s="33"/>
      <c r="X172" s="33"/>
      <c r="Y172" s="33"/>
      <c r="Z172" s="33"/>
      <c r="AA172" s="33"/>
      <c r="AB172" s="33"/>
      <c r="AC172" s="33"/>
      <c r="AD172" s="33"/>
    </row>
    <row r="173" spans="23:30">
      <c r="W173" s="33"/>
      <c r="X173" s="33"/>
      <c r="Y173" s="33"/>
      <c r="Z173" s="33"/>
      <c r="AA173" s="33"/>
      <c r="AB173" s="33"/>
      <c r="AC173" s="33"/>
      <c r="AD173" s="33"/>
    </row>
    <row r="174" spans="23:30">
      <c r="W174" s="33"/>
      <c r="X174" s="33"/>
      <c r="Y174" s="33"/>
      <c r="Z174" s="33"/>
      <c r="AA174" s="33"/>
      <c r="AB174" s="33"/>
      <c r="AC174" s="33"/>
      <c r="AD174" s="33"/>
    </row>
    <row r="175" spans="23:30">
      <c r="W175" s="33"/>
      <c r="X175" s="33"/>
      <c r="Y175" s="33"/>
      <c r="Z175" s="33"/>
      <c r="AA175" s="33"/>
      <c r="AB175" s="33"/>
      <c r="AC175" s="33"/>
      <c r="AD175" s="33"/>
    </row>
    <row r="176" spans="23:30">
      <c r="W176" s="33"/>
      <c r="X176" s="33"/>
      <c r="Y176" s="33"/>
      <c r="Z176" s="33"/>
      <c r="AA176" s="33"/>
      <c r="AB176" s="33"/>
      <c r="AC176" s="33"/>
      <c r="AD176" s="33"/>
    </row>
    <row r="177" spans="23:30">
      <c r="W177" s="33"/>
      <c r="X177" s="33"/>
      <c r="Y177" s="33"/>
      <c r="Z177" s="33"/>
      <c r="AA177" s="33"/>
      <c r="AB177" s="33"/>
      <c r="AC177" s="33"/>
      <c r="AD177" s="33"/>
    </row>
    <row r="178" spans="23:30">
      <c r="W178" s="33"/>
      <c r="X178" s="33"/>
      <c r="Y178" s="33"/>
      <c r="Z178" s="33"/>
      <c r="AA178" s="33"/>
      <c r="AB178" s="33"/>
      <c r="AC178" s="33"/>
      <c r="AD178" s="33"/>
    </row>
    <row r="179" spans="23:30">
      <c r="W179" s="33"/>
      <c r="X179" s="33"/>
      <c r="Y179" s="33"/>
      <c r="Z179" s="33"/>
      <c r="AA179" s="33"/>
      <c r="AB179" s="33"/>
      <c r="AC179" s="33"/>
      <c r="AD179" s="33"/>
    </row>
    <row r="180" spans="23:30">
      <c r="W180" s="33"/>
      <c r="X180" s="33"/>
      <c r="Y180" s="33"/>
      <c r="Z180" s="33"/>
      <c r="AA180" s="33"/>
      <c r="AB180" s="33"/>
      <c r="AC180" s="33"/>
      <c r="AD180" s="33"/>
    </row>
    <row r="181" spans="23:30">
      <c r="W181" s="33"/>
      <c r="X181" s="33"/>
      <c r="Y181" s="33"/>
      <c r="Z181" s="33"/>
      <c r="AA181" s="33"/>
      <c r="AB181" s="33"/>
      <c r="AC181" s="33"/>
      <c r="AD181" s="33"/>
    </row>
    <row r="182" spans="23:30">
      <c r="W182" s="33"/>
      <c r="X182" s="33"/>
      <c r="Y182" s="33"/>
      <c r="Z182" s="33"/>
      <c r="AA182" s="33"/>
      <c r="AB182" s="33"/>
      <c r="AC182" s="33"/>
      <c r="AD182" s="33"/>
    </row>
    <row r="183" spans="23:30">
      <c r="W183" s="33"/>
      <c r="X183" s="33"/>
      <c r="Y183" s="33"/>
      <c r="Z183" s="33"/>
      <c r="AA183" s="33"/>
      <c r="AB183" s="33"/>
      <c r="AC183" s="33"/>
      <c r="AD183" s="33"/>
    </row>
    <row r="184" spans="23:30">
      <c r="W184" s="33"/>
      <c r="X184" s="33"/>
      <c r="Y184" s="33"/>
      <c r="Z184" s="33"/>
      <c r="AA184" s="33"/>
      <c r="AB184" s="33"/>
      <c r="AC184" s="33"/>
      <c r="AD184" s="33"/>
    </row>
    <row r="185" spans="23:30">
      <c r="W185" s="33"/>
      <c r="X185" s="33"/>
      <c r="Y185" s="33"/>
      <c r="Z185" s="33"/>
      <c r="AA185" s="33"/>
      <c r="AB185" s="33"/>
      <c r="AC185" s="33"/>
      <c r="AD185" s="33"/>
    </row>
    <row r="186" spans="23:30">
      <c r="W186" s="33"/>
      <c r="X186" s="33"/>
      <c r="Y186" s="33"/>
      <c r="Z186" s="33"/>
      <c r="AA186" s="33"/>
      <c r="AB186" s="33"/>
      <c r="AC186" s="33"/>
      <c r="AD186" s="33"/>
    </row>
    <row r="187" spans="23:30">
      <c r="W187" s="33"/>
      <c r="X187" s="33"/>
      <c r="Y187" s="33"/>
      <c r="Z187" s="33"/>
      <c r="AA187" s="33"/>
      <c r="AB187" s="33"/>
      <c r="AC187" s="33"/>
      <c r="AD187" s="33"/>
    </row>
    <row r="188" spans="23:30">
      <c r="W188" s="33"/>
      <c r="X188" s="33"/>
      <c r="Y188" s="33"/>
      <c r="Z188" s="33"/>
      <c r="AA188" s="33"/>
      <c r="AB188" s="33"/>
      <c r="AC188" s="33"/>
      <c r="AD188" s="33"/>
    </row>
    <row r="189" spans="23:30">
      <c r="W189" s="33"/>
      <c r="X189" s="33"/>
      <c r="Y189" s="33"/>
      <c r="Z189" s="33"/>
      <c r="AA189" s="33"/>
      <c r="AB189" s="33"/>
      <c r="AC189" s="33"/>
      <c r="AD189" s="33"/>
    </row>
    <row r="190" spans="23:30">
      <c r="W190" s="33"/>
      <c r="X190" s="33"/>
      <c r="Y190" s="33"/>
      <c r="Z190" s="33"/>
      <c r="AA190" s="33"/>
      <c r="AB190" s="33"/>
      <c r="AC190" s="33"/>
      <c r="AD190" s="33"/>
    </row>
    <row r="191" spans="23:30">
      <c r="W191" s="33"/>
      <c r="X191" s="33"/>
      <c r="Y191" s="33"/>
      <c r="Z191" s="33"/>
      <c r="AA191" s="33"/>
      <c r="AB191" s="33"/>
      <c r="AC191" s="33"/>
      <c r="AD191" s="33"/>
    </row>
    <row r="192" spans="23:30">
      <c r="W192" s="33"/>
      <c r="X192" s="33"/>
      <c r="Y192" s="33"/>
      <c r="Z192" s="33"/>
      <c r="AA192" s="33"/>
      <c r="AB192" s="33"/>
      <c r="AC192" s="33"/>
      <c r="AD192" s="33"/>
    </row>
    <row r="193" spans="23:30">
      <c r="W193" s="33"/>
      <c r="X193" s="33"/>
      <c r="Y193" s="33"/>
      <c r="Z193" s="33"/>
      <c r="AA193" s="33"/>
      <c r="AB193" s="33"/>
      <c r="AC193" s="33"/>
      <c r="AD193" s="33"/>
    </row>
    <row r="194" spans="23:30">
      <c r="W194" s="33"/>
      <c r="X194" s="33"/>
      <c r="Y194" s="33"/>
      <c r="Z194" s="33"/>
      <c r="AA194" s="33"/>
      <c r="AB194" s="33"/>
      <c r="AC194" s="33"/>
      <c r="AD194" s="33"/>
    </row>
    <row r="195" spans="23:30">
      <c r="W195" s="33"/>
      <c r="X195" s="33"/>
      <c r="Y195" s="33"/>
      <c r="Z195" s="33"/>
      <c r="AA195" s="33"/>
      <c r="AB195" s="33"/>
      <c r="AC195" s="33"/>
      <c r="AD195" s="33"/>
    </row>
    <row r="196" spans="23:30">
      <c r="W196" s="33"/>
      <c r="X196" s="33"/>
      <c r="Y196" s="33"/>
      <c r="Z196" s="33"/>
      <c r="AA196" s="33"/>
      <c r="AB196" s="33"/>
      <c r="AC196" s="33"/>
      <c r="AD196" s="33"/>
    </row>
    <row r="197" spans="23:30">
      <c r="W197" s="33"/>
      <c r="X197" s="33"/>
      <c r="Y197" s="33"/>
      <c r="Z197" s="33"/>
      <c r="AA197" s="33"/>
      <c r="AB197" s="33"/>
      <c r="AC197" s="33"/>
      <c r="AD197" s="33"/>
    </row>
    <row r="198" spans="23:30">
      <c r="W198" s="33"/>
      <c r="X198" s="33"/>
      <c r="Y198" s="33"/>
      <c r="Z198" s="33"/>
      <c r="AA198" s="33"/>
      <c r="AB198" s="33"/>
      <c r="AC198" s="33"/>
      <c r="AD198" s="33"/>
    </row>
    <row r="199" spans="23:30">
      <c r="W199" s="33"/>
      <c r="X199" s="33"/>
      <c r="Y199" s="33"/>
      <c r="Z199" s="33"/>
      <c r="AA199" s="33"/>
      <c r="AB199" s="33"/>
      <c r="AC199" s="33"/>
      <c r="AD199" s="33"/>
    </row>
    <row r="200" spans="23:30">
      <c r="W200" s="33"/>
      <c r="X200" s="33"/>
      <c r="Y200" s="33"/>
      <c r="Z200" s="33"/>
      <c r="AA200" s="33"/>
      <c r="AB200" s="33"/>
      <c r="AC200" s="33"/>
      <c r="AD200" s="33"/>
    </row>
  </sheetData>
  <mergeCells count="88">
    <mergeCell ref="B35:H35"/>
    <mergeCell ref="M35:S35"/>
    <mergeCell ref="K1:K17"/>
    <mergeCell ref="K19:K35"/>
    <mergeCell ref="B32:H32"/>
    <mergeCell ref="M32:S32"/>
    <mergeCell ref="B33:H33"/>
    <mergeCell ref="M33:S33"/>
    <mergeCell ref="B34:H34"/>
    <mergeCell ref="M34:S34"/>
    <mergeCell ref="B29:H29"/>
    <mergeCell ref="M29:S29"/>
    <mergeCell ref="B30:H30"/>
    <mergeCell ref="M30:S30"/>
    <mergeCell ref="B31:H31"/>
    <mergeCell ref="M31:S31"/>
    <mergeCell ref="B26:H26"/>
    <mergeCell ref="M26:S26"/>
    <mergeCell ref="B27:H27"/>
    <mergeCell ref="M27:S27"/>
    <mergeCell ref="B28:H28"/>
    <mergeCell ref="M28:S28"/>
    <mergeCell ref="B23:H23"/>
    <mergeCell ref="M23:S23"/>
    <mergeCell ref="B24:H24"/>
    <mergeCell ref="M24:S24"/>
    <mergeCell ref="B25:H25"/>
    <mergeCell ref="M25:S25"/>
    <mergeCell ref="B20:H20"/>
    <mergeCell ref="M20:S20"/>
    <mergeCell ref="B21:H21"/>
    <mergeCell ref="M21:S21"/>
    <mergeCell ref="B22:H22"/>
    <mergeCell ref="M22:S22"/>
    <mergeCell ref="A17:B17"/>
    <mergeCell ref="C17:J17"/>
    <mergeCell ref="M17:U17"/>
    <mergeCell ref="A18:U18"/>
    <mergeCell ref="B19:H19"/>
    <mergeCell ref="M19:S19"/>
    <mergeCell ref="A15:B15"/>
    <mergeCell ref="C15:J15"/>
    <mergeCell ref="M15:U15"/>
    <mergeCell ref="A16:B16"/>
    <mergeCell ref="C16:J16"/>
    <mergeCell ref="M16:U16"/>
    <mergeCell ref="A13:B13"/>
    <mergeCell ref="C13:J13"/>
    <mergeCell ref="M13:U13"/>
    <mergeCell ref="A14:B14"/>
    <mergeCell ref="C14:J14"/>
    <mergeCell ref="M14:U14"/>
    <mergeCell ref="A11:B11"/>
    <mergeCell ref="C11:J11"/>
    <mergeCell ref="M11:U11"/>
    <mergeCell ref="A12:B12"/>
    <mergeCell ref="C12:J12"/>
    <mergeCell ref="M12:U12"/>
    <mergeCell ref="A9:B9"/>
    <mergeCell ref="C9:J9"/>
    <mergeCell ref="M9:U9"/>
    <mergeCell ref="A10:B10"/>
    <mergeCell ref="C10:J10"/>
    <mergeCell ref="M10:U10"/>
    <mergeCell ref="A7:B7"/>
    <mergeCell ref="C7:J7"/>
    <mergeCell ref="M7:U7"/>
    <mergeCell ref="A8:B8"/>
    <mergeCell ref="C8:J8"/>
    <mergeCell ref="M8:U8"/>
    <mergeCell ref="A5:B5"/>
    <mergeCell ref="C5:J5"/>
    <mergeCell ref="M5:U5"/>
    <mergeCell ref="A6:B6"/>
    <mergeCell ref="C6:J6"/>
    <mergeCell ref="M6:U6"/>
    <mergeCell ref="A3:B3"/>
    <mergeCell ref="C3:J3"/>
    <mergeCell ref="M3:U3"/>
    <mergeCell ref="A4:B4"/>
    <mergeCell ref="C4:J4"/>
    <mergeCell ref="M4:U4"/>
    <mergeCell ref="A1:B1"/>
    <mergeCell ref="C1:J1"/>
    <mergeCell ref="M1:U1"/>
    <mergeCell ref="A2:B2"/>
    <mergeCell ref="C2:J2"/>
    <mergeCell ref="M2:U2"/>
  </mergeCells>
  <phoneticPr fontId="13" type="noConversion"/>
  <dataValidations count="2">
    <dataValidation type="list" allowBlank="1" showInputMessage="1" showErrorMessage="1" sqref="L2:L17" xr:uid="{5339F1F7-A83D-46B2-9F4A-3391CAC297DA}">
      <formula1>OFFSET($W$2,0,0,COUNTA($W$2:$W$300),1)</formula1>
    </dataValidation>
    <dataValidation type="list" allowBlank="1" showInputMessage="1" showErrorMessage="1" sqref="A20:A35 L20:L35" xr:uid="{E5B4C90B-91A4-4DA2-A3ED-8D8E535D25BA}">
      <formula1>OFFSET($AA$2,0,0,COUNTA($AA$2:$AA$400),1)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028C-86D3-41EB-B0C6-F43DFFD47940}">
  <sheetPr codeName="Sheet8">
    <tabColor rgb="FF866828"/>
  </sheetPr>
  <dimension ref="A1:D159"/>
  <sheetViews>
    <sheetView workbookViewId="0"/>
  </sheetViews>
  <sheetFormatPr defaultRowHeight="14.4"/>
  <cols>
    <col min="1" max="1" width="10.77734375" style="9" customWidth="1"/>
    <col min="2" max="3" width="18.77734375" style="9" customWidth="1"/>
    <col min="4" max="4" width="68.77734375" style="9" customWidth="1"/>
    <col min="5" max="16384" width="8.88671875" style="9"/>
  </cols>
  <sheetData>
    <row r="1" spans="1:4" ht="24" customHeight="1">
      <c r="A1" s="192" t="s">
        <v>452</v>
      </c>
      <c r="B1" s="192"/>
      <c r="C1" s="192"/>
      <c r="D1" s="192"/>
    </row>
    <row r="2" spans="1:4" ht="24" customHeight="1">
      <c r="A2" s="171" t="s">
        <v>451</v>
      </c>
      <c r="B2" s="171" t="s">
        <v>453</v>
      </c>
      <c r="C2" s="171" t="s">
        <v>454</v>
      </c>
      <c r="D2" s="171" t="s">
        <v>123</v>
      </c>
    </row>
    <row r="3" spans="1:4" ht="24" customHeight="1">
      <c r="A3" s="193" t="s">
        <v>455</v>
      </c>
      <c r="B3" s="172" t="s">
        <v>456</v>
      </c>
      <c r="C3" s="172" t="s">
        <v>457</v>
      </c>
      <c r="D3" s="172" t="s">
        <v>458</v>
      </c>
    </row>
    <row r="4" spans="1:4" ht="24" customHeight="1">
      <c r="A4" s="193" t="s">
        <v>455</v>
      </c>
      <c r="B4" s="172" t="s">
        <v>456</v>
      </c>
      <c r="C4" s="172" t="s">
        <v>459</v>
      </c>
      <c r="D4" s="172" t="s">
        <v>460</v>
      </c>
    </row>
    <row r="5" spans="1:4" ht="24" customHeight="1">
      <c r="A5" s="193" t="s">
        <v>455</v>
      </c>
      <c r="B5" s="172" t="s">
        <v>456</v>
      </c>
      <c r="C5" s="172" t="s">
        <v>461</v>
      </c>
      <c r="D5" s="172" t="s">
        <v>462</v>
      </c>
    </row>
    <row r="6" spans="1:4" ht="24" customHeight="1">
      <c r="A6" s="193" t="s">
        <v>455</v>
      </c>
      <c r="B6" s="172" t="s">
        <v>456</v>
      </c>
      <c r="C6" s="172" t="s">
        <v>463</v>
      </c>
      <c r="D6" s="172" t="s">
        <v>464</v>
      </c>
    </row>
    <row r="7" spans="1:4" ht="24" customHeight="1">
      <c r="A7" s="193" t="s">
        <v>455</v>
      </c>
      <c r="B7" s="172" t="s">
        <v>456</v>
      </c>
      <c r="C7" s="172" t="s">
        <v>465</v>
      </c>
      <c r="D7" s="172" t="s">
        <v>466</v>
      </c>
    </row>
    <row r="8" spans="1:4" ht="24" customHeight="1">
      <c r="A8" s="193" t="s">
        <v>455</v>
      </c>
      <c r="B8" s="172" t="s">
        <v>456</v>
      </c>
      <c r="C8" s="172" t="s">
        <v>467</v>
      </c>
      <c r="D8" s="172" t="s">
        <v>468</v>
      </c>
    </row>
    <row r="9" spans="1:4" ht="24" customHeight="1">
      <c r="A9" s="193" t="s">
        <v>455</v>
      </c>
      <c r="B9" s="172" t="s">
        <v>456</v>
      </c>
      <c r="C9" s="172" t="s">
        <v>469</v>
      </c>
      <c r="D9" s="172" t="s">
        <v>470</v>
      </c>
    </row>
    <row r="10" spans="1:4" ht="24" customHeight="1">
      <c r="A10" s="193" t="s">
        <v>455</v>
      </c>
      <c r="B10" s="172" t="s">
        <v>456</v>
      </c>
      <c r="C10" s="172" t="s">
        <v>471</v>
      </c>
      <c r="D10" s="172" t="s">
        <v>472</v>
      </c>
    </row>
    <row r="11" spans="1:4" ht="24" customHeight="1">
      <c r="A11" s="193" t="s">
        <v>455</v>
      </c>
      <c r="B11" s="172" t="s">
        <v>456</v>
      </c>
      <c r="C11" s="172" t="s">
        <v>473</v>
      </c>
      <c r="D11" s="172" t="s">
        <v>474</v>
      </c>
    </row>
    <row r="12" spans="1:4" ht="24" customHeight="1">
      <c r="A12" s="193" t="s">
        <v>455</v>
      </c>
      <c r="B12" s="172" t="s">
        <v>456</v>
      </c>
      <c r="C12" s="172" t="s">
        <v>475</v>
      </c>
      <c r="D12" s="172" t="s">
        <v>476</v>
      </c>
    </row>
    <row r="13" spans="1:4" ht="24" customHeight="1">
      <c r="A13" s="193" t="s">
        <v>455</v>
      </c>
      <c r="B13" s="172" t="s">
        <v>456</v>
      </c>
      <c r="C13" s="172" t="s">
        <v>477</v>
      </c>
      <c r="D13" s="172" t="s">
        <v>478</v>
      </c>
    </row>
    <row r="14" spans="1:4" ht="24" customHeight="1">
      <c r="A14" s="193" t="s">
        <v>455</v>
      </c>
      <c r="B14" s="172" t="s">
        <v>456</v>
      </c>
      <c r="C14" s="172" t="s">
        <v>479</v>
      </c>
      <c r="D14" s="172" t="s">
        <v>480</v>
      </c>
    </row>
    <row r="15" spans="1:4" ht="24" customHeight="1">
      <c r="A15" s="193" t="s">
        <v>455</v>
      </c>
      <c r="B15" s="172" t="s">
        <v>456</v>
      </c>
      <c r="C15" s="172" t="s">
        <v>481</v>
      </c>
      <c r="D15" s="172" t="s">
        <v>482</v>
      </c>
    </row>
    <row r="16" spans="1:4" ht="24" customHeight="1">
      <c r="A16" s="193" t="s">
        <v>455</v>
      </c>
      <c r="B16" s="172" t="s">
        <v>456</v>
      </c>
      <c r="C16" s="172" t="s">
        <v>19</v>
      </c>
      <c r="D16" s="172" t="s">
        <v>483</v>
      </c>
    </row>
    <row r="17" spans="1:4" ht="24" customHeight="1">
      <c r="A17" s="193" t="s">
        <v>455</v>
      </c>
      <c r="B17" s="172" t="s">
        <v>456</v>
      </c>
      <c r="C17" s="172" t="s">
        <v>484</v>
      </c>
      <c r="D17" s="172" t="s">
        <v>485</v>
      </c>
    </row>
    <row r="18" spans="1:4" ht="24" customHeight="1">
      <c r="A18" s="193" t="s">
        <v>455</v>
      </c>
      <c r="B18" s="172" t="s">
        <v>456</v>
      </c>
      <c r="C18" s="172" t="s">
        <v>486</v>
      </c>
      <c r="D18" s="172" t="s">
        <v>487</v>
      </c>
    </row>
    <row r="19" spans="1:4" ht="24" customHeight="1">
      <c r="A19" s="193" t="s">
        <v>455</v>
      </c>
      <c r="B19" s="172" t="s">
        <v>456</v>
      </c>
      <c r="C19" s="172" t="s">
        <v>488</v>
      </c>
      <c r="D19" s="172" t="s">
        <v>489</v>
      </c>
    </row>
    <row r="20" spans="1:4" ht="24" customHeight="1">
      <c r="A20" s="193" t="s">
        <v>455</v>
      </c>
      <c r="B20" s="172" t="s">
        <v>456</v>
      </c>
      <c r="C20" s="172" t="s">
        <v>490</v>
      </c>
      <c r="D20" s="172" t="s">
        <v>491</v>
      </c>
    </row>
    <row r="21" spans="1:4" ht="24" customHeight="1">
      <c r="A21" s="193" t="s">
        <v>455</v>
      </c>
      <c r="B21" s="172" t="s">
        <v>456</v>
      </c>
      <c r="C21" s="172" t="s">
        <v>492</v>
      </c>
      <c r="D21" s="172" t="s">
        <v>493</v>
      </c>
    </row>
    <row r="22" spans="1:4" ht="24" customHeight="1">
      <c r="A22" s="193" t="s">
        <v>455</v>
      </c>
      <c r="B22" s="172" t="s">
        <v>456</v>
      </c>
      <c r="C22" s="172" t="s">
        <v>494</v>
      </c>
      <c r="D22" s="172" t="s">
        <v>495</v>
      </c>
    </row>
    <row r="23" spans="1:4" ht="24" customHeight="1">
      <c r="A23" s="193" t="s">
        <v>455</v>
      </c>
      <c r="B23" s="172" t="s">
        <v>456</v>
      </c>
      <c r="C23" s="172" t="s">
        <v>496</v>
      </c>
      <c r="D23" s="172" t="s">
        <v>497</v>
      </c>
    </row>
    <row r="24" spans="1:4" ht="24" customHeight="1">
      <c r="A24" s="193" t="s">
        <v>455</v>
      </c>
      <c r="B24" s="172" t="s">
        <v>456</v>
      </c>
      <c r="C24" s="172" t="s">
        <v>498</v>
      </c>
      <c r="D24" s="172" t="s">
        <v>499</v>
      </c>
    </row>
    <row r="25" spans="1:4" ht="24" customHeight="1">
      <c r="A25" s="193" t="s">
        <v>455</v>
      </c>
      <c r="B25" s="172" t="s">
        <v>456</v>
      </c>
      <c r="C25" s="172" t="s">
        <v>500</v>
      </c>
      <c r="D25" s="172" t="s">
        <v>501</v>
      </c>
    </row>
    <row r="26" spans="1:4" ht="24" customHeight="1">
      <c r="A26" s="194" t="s">
        <v>3</v>
      </c>
      <c r="B26" s="172" t="s">
        <v>502</v>
      </c>
      <c r="C26" s="172" t="s">
        <v>503</v>
      </c>
      <c r="D26" s="172" t="s">
        <v>504</v>
      </c>
    </row>
    <row r="27" spans="1:4" ht="24" customHeight="1">
      <c r="A27" s="194" t="s">
        <v>3</v>
      </c>
      <c r="B27" s="172" t="s">
        <v>502</v>
      </c>
      <c r="C27" s="172" t="s">
        <v>505</v>
      </c>
      <c r="D27" s="172" t="s">
        <v>506</v>
      </c>
    </row>
    <row r="28" spans="1:4" ht="24" customHeight="1">
      <c r="A28" s="194" t="s">
        <v>3</v>
      </c>
      <c r="B28" s="172" t="s">
        <v>502</v>
      </c>
      <c r="C28" s="172" t="s">
        <v>507</v>
      </c>
      <c r="D28" s="172" t="s">
        <v>508</v>
      </c>
    </row>
    <row r="29" spans="1:4" ht="24" customHeight="1">
      <c r="A29" s="194" t="s">
        <v>3</v>
      </c>
      <c r="B29" s="172" t="s">
        <v>509</v>
      </c>
      <c r="C29" s="172" t="s">
        <v>510</v>
      </c>
      <c r="D29" s="172" t="s">
        <v>511</v>
      </c>
    </row>
    <row r="30" spans="1:4" ht="24" customHeight="1">
      <c r="A30" s="194" t="s">
        <v>3</v>
      </c>
      <c r="B30" s="172" t="s">
        <v>509</v>
      </c>
      <c r="C30" s="172" t="s">
        <v>512</v>
      </c>
      <c r="D30" s="172" t="s">
        <v>513</v>
      </c>
    </row>
    <row r="31" spans="1:4" ht="24" customHeight="1">
      <c r="A31" s="194" t="s">
        <v>3</v>
      </c>
      <c r="B31" s="172" t="s">
        <v>509</v>
      </c>
      <c r="C31" s="172" t="s">
        <v>514</v>
      </c>
      <c r="D31" s="172" t="s">
        <v>515</v>
      </c>
    </row>
    <row r="32" spans="1:4" ht="24" customHeight="1">
      <c r="A32" s="194" t="s">
        <v>3</v>
      </c>
      <c r="B32" s="172" t="s">
        <v>509</v>
      </c>
      <c r="C32" s="172" t="s">
        <v>516</v>
      </c>
      <c r="D32" s="172" t="s">
        <v>517</v>
      </c>
    </row>
    <row r="33" spans="1:4" ht="24" customHeight="1">
      <c r="A33" s="194" t="s">
        <v>3</v>
      </c>
      <c r="B33" s="172" t="s">
        <v>509</v>
      </c>
      <c r="C33" s="172" t="s">
        <v>518</v>
      </c>
      <c r="D33" s="172" t="s">
        <v>519</v>
      </c>
    </row>
    <row r="34" spans="1:4" ht="24" customHeight="1">
      <c r="A34" s="194" t="s">
        <v>3</v>
      </c>
      <c r="B34" s="172" t="s">
        <v>509</v>
      </c>
      <c r="C34" s="172" t="s">
        <v>520</v>
      </c>
      <c r="D34" s="172" t="s">
        <v>521</v>
      </c>
    </row>
    <row r="35" spans="1:4" ht="24" customHeight="1">
      <c r="A35" s="194" t="s">
        <v>3</v>
      </c>
      <c r="B35" s="172" t="s">
        <v>509</v>
      </c>
      <c r="C35" s="172" t="s">
        <v>522</v>
      </c>
      <c r="D35" s="172" t="s">
        <v>523</v>
      </c>
    </row>
    <row r="36" spans="1:4" ht="24" customHeight="1">
      <c r="A36" s="194" t="s">
        <v>3</v>
      </c>
      <c r="B36" s="172" t="s">
        <v>509</v>
      </c>
      <c r="C36" s="172" t="s">
        <v>524</v>
      </c>
      <c r="D36" s="172" t="s">
        <v>525</v>
      </c>
    </row>
    <row r="37" spans="1:4" ht="24" customHeight="1">
      <c r="A37" s="194" t="s">
        <v>3</v>
      </c>
      <c r="B37" s="172" t="s">
        <v>526</v>
      </c>
      <c r="C37" s="172" t="s">
        <v>527</v>
      </c>
      <c r="D37" s="172" t="s">
        <v>528</v>
      </c>
    </row>
    <row r="38" spans="1:4" ht="24" customHeight="1">
      <c r="A38" s="194" t="s">
        <v>3</v>
      </c>
      <c r="B38" s="172" t="s">
        <v>526</v>
      </c>
      <c r="C38" s="172" t="s">
        <v>529</v>
      </c>
      <c r="D38" s="172" t="s">
        <v>530</v>
      </c>
    </row>
    <row r="39" spans="1:4" ht="24" customHeight="1">
      <c r="A39" s="194" t="s">
        <v>3</v>
      </c>
      <c r="B39" s="172" t="s">
        <v>526</v>
      </c>
      <c r="C39" s="172" t="s">
        <v>531</v>
      </c>
      <c r="D39" s="172" t="s">
        <v>532</v>
      </c>
    </row>
    <row r="40" spans="1:4" ht="24" customHeight="1">
      <c r="A40" s="194" t="s">
        <v>3</v>
      </c>
      <c r="B40" s="172" t="s">
        <v>526</v>
      </c>
      <c r="C40" s="172" t="s">
        <v>533</v>
      </c>
      <c r="D40" s="172" t="s">
        <v>534</v>
      </c>
    </row>
    <row r="41" spans="1:4" ht="24" customHeight="1">
      <c r="A41" s="194" t="s">
        <v>3</v>
      </c>
      <c r="B41" s="172" t="s">
        <v>535</v>
      </c>
      <c r="C41" s="172" t="s">
        <v>536</v>
      </c>
      <c r="D41" s="172" t="s">
        <v>537</v>
      </c>
    </row>
    <row r="42" spans="1:4" ht="24" customHeight="1">
      <c r="A42" s="194" t="s">
        <v>3</v>
      </c>
      <c r="B42" s="172" t="s">
        <v>535</v>
      </c>
      <c r="C42" s="172" t="s">
        <v>538</v>
      </c>
      <c r="D42" s="172" t="s">
        <v>539</v>
      </c>
    </row>
    <row r="43" spans="1:4" ht="24" customHeight="1">
      <c r="A43" s="194" t="s">
        <v>3</v>
      </c>
      <c r="B43" s="172" t="s">
        <v>535</v>
      </c>
      <c r="C43" s="172" t="s">
        <v>540</v>
      </c>
      <c r="D43" s="172" t="s">
        <v>541</v>
      </c>
    </row>
    <row r="44" spans="1:4" ht="24" customHeight="1">
      <c r="A44" s="194" t="s">
        <v>3</v>
      </c>
      <c r="B44" s="172" t="s">
        <v>535</v>
      </c>
      <c r="C44" s="172" t="s">
        <v>542</v>
      </c>
      <c r="D44" s="172" t="s">
        <v>543</v>
      </c>
    </row>
    <row r="45" spans="1:4" ht="24" customHeight="1">
      <c r="A45" s="194" t="s">
        <v>3</v>
      </c>
      <c r="B45" s="172" t="s">
        <v>535</v>
      </c>
      <c r="C45" s="172" t="s">
        <v>544</v>
      </c>
      <c r="D45" s="172" t="s">
        <v>545</v>
      </c>
    </row>
    <row r="46" spans="1:4" ht="24" customHeight="1">
      <c r="A46" s="195" t="s">
        <v>7</v>
      </c>
      <c r="B46" s="172" t="s">
        <v>546</v>
      </c>
      <c r="C46" s="172" t="s">
        <v>547</v>
      </c>
      <c r="D46" s="172" t="s">
        <v>548</v>
      </c>
    </row>
    <row r="47" spans="1:4" ht="24" customHeight="1">
      <c r="A47" s="195" t="s">
        <v>7</v>
      </c>
      <c r="B47" s="172" t="s">
        <v>546</v>
      </c>
      <c r="C47" s="172" t="s">
        <v>549</v>
      </c>
      <c r="D47" s="172" t="s">
        <v>550</v>
      </c>
    </row>
    <row r="48" spans="1:4" ht="24" customHeight="1">
      <c r="A48" s="195" t="s">
        <v>7</v>
      </c>
      <c r="B48" s="172" t="s">
        <v>546</v>
      </c>
      <c r="C48" s="172" t="s">
        <v>551</v>
      </c>
      <c r="D48" s="172" t="s">
        <v>552</v>
      </c>
    </row>
    <row r="49" spans="1:4" ht="24" customHeight="1">
      <c r="A49" s="195" t="s">
        <v>7</v>
      </c>
      <c r="B49" s="172" t="s">
        <v>546</v>
      </c>
      <c r="C49" s="172" t="s">
        <v>553</v>
      </c>
      <c r="D49" s="172" t="s">
        <v>554</v>
      </c>
    </row>
    <row r="50" spans="1:4" ht="24" customHeight="1">
      <c r="A50" s="196" t="s">
        <v>10</v>
      </c>
      <c r="B50" s="172" t="s">
        <v>555</v>
      </c>
      <c r="C50" s="172" t="s">
        <v>556</v>
      </c>
      <c r="D50" s="172" t="s">
        <v>557</v>
      </c>
    </row>
    <row r="51" spans="1:4" ht="24" customHeight="1">
      <c r="A51" s="196" t="s">
        <v>10</v>
      </c>
      <c r="B51" s="172" t="s">
        <v>555</v>
      </c>
      <c r="C51" s="172" t="s">
        <v>558</v>
      </c>
      <c r="D51" s="172" t="s">
        <v>559</v>
      </c>
    </row>
    <row r="52" spans="1:4" ht="24" customHeight="1">
      <c r="A52" s="196" t="s">
        <v>10</v>
      </c>
      <c r="B52" s="172" t="s">
        <v>560</v>
      </c>
      <c r="C52" s="172" t="s">
        <v>561</v>
      </c>
      <c r="D52" s="172" t="s">
        <v>562</v>
      </c>
    </row>
    <row r="53" spans="1:4" ht="24" customHeight="1">
      <c r="A53" s="196" t="s">
        <v>10</v>
      </c>
      <c r="B53" s="172" t="s">
        <v>563</v>
      </c>
      <c r="C53" s="172" t="s">
        <v>564</v>
      </c>
      <c r="D53" s="172" t="s">
        <v>565</v>
      </c>
    </row>
    <row r="54" spans="1:4" ht="24" customHeight="1">
      <c r="A54" s="196" t="s">
        <v>10</v>
      </c>
      <c r="B54" s="172" t="s">
        <v>563</v>
      </c>
      <c r="C54" s="172" t="s">
        <v>566</v>
      </c>
      <c r="D54" s="172" t="s">
        <v>567</v>
      </c>
    </row>
    <row r="55" spans="1:4" ht="24" customHeight="1">
      <c r="A55" s="196" t="s">
        <v>10</v>
      </c>
      <c r="B55" s="172" t="s">
        <v>563</v>
      </c>
      <c r="C55" s="172" t="s">
        <v>568</v>
      </c>
      <c r="D55" s="172" t="s">
        <v>569</v>
      </c>
    </row>
    <row r="56" spans="1:4" ht="24" customHeight="1">
      <c r="A56" s="196" t="s">
        <v>10</v>
      </c>
      <c r="B56" s="172" t="s">
        <v>563</v>
      </c>
      <c r="C56" s="172" t="s">
        <v>570</v>
      </c>
      <c r="D56" s="172" t="s">
        <v>571</v>
      </c>
    </row>
    <row r="57" spans="1:4" ht="24" customHeight="1">
      <c r="A57" s="196" t="s">
        <v>10</v>
      </c>
      <c r="B57" s="172" t="s">
        <v>572</v>
      </c>
      <c r="C57" s="172" t="s">
        <v>573</v>
      </c>
      <c r="D57" s="172" t="s">
        <v>574</v>
      </c>
    </row>
    <row r="58" spans="1:4" ht="24" customHeight="1">
      <c r="A58" s="196" t="s">
        <v>10</v>
      </c>
      <c r="B58" s="172" t="s">
        <v>572</v>
      </c>
      <c r="C58" s="172" t="s">
        <v>575</v>
      </c>
      <c r="D58" s="172" t="s">
        <v>576</v>
      </c>
    </row>
    <row r="59" spans="1:4" ht="24" customHeight="1">
      <c r="A59" s="196" t="s">
        <v>10</v>
      </c>
      <c r="B59" s="172" t="s">
        <v>572</v>
      </c>
      <c r="C59" s="172" t="s">
        <v>577</v>
      </c>
      <c r="D59" s="172" t="s">
        <v>578</v>
      </c>
    </row>
    <row r="60" spans="1:4" ht="24" customHeight="1">
      <c r="A60" s="196" t="s">
        <v>10</v>
      </c>
      <c r="B60" s="172" t="s">
        <v>572</v>
      </c>
      <c r="C60" s="172" t="s">
        <v>579</v>
      </c>
      <c r="D60" s="172" t="s">
        <v>580</v>
      </c>
    </row>
    <row r="61" spans="1:4" ht="24" customHeight="1">
      <c r="A61" s="197" t="s">
        <v>5</v>
      </c>
      <c r="B61" s="172" t="s">
        <v>555</v>
      </c>
      <c r="C61" s="172" t="s">
        <v>581</v>
      </c>
      <c r="D61" s="172" t="s">
        <v>582</v>
      </c>
    </row>
    <row r="62" spans="1:4" ht="24" customHeight="1">
      <c r="A62" s="197" t="s">
        <v>5</v>
      </c>
      <c r="B62" s="172" t="s">
        <v>555</v>
      </c>
      <c r="C62" s="172" t="s">
        <v>583</v>
      </c>
      <c r="D62" s="172" t="s">
        <v>584</v>
      </c>
    </row>
    <row r="63" spans="1:4" ht="24" customHeight="1">
      <c r="A63" s="197" t="s">
        <v>5</v>
      </c>
      <c r="B63" s="172" t="s">
        <v>560</v>
      </c>
      <c r="C63" s="172" t="s">
        <v>585</v>
      </c>
      <c r="D63" s="172" t="s">
        <v>586</v>
      </c>
    </row>
    <row r="64" spans="1:4" ht="24" customHeight="1">
      <c r="A64" s="197" t="s">
        <v>5</v>
      </c>
      <c r="B64" s="172" t="s">
        <v>560</v>
      </c>
      <c r="C64" s="172" t="s">
        <v>587</v>
      </c>
      <c r="D64" s="172" t="s">
        <v>588</v>
      </c>
    </row>
    <row r="65" spans="1:4" ht="24" customHeight="1">
      <c r="A65" s="197" t="s">
        <v>5</v>
      </c>
      <c r="B65" s="172" t="s">
        <v>572</v>
      </c>
      <c r="C65" s="172" t="s">
        <v>589</v>
      </c>
      <c r="D65" s="172" t="s">
        <v>590</v>
      </c>
    </row>
    <row r="66" spans="1:4" ht="24" customHeight="1">
      <c r="A66" s="197" t="s">
        <v>5</v>
      </c>
      <c r="B66" s="172" t="s">
        <v>572</v>
      </c>
      <c r="C66" s="172" t="s">
        <v>591</v>
      </c>
      <c r="D66" s="172" t="s">
        <v>592</v>
      </c>
    </row>
    <row r="67" spans="1:4" ht="24" customHeight="1">
      <c r="A67" s="197" t="s">
        <v>5</v>
      </c>
      <c r="B67" s="172" t="s">
        <v>572</v>
      </c>
      <c r="C67" s="172" t="s">
        <v>593</v>
      </c>
      <c r="D67" s="172" t="s">
        <v>594</v>
      </c>
    </row>
    <row r="68" spans="1:4" ht="24" customHeight="1">
      <c r="A68" s="197" t="s">
        <v>5</v>
      </c>
      <c r="B68" s="172" t="s">
        <v>572</v>
      </c>
      <c r="C68" s="172" t="s">
        <v>595</v>
      </c>
      <c r="D68" s="172" t="s">
        <v>596</v>
      </c>
    </row>
    <row r="69" spans="1:4" ht="24" customHeight="1">
      <c r="A69" s="197" t="s">
        <v>5</v>
      </c>
      <c r="B69" s="172" t="s">
        <v>572</v>
      </c>
      <c r="C69" s="172" t="s">
        <v>597</v>
      </c>
      <c r="D69" s="172" t="s">
        <v>598</v>
      </c>
    </row>
    <row r="70" spans="1:4" ht="24" customHeight="1">
      <c r="A70" s="198" t="s">
        <v>6</v>
      </c>
      <c r="B70" s="172" t="s">
        <v>555</v>
      </c>
      <c r="C70" s="172" t="s">
        <v>599</v>
      </c>
      <c r="D70" s="172" t="s">
        <v>600</v>
      </c>
    </row>
    <row r="71" spans="1:4" ht="24" customHeight="1">
      <c r="A71" s="198" t="s">
        <v>6</v>
      </c>
      <c r="B71" s="172" t="s">
        <v>555</v>
      </c>
      <c r="C71" s="172" t="s">
        <v>601</v>
      </c>
      <c r="D71" s="172" t="s">
        <v>602</v>
      </c>
    </row>
    <row r="72" spans="1:4" ht="24" customHeight="1">
      <c r="A72" s="198" t="s">
        <v>6</v>
      </c>
      <c r="B72" s="172" t="s">
        <v>560</v>
      </c>
      <c r="C72" s="172" t="s">
        <v>603</v>
      </c>
      <c r="D72" s="172" t="s">
        <v>604</v>
      </c>
    </row>
    <row r="73" spans="1:4" ht="24" customHeight="1">
      <c r="A73" s="198" t="s">
        <v>6</v>
      </c>
      <c r="B73" s="172" t="s">
        <v>605</v>
      </c>
      <c r="C73" s="172" t="s">
        <v>606</v>
      </c>
      <c r="D73" s="172" t="s">
        <v>607</v>
      </c>
    </row>
    <row r="74" spans="1:4" ht="24" customHeight="1">
      <c r="A74" s="198" t="s">
        <v>6</v>
      </c>
      <c r="B74" s="172" t="s">
        <v>605</v>
      </c>
      <c r="C74" s="172" t="s">
        <v>608</v>
      </c>
      <c r="D74" s="172" t="s">
        <v>609</v>
      </c>
    </row>
    <row r="75" spans="1:4" ht="24" customHeight="1">
      <c r="A75" s="198" t="s">
        <v>6</v>
      </c>
      <c r="B75" s="172" t="s">
        <v>610</v>
      </c>
      <c r="C75" s="172" t="s">
        <v>611</v>
      </c>
      <c r="D75" s="172" t="s">
        <v>612</v>
      </c>
    </row>
    <row r="76" spans="1:4" ht="24" customHeight="1">
      <c r="A76" s="198" t="s">
        <v>6</v>
      </c>
      <c r="B76" s="172" t="s">
        <v>610</v>
      </c>
      <c r="C76" s="172" t="s">
        <v>613</v>
      </c>
      <c r="D76" s="172" t="s">
        <v>614</v>
      </c>
    </row>
    <row r="77" spans="1:4" ht="24" customHeight="1">
      <c r="A77" s="198" t="s">
        <v>6</v>
      </c>
      <c r="B77" s="172" t="s">
        <v>572</v>
      </c>
      <c r="C77" s="172" t="s">
        <v>615</v>
      </c>
      <c r="D77" s="172" t="s">
        <v>616</v>
      </c>
    </row>
    <row r="78" spans="1:4" ht="24" customHeight="1">
      <c r="A78" s="198" t="s">
        <v>6</v>
      </c>
      <c r="B78" s="172" t="s">
        <v>572</v>
      </c>
      <c r="C78" s="172" t="s">
        <v>617</v>
      </c>
      <c r="D78" s="172" t="s">
        <v>618</v>
      </c>
    </row>
    <row r="79" spans="1:4" ht="24" customHeight="1">
      <c r="A79" s="198" t="s">
        <v>6</v>
      </c>
      <c r="B79" s="172" t="s">
        <v>572</v>
      </c>
      <c r="C79" s="172" t="s">
        <v>619</v>
      </c>
      <c r="D79" s="172" t="s">
        <v>620</v>
      </c>
    </row>
    <row r="80" spans="1:4" ht="24" customHeight="1">
      <c r="A80" s="198" t="s">
        <v>6</v>
      </c>
      <c r="B80" s="172" t="s">
        <v>572</v>
      </c>
      <c r="C80" s="172" t="s">
        <v>621</v>
      </c>
      <c r="D80" s="172" t="s">
        <v>622</v>
      </c>
    </row>
    <row r="81" spans="1:4" ht="24" customHeight="1">
      <c r="A81" s="198" t="s">
        <v>6</v>
      </c>
      <c r="B81" s="172" t="s">
        <v>572</v>
      </c>
      <c r="C81" s="172" t="s">
        <v>623</v>
      </c>
      <c r="D81" s="172" t="s">
        <v>624</v>
      </c>
    </row>
    <row r="82" spans="1:4" ht="24" customHeight="1">
      <c r="A82" s="198" t="s">
        <v>6</v>
      </c>
      <c r="B82" s="172" t="s">
        <v>572</v>
      </c>
      <c r="C82" s="172" t="s">
        <v>625</v>
      </c>
      <c r="D82" s="172" t="s">
        <v>626</v>
      </c>
    </row>
    <row r="83" spans="1:4" ht="24" customHeight="1">
      <c r="A83" s="199" t="s">
        <v>4</v>
      </c>
      <c r="B83" s="172" t="s">
        <v>555</v>
      </c>
      <c r="C83" s="172" t="s">
        <v>488</v>
      </c>
      <c r="D83" s="172" t="s">
        <v>627</v>
      </c>
    </row>
    <row r="84" spans="1:4" ht="24" customHeight="1">
      <c r="A84" s="199" t="s">
        <v>4</v>
      </c>
      <c r="B84" s="172" t="s">
        <v>555</v>
      </c>
      <c r="C84" s="172" t="s">
        <v>628</v>
      </c>
      <c r="D84" s="172" t="s">
        <v>629</v>
      </c>
    </row>
    <row r="85" spans="1:4" ht="24" customHeight="1">
      <c r="A85" s="199" t="s">
        <v>4</v>
      </c>
      <c r="B85" s="172" t="s">
        <v>555</v>
      </c>
      <c r="C85" s="172" t="s">
        <v>630</v>
      </c>
      <c r="D85" s="172" t="s">
        <v>631</v>
      </c>
    </row>
    <row r="86" spans="1:4" ht="24" customHeight="1">
      <c r="A86" s="199" t="s">
        <v>4</v>
      </c>
      <c r="B86" s="172" t="s">
        <v>560</v>
      </c>
      <c r="C86" s="172" t="s">
        <v>632</v>
      </c>
      <c r="D86" s="172" t="s">
        <v>633</v>
      </c>
    </row>
    <row r="87" spans="1:4" ht="24" customHeight="1">
      <c r="A87" s="199" t="s">
        <v>4</v>
      </c>
      <c r="B87" s="172" t="s">
        <v>560</v>
      </c>
      <c r="C87" s="172" t="s">
        <v>634</v>
      </c>
      <c r="D87" s="172" t="s">
        <v>635</v>
      </c>
    </row>
    <row r="88" spans="1:4" ht="24" customHeight="1">
      <c r="A88" s="199" t="s">
        <v>4</v>
      </c>
      <c r="B88" s="172" t="s">
        <v>560</v>
      </c>
      <c r="C88" s="172" t="s">
        <v>636</v>
      </c>
      <c r="D88" s="172" t="s">
        <v>637</v>
      </c>
    </row>
    <row r="89" spans="1:4" ht="24" customHeight="1">
      <c r="A89" s="199" t="s">
        <v>4</v>
      </c>
      <c r="B89" s="172" t="s">
        <v>560</v>
      </c>
      <c r="C89" s="172" t="s">
        <v>638</v>
      </c>
      <c r="D89" s="172" t="s">
        <v>639</v>
      </c>
    </row>
    <row r="90" spans="1:4" ht="24" customHeight="1">
      <c r="A90" s="199" t="s">
        <v>4</v>
      </c>
      <c r="B90" s="172" t="s">
        <v>560</v>
      </c>
      <c r="C90" s="172" t="s">
        <v>640</v>
      </c>
      <c r="D90" s="172" t="s">
        <v>641</v>
      </c>
    </row>
    <row r="91" spans="1:4" ht="24" customHeight="1">
      <c r="A91" s="199" t="s">
        <v>4</v>
      </c>
      <c r="B91" s="172" t="s">
        <v>642</v>
      </c>
      <c r="C91" s="172" t="s">
        <v>643</v>
      </c>
      <c r="D91" s="172" t="s">
        <v>644</v>
      </c>
    </row>
    <row r="92" spans="1:4" ht="24" customHeight="1">
      <c r="A92" s="199" t="s">
        <v>4</v>
      </c>
      <c r="B92" s="172" t="s">
        <v>642</v>
      </c>
      <c r="C92" s="172" t="s">
        <v>645</v>
      </c>
      <c r="D92" s="172" t="s">
        <v>646</v>
      </c>
    </row>
    <row r="93" spans="1:4" ht="24" customHeight="1">
      <c r="A93" s="199" t="s">
        <v>4</v>
      </c>
      <c r="B93" s="172" t="s">
        <v>572</v>
      </c>
      <c r="C93" s="172" t="s">
        <v>647</v>
      </c>
      <c r="D93" s="172" t="s">
        <v>648</v>
      </c>
    </row>
    <row r="94" spans="1:4" ht="24" customHeight="1">
      <c r="A94" s="199" t="s">
        <v>4</v>
      </c>
      <c r="B94" s="172" t="s">
        <v>572</v>
      </c>
      <c r="C94" s="172" t="s">
        <v>649</v>
      </c>
      <c r="D94" s="172" t="s">
        <v>650</v>
      </c>
    </row>
    <row r="95" spans="1:4" ht="24" customHeight="1">
      <c r="A95" s="199" t="s">
        <v>4</v>
      </c>
      <c r="B95" s="172" t="s">
        <v>651</v>
      </c>
      <c r="C95" s="172" t="s">
        <v>652</v>
      </c>
      <c r="D95" s="172" t="s">
        <v>653</v>
      </c>
    </row>
    <row r="96" spans="1:4" ht="24" customHeight="1">
      <c r="A96" s="199" t="s">
        <v>4</v>
      </c>
      <c r="B96" s="172" t="s">
        <v>651</v>
      </c>
      <c r="C96" s="172" t="s">
        <v>654</v>
      </c>
      <c r="D96" s="172" t="s">
        <v>655</v>
      </c>
    </row>
    <row r="97" spans="1:4" ht="24" customHeight="1">
      <c r="A97" s="199" t="s">
        <v>4</v>
      </c>
      <c r="B97" s="172" t="s">
        <v>651</v>
      </c>
      <c r="C97" s="172" t="s">
        <v>656</v>
      </c>
      <c r="D97" s="172" t="s">
        <v>657</v>
      </c>
    </row>
    <row r="98" spans="1:4" ht="24" customHeight="1">
      <c r="A98" s="199" t="s">
        <v>4</v>
      </c>
      <c r="B98" s="172" t="s">
        <v>651</v>
      </c>
      <c r="C98" s="172" t="s">
        <v>658</v>
      </c>
      <c r="D98" s="172" t="s">
        <v>659</v>
      </c>
    </row>
    <row r="99" spans="1:4" ht="24" customHeight="1">
      <c r="A99" s="199" t="s">
        <v>4</v>
      </c>
      <c r="B99" s="172" t="s">
        <v>651</v>
      </c>
      <c r="C99" s="172" t="s">
        <v>660</v>
      </c>
      <c r="D99" s="172" t="s">
        <v>661</v>
      </c>
    </row>
    <row r="100" spans="1:4" ht="24" customHeight="1">
      <c r="A100" s="199" t="s">
        <v>4</v>
      </c>
      <c r="B100" s="172" t="s">
        <v>651</v>
      </c>
      <c r="C100" s="172" t="s">
        <v>662</v>
      </c>
      <c r="D100" s="172" t="s">
        <v>663</v>
      </c>
    </row>
    <row r="101" spans="1:4" ht="24" customHeight="1">
      <c r="A101" s="200" t="s">
        <v>9</v>
      </c>
      <c r="B101" s="172" t="s">
        <v>664</v>
      </c>
      <c r="C101" s="172" t="s">
        <v>665</v>
      </c>
      <c r="D101" s="172" t="s">
        <v>666</v>
      </c>
    </row>
    <row r="102" spans="1:4" ht="24" customHeight="1">
      <c r="A102" s="200" t="s">
        <v>9</v>
      </c>
      <c r="B102" s="172" t="s">
        <v>664</v>
      </c>
      <c r="C102" s="172" t="s">
        <v>667</v>
      </c>
      <c r="D102" s="172" t="s">
        <v>668</v>
      </c>
    </row>
    <row r="103" spans="1:4" ht="24" customHeight="1">
      <c r="A103" s="200" t="s">
        <v>9</v>
      </c>
      <c r="B103" s="172" t="s">
        <v>664</v>
      </c>
      <c r="C103" s="172" t="s">
        <v>669</v>
      </c>
      <c r="D103" s="172" t="s">
        <v>670</v>
      </c>
    </row>
    <row r="104" spans="1:4" ht="24" customHeight="1">
      <c r="A104" s="200" t="s">
        <v>9</v>
      </c>
      <c r="B104" s="172" t="s">
        <v>664</v>
      </c>
      <c r="C104" s="172" t="s">
        <v>671</v>
      </c>
      <c r="D104" s="172" t="s">
        <v>672</v>
      </c>
    </row>
    <row r="105" spans="1:4" ht="24" customHeight="1">
      <c r="A105" s="200" t="s">
        <v>9</v>
      </c>
      <c r="B105" s="172" t="s">
        <v>673</v>
      </c>
      <c r="C105" s="172" t="s">
        <v>674</v>
      </c>
      <c r="D105" s="172" t="s">
        <v>675</v>
      </c>
    </row>
    <row r="106" spans="1:4" ht="24" customHeight="1">
      <c r="A106" s="200" t="s">
        <v>9</v>
      </c>
      <c r="B106" s="172" t="s">
        <v>673</v>
      </c>
      <c r="C106" s="172" t="s">
        <v>676</v>
      </c>
      <c r="D106" s="172" t="s">
        <v>677</v>
      </c>
    </row>
    <row r="107" spans="1:4" ht="24" customHeight="1">
      <c r="A107" s="200" t="s">
        <v>9</v>
      </c>
      <c r="B107" s="172" t="s">
        <v>673</v>
      </c>
      <c r="C107" s="172" t="s">
        <v>678</v>
      </c>
      <c r="D107" s="172" t="s">
        <v>679</v>
      </c>
    </row>
    <row r="108" spans="1:4" ht="24" customHeight="1">
      <c r="A108" s="200" t="s">
        <v>9</v>
      </c>
      <c r="B108" s="172" t="s">
        <v>673</v>
      </c>
      <c r="C108" s="172" t="s">
        <v>680</v>
      </c>
      <c r="D108" s="172" t="s">
        <v>681</v>
      </c>
    </row>
    <row r="109" spans="1:4" ht="24" customHeight="1">
      <c r="A109" s="200" t="s">
        <v>9</v>
      </c>
      <c r="B109" s="172" t="s">
        <v>673</v>
      </c>
      <c r="C109" s="172" t="s">
        <v>682</v>
      </c>
      <c r="D109" s="172" t="s">
        <v>683</v>
      </c>
    </row>
    <row r="110" spans="1:4" ht="24" customHeight="1">
      <c r="A110" s="200" t="s">
        <v>9</v>
      </c>
      <c r="B110" s="172" t="s">
        <v>673</v>
      </c>
      <c r="C110" s="172" t="s">
        <v>684</v>
      </c>
      <c r="D110" s="172" t="s">
        <v>685</v>
      </c>
    </row>
    <row r="111" spans="1:4" ht="24" customHeight="1">
      <c r="A111" s="200" t="s">
        <v>9</v>
      </c>
      <c r="B111" s="172" t="s">
        <v>673</v>
      </c>
      <c r="C111" s="172" t="s">
        <v>686</v>
      </c>
      <c r="D111" s="172" t="s">
        <v>687</v>
      </c>
    </row>
    <row r="112" spans="1:4" ht="24" customHeight="1">
      <c r="A112" s="200" t="s">
        <v>9</v>
      </c>
      <c r="B112" s="172" t="s">
        <v>673</v>
      </c>
      <c r="C112" s="172" t="s">
        <v>688</v>
      </c>
      <c r="D112" s="172" t="s">
        <v>689</v>
      </c>
    </row>
    <row r="113" spans="1:4" ht="24" customHeight="1">
      <c r="A113" s="201" t="s">
        <v>8</v>
      </c>
      <c r="B113" s="172" t="s">
        <v>690</v>
      </c>
      <c r="C113" s="172" t="s">
        <v>691</v>
      </c>
      <c r="D113" s="172" t="s">
        <v>692</v>
      </c>
    </row>
    <row r="114" spans="1:4" ht="24" customHeight="1">
      <c r="A114" s="201" t="s">
        <v>8</v>
      </c>
      <c r="B114" s="172" t="s">
        <v>690</v>
      </c>
      <c r="C114" s="172" t="s">
        <v>693</v>
      </c>
      <c r="D114" s="172" t="s">
        <v>694</v>
      </c>
    </row>
    <row r="115" spans="1:4" ht="24" customHeight="1">
      <c r="A115" s="201" t="s">
        <v>8</v>
      </c>
      <c r="B115" s="172" t="s">
        <v>690</v>
      </c>
      <c r="C115" s="172" t="s">
        <v>695</v>
      </c>
      <c r="D115" s="172" t="s">
        <v>696</v>
      </c>
    </row>
    <row r="116" spans="1:4" ht="24" customHeight="1">
      <c r="A116" s="201" t="s">
        <v>8</v>
      </c>
      <c r="B116" s="172" t="s">
        <v>690</v>
      </c>
      <c r="C116" s="172" t="s">
        <v>697</v>
      </c>
      <c r="D116" s="172" t="s">
        <v>698</v>
      </c>
    </row>
    <row r="117" spans="1:4" ht="24" customHeight="1">
      <c r="A117" s="201" t="s">
        <v>8</v>
      </c>
      <c r="B117" s="172" t="s">
        <v>699</v>
      </c>
      <c r="C117" s="172" t="s">
        <v>700</v>
      </c>
      <c r="D117" s="172" t="s">
        <v>701</v>
      </c>
    </row>
    <row r="118" spans="1:4" ht="24" customHeight="1">
      <c r="A118" s="201" t="s">
        <v>8</v>
      </c>
      <c r="B118" s="172" t="s">
        <v>699</v>
      </c>
      <c r="C118" s="172" t="s">
        <v>702</v>
      </c>
      <c r="D118" s="172" t="s">
        <v>703</v>
      </c>
    </row>
    <row r="119" spans="1:4" ht="24" customHeight="1">
      <c r="A119" s="201" t="s">
        <v>8</v>
      </c>
      <c r="B119" s="172" t="s">
        <v>699</v>
      </c>
      <c r="C119" s="172" t="s">
        <v>704</v>
      </c>
      <c r="D119" s="172" t="s">
        <v>705</v>
      </c>
    </row>
    <row r="120" spans="1:4" ht="24" customHeight="1">
      <c r="A120" s="201" t="s">
        <v>8</v>
      </c>
      <c r="B120" s="172" t="s">
        <v>699</v>
      </c>
      <c r="C120" s="172" t="s">
        <v>706</v>
      </c>
      <c r="D120" s="172" t="s">
        <v>707</v>
      </c>
    </row>
    <row r="121" spans="1:4" ht="24" customHeight="1">
      <c r="A121" s="201" t="s">
        <v>8</v>
      </c>
      <c r="B121" s="172" t="s">
        <v>708</v>
      </c>
      <c r="C121" s="172" t="s">
        <v>709</v>
      </c>
      <c r="D121" s="172" t="s">
        <v>710</v>
      </c>
    </row>
    <row r="122" spans="1:4" ht="24" customHeight="1">
      <c r="A122" s="201" t="s">
        <v>8</v>
      </c>
      <c r="B122" s="172" t="s">
        <v>708</v>
      </c>
      <c r="C122" s="172" t="s">
        <v>711</v>
      </c>
      <c r="D122" s="172" t="s">
        <v>712</v>
      </c>
    </row>
    <row r="123" spans="1:4" ht="24" customHeight="1">
      <c r="A123" s="201" t="s">
        <v>8</v>
      </c>
      <c r="B123" s="172" t="s">
        <v>708</v>
      </c>
      <c r="C123" s="172" t="s">
        <v>713</v>
      </c>
      <c r="D123" s="172" t="s">
        <v>714</v>
      </c>
    </row>
    <row r="124" spans="1:4" ht="24" customHeight="1">
      <c r="A124" s="201" t="s">
        <v>8</v>
      </c>
      <c r="B124" s="172" t="s">
        <v>708</v>
      </c>
      <c r="C124" s="172" t="s">
        <v>715</v>
      </c>
      <c r="D124" s="172" t="s">
        <v>716</v>
      </c>
    </row>
    <row r="125" spans="1:4" ht="24" customHeight="1">
      <c r="A125" s="201" t="s">
        <v>8</v>
      </c>
      <c r="B125" s="172" t="s">
        <v>717</v>
      </c>
      <c r="C125" s="172" t="s">
        <v>718</v>
      </c>
      <c r="D125" s="172" t="s">
        <v>719</v>
      </c>
    </row>
    <row r="126" spans="1:4" ht="24" customHeight="1">
      <c r="A126" s="201" t="s">
        <v>8</v>
      </c>
      <c r="B126" s="172" t="s">
        <v>717</v>
      </c>
      <c r="C126" s="172" t="s">
        <v>720</v>
      </c>
      <c r="D126" s="172" t="s">
        <v>721</v>
      </c>
    </row>
    <row r="127" spans="1:4" ht="24" customHeight="1">
      <c r="A127" s="201" t="s">
        <v>8</v>
      </c>
      <c r="B127" s="172" t="s">
        <v>717</v>
      </c>
      <c r="C127" s="172" t="s">
        <v>722</v>
      </c>
      <c r="D127" s="172" t="s">
        <v>723</v>
      </c>
    </row>
    <row r="128" spans="1:4" ht="24" customHeight="1">
      <c r="A128" s="201" t="s">
        <v>8</v>
      </c>
      <c r="B128" s="172" t="s">
        <v>717</v>
      </c>
      <c r="C128" s="172" t="s">
        <v>724</v>
      </c>
      <c r="D128" s="172" t="s">
        <v>725</v>
      </c>
    </row>
    <row r="129" spans="1:4" ht="24" customHeight="1">
      <c r="A129" s="201" t="s">
        <v>8</v>
      </c>
      <c r="B129" s="172" t="s">
        <v>726</v>
      </c>
      <c r="C129" s="172" t="s">
        <v>727</v>
      </c>
      <c r="D129" s="172" t="s">
        <v>728</v>
      </c>
    </row>
    <row r="130" spans="1:4" ht="24" customHeight="1">
      <c r="A130" s="201" t="s">
        <v>8</v>
      </c>
      <c r="B130" s="172" t="s">
        <v>726</v>
      </c>
      <c r="C130" s="172" t="s">
        <v>729</v>
      </c>
      <c r="D130" s="172" t="s">
        <v>730</v>
      </c>
    </row>
    <row r="131" spans="1:4" ht="24" customHeight="1">
      <c r="A131" s="201" t="s">
        <v>8</v>
      </c>
      <c r="B131" s="172" t="s">
        <v>726</v>
      </c>
      <c r="C131" s="172" t="s">
        <v>731</v>
      </c>
      <c r="D131" s="172" t="s">
        <v>732</v>
      </c>
    </row>
    <row r="132" spans="1:4" ht="24" customHeight="1">
      <c r="A132" s="201" t="s">
        <v>8</v>
      </c>
      <c r="B132" s="172" t="s">
        <v>726</v>
      </c>
      <c r="C132" s="172" t="s">
        <v>733</v>
      </c>
      <c r="D132" s="172" t="s">
        <v>734</v>
      </c>
    </row>
    <row r="133" spans="1:4" ht="24" customHeight="1">
      <c r="A133" s="202" t="s">
        <v>447</v>
      </c>
      <c r="B133" s="172" t="s">
        <v>735</v>
      </c>
      <c r="C133" s="172" t="s">
        <v>736</v>
      </c>
      <c r="D133" s="172" t="s">
        <v>737</v>
      </c>
    </row>
    <row r="134" spans="1:4" ht="24" customHeight="1">
      <c r="A134" s="202" t="s">
        <v>447</v>
      </c>
      <c r="B134" s="172" t="s">
        <v>735</v>
      </c>
      <c r="C134" s="172" t="s">
        <v>738</v>
      </c>
      <c r="D134" s="172" t="s">
        <v>739</v>
      </c>
    </row>
    <row r="135" spans="1:4" ht="24" customHeight="1">
      <c r="A135" s="202" t="s">
        <v>447</v>
      </c>
      <c r="B135" s="172" t="s">
        <v>735</v>
      </c>
      <c r="C135" s="172" t="s">
        <v>740</v>
      </c>
      <c r="D135" s="172" t="s">
        <v>741</v>
      </c>
    </row>
    <row r="136" spans="1:4" ht="24" customHeight="1">
      <c r="A136" s="202" t="s">
        <v>447</v>
      </c>
      <c r="B136" s="172" t="s">
        <v>742</v>
      </c>
      <c r="C136" s="172" t="s">
        <v>743</v>
      </c>
      <c r="D136" s="172" t="s">
        <v>744</v>
      </c>
    </row>
    <row r="137" spans="1:4" ht="24" customHeight="1">
      <c r="A137" s="202" t="s">
        <v>447</v>
      </c>
      <c r="B137" s="172" t="s">
        <v>742</v>
      </c>
      <c r="C137" s="172" t="s">
        <v>745</v>
      </c>
      <c r="D137" s="172" t="s">
        <v>746</v>
      </c>
    </row>
    <row r="138" spans="1:4" ht="24" customHeight="1">
      <c r="A138" s="202" t="s">
        <v>447</v>
      </c>
      <c r="B138" s="172" t="s">
        <v>742</v>
      </c>
      <c r="C138" s="172" t="s">
        <v>747</v>
      </c>
      <c r="D138" s="172" t="s">
        <v>748</v>
      </c>
    </row>
    <row r="139" spans="1:4" ht="24" customHeight="1">
      <c r="A139" s="202" t="s">
        <v>447</v>
      </c>
      <c r="B139" s="172" t="s">
        <v>742</v>
      </c>
      <c r="C139" s="172" t="s">
        <v>749</v>
      </c>
      <c r="D139" s="172" t="s">
        <v>750</v>
      </c>
    </row>
    <row r="140" spans="1:4" ht="24" customHeight="1">
      <c r="A140" s="202" t="s">
        <v>447</v>
      </c>
      <c r="B140" s="172" t="s">
        <v>742</v>
      </c>
      <c r="C140" s="172" t="s">
        <v>751</v>
      </c>
      <c r="D140" s="172" t="s">
        <v>752</v>
      </c>
    </row>
    <row r="141" spans="1:4" ht="24" customHeight="1">
      <c r="A141" s="202" t="s">
        <v>447</v>
      </c>
      <c r="B141" s="172" t="s">
        <v>753</v>
      </c>
      <c r="C141" s="172" t="s">
        <v>754</v>
      </c>
      <c r="D141" s="172" t="s">
        <v>755</v>
      </c>
    </row>
    <row r="142" spans="1:4" ht="24" customHeight="1">
      <c r="A142" s="202" t="s">
        <v>447</v>
      </c>
      <c r="B142" s="172" t="s">
        <v>753</v>
      </c>
      <c r="C142" s="172" t="s">
        <v>756</v>
      </c>
      <c r="D142" s="172" t="s">
        <v>757</v>
      </c>
    </row>
    <row r="143" spans="1:4" ht="24" customHeight="1">
      <c r="A143" s="202" t="s">
        <v>447</v>
      </c>
      <c r="B143" s="172" t="s">
        <v>753</v>
      </c>
      <c r="C143" s="172" t="s">
        <v>758</v>
      </c>
      <c r="D143" s="172" t="s">
        <v>759</v>
      </c>
    </row>
    <row r="144" spans="1:4" ht="24" customHeight="1">
      <c r="A144" s="202" t="s">
        <v>447</v>
      </c>
      <c r="B144" s="172" t="s">
        <v>753</v>
      </c>
      <c r="C144" s="172" t="s">
        <v>760</v>
      </c>
      <c r="D144" s="172" t="s">
        <v>761</v>
      </c>
    </row>
    <row r="145" spans="1:4" ht="24" customHeight="1">
      <c r="A145" s="202" t="s">
        <v>447</v>
      </c>
      <c r="B145" s="172" t="s">
        <v>753</v>
      </c>
      <c r="C145" s="172" t="s">
        <v>762</v>
      </c>
      <c r="D145" s="172" t="s">
        <v>763</v>
      </c>
    </row>
    <row r="146" spans="1:4" ht="24" customHeight="1">
      <c r="A146" s="202" t="s">
        <v>447</v>
      </c>
      <c r="B146" s="172" t="s">
        <v>764</v>
      </c>
      <c r="C146" s="172" t="s">
        <v>765</v>
      </c>
      <c r="D146" s="172" t="s">
        <v>766</v>
      </c>
    </row>
    <row r="147" spans="1:4" ht="24" customHeight="1">
      <c r="A147" s="202" t="s">
        <v>447</v>
      </c>
      <c r="B147" s="172" t="s">
        <v>764</v>
      </c>
      <c r="C147" s="172" t="s">
        <v>767</v>
      </c>
      <c r="D147" s="172" t="s">
        <v>768</v>
      </c>
    </row>
    <row r="148" spans="1:4" ht="24" customHeight="1">
      <c r="A148" s="202" t="s">
        <v>447</v>
      </c>
      <c r="B148" s="172" t="s">
        <v>764</v>
      </c>
      <c r="C148" s="172" t="s">
        <v>769</v>
      </c>
      <c r="D148" s="172" t="s">
        <v>770</v>
      </c>
    </row>
    <row r="149" spans="1:4" ht="24" customHeight="1">
      <c r="A149" s="202" t="s">
        <v>447</v>
      </c>
      <c r="B149" s="172" t="s">
        <v>764</v>
      </c>
      <c r="C149" s="172" t="s">
        <v>771</v>
      </c>
      <c r="D149" s="172" t="s">
        <v>772</v>
      </c>
    </row>
    <row r="150" spans="1:4" ht="24" customHeight="1">
      <c r="A150" s="202" t="s">
        <v>447</v>
      </c>
      <c r="B150" s="172" t="s">
        <v>764</v>
      </c>
      <c r="C150" s="172" t="s">
        <v>773</v>
      </c>
      <c r="D150" s="172" t="s">
        <v>774</v>
      </c>
    </row>
    <row r="151" spans="1:4" ht="24" customHeight="1">
      <c r="A151" s="202" t="s">
        <v>447</v>
      </c>
      <c r="B151" s="172" t="s">
        <v>764</v>
      </c>
      <c r="C151" s="172" t="s">
        <v>775</v>
      </c>
      <c r="D151" s="172" t="s">
        <v>776</v>
      </c>
    </row>
    <row r="152" spans="1:4" ht="24" customHeight="1">
      <c r="A152" s="202" t="s">
        <v>447</v>
      </c>
      <c r="B152" s="172" t="s">
        <v>764</v>
      </c>
      <c r="C152" s="172" t="s">
        <v>777</v>
      </c>
      <c r="D152" s="172" t="s">
        <v>778</v>
      </c>
    </row>
    <row r="153" spans="1:4" ht="24" customHeight="1">
      <c r="A153" s="202" t="s">
        <v>447</v>
      </c>
      <c r="B153" s="172" t="s">
        <v>764</v>
      </c>
      <c r="C153" s="172" t="s">
        <v>779</v>
      </c>
      <c r="D153" s="172" t="s">
        <v>780</v>
      </c>
    </row>
    <row r="154" spans="1:4" ht="24" customHeight="1">
      <c r="A154" s="202" t="s">
        <v>447</v>
      </c>
      <c r="B154" s="172" t="s">
        <v>781</v>
      </c>
      <c r="C154" s="172" t="s">
        <v>782</v>
      </c>
      <c r="D154" s="172" t="s">
        <v>783</v>
      </c>
    </row>
    <row r="155" spans="1:4" ht="24" customHeight="1">
      <c r="A155" s="202" t="s">
        <v>447</v>
      </c>
      <c r="B155" s="172" t="s">
        <v>781</v>
      </c>
      <c r="C155" s="172" t="s">
        <v>784</v>
      </c>
      <c r="D155" s="172" t="s">
        <v>785</v>
      </c>
    </row>
    <row r="156" spans="1:4" ht="24" customHeight="1">
      <c r="A156" s="202" t="s">
        <v>447</v>
      </c>
      <c r="B156" s="172" t="s">
        <v>781</v>
      </c>
      <c r="C156" s="172" t="s">
        <v>786</v>
      </c>
      <c r="D156" s="172" t="s">
        <v>787</v>
      </c>
    </row>
    <row r="157" spans="1:4" ht="24" customHeight="1">
      <c r="A157" s="202" t="s">
        <v>447</v>
      </c>
      <c r="B157" s="172" t="s">
        <v>781</v>
      </c>
      <c r="C157" s="172" t="s">
        <v>788</v>
      </c>
      <c r="D157" s="172" t="s">
        <v>789</v>
      </c>
    </row>
    <row r="158" spans="1:4" ht="24" customHeight="1">
      <c r="A158" s="202" t="s">
        <v>447</v>
      </c>
      <c r="B158" s="172" t="s">
        <v>790</v>
      </c>
      <c r="C158" s="172" t="s">
        <v>791</v>
      </c>
      <c r="D158" s="172" t="s">
        <v>792</v>
      </c>
    </row>
    <row r="159" spans="1:4" ht="24" customHeight="1">
      <c r="A159" s="202" t="s">
        <v>447</v>
      </c>
      <c r="B159" s="172" t="s">
        <v>790</v>
      </c>
      <c r="C159" s="172" t="s">
        <v>793</v>
      </c>
      <c r="D159" s="172" t="s">
        <v>794</v>
      </c>
    </row>
  </sheetData>
  <mergeCells count="1">
    <mergeCell ref="A1:D1"/>
  </mergeCells>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7EC3E-3F2C-46D7-8FD4-4BD5111722DF}">
  <sheetPr codeName="Sheet9">
    <tabColor rgb="FF866828"/>
  </sheetPr>
  <dimension ref="A1:F231"/>
  <sheetViews>
    <sheetView workbookViewId="0"/>
  </sheetViews>
  <sheetFormatPr defaultRowHeight="14.4"/>
  <cols>
    <col min="1" max="1" width="10.77734375" style="9" customWidth="1"/>
    <col min="2" max="2" width="22.77734375" style="9" customWidth="1"/>
    <col min="3" max="3" width="18.77734375" style="9" customWidth="1"/>
    <col min="4" max="4" width="74.77734375" style="9" customWidth="1"/>
    <col min="5" max="5" width="12.77734375" style="9" customWidth="1"/>
    <col min="6" max="6" width="18.77734375" style="9" customWidth="1"/>
    <col min="7" max="16384" width="8.88671875" style="9"/>
  </cols>
  <sheetData>
    <row r="1" spans="1:6" ht="24" customHeight="1">
      <c r="A1" s="192" t="s">
        <v>795</v>
      </c>
      <c r="B1" s="192"/>
      <c r="C1" s="192"/>
      <c r="D1" s="192"/>
      <c r="E1" s="192"/>
      <c r="F1" s="192"/>
    </row>
    <row r="2" spans="1:6" ht="24" customHeight="1">
      <c r="A2" s="171" t="s">
        <v>451</v>
      </c>
      <c r="B2" s="171" t="s">
        <v>453</v>
      </c>
      <c r="C2" s="171" t="s">
        <v>73</v>
      </c>
      <c r="D2" s="171" t="s">
        <v>125</v>
      </c>
      <c r="E2" s="171" t="s">
        <v>126</v>
      </c>
      <c r="F2" s="171" t="s">
        <v>127</v>
      </c>
    </row>
    <row r="3" spans="1:6" ht="24" customHeight="1">
      <c r="A3" s="193" t="s">
        <v>455</v>
      </c>
      <c r="B3" s="172" t="s">
        <v>796</v>
      </c>
      <c r="C3" s="172" t="s">
        <v>797</v>
      </c>
      <c r="D3" s="172" t="s">
        <v>798</v>
      </c>
      <c r="E3" s="172" t="s">
        <v>799</v>
      </c>
      <c r="F3" s="172" t="s">
        <v>800</v>
      </c>
    </row>
    <row r="4" spans="1:6" ht="24" customHeight="1">
      <c r="A4" s="193" t="s">
        <v>455</v>
      </c>
      <c r="B4" s="172" t="s">
        <v>796</v>
      </c>
      <c r="C4" s="172" t="s">
        <v>801</v>
      </c>
      <c r="D4" s="172" t="s">
        <v>802</v>
      </c>
      <c r="E4" s="172" t="s">
        <v>799</v>
      </c>
      <c r="F4" s="172" t="s">
        <v>803</v>
      </c>
    </row>
    <row r="5" spans="1:6" ht="24" customHeight="1">
      <c r="A5" s="193" t="s">
        <v>455</v>
      </c>
      <c r="B5" s="172" t="s">
        <v>796</v>
      </c>
      <c r="C5" s="172" t="s">
        <v>804</v>
      </c>
      <c r="D5" s="172" t="s">
        <v>805</v>
      </c>
      <c r="E5" s="172" t="s">
        <v>799</v>
      </c>
      <c r="F5" s="172" t="s">
        <v>806</v>
      </c>
    </row>
    <row r="6" spans="1:6" ht="24" customHeight="1">
      <c r="A6" s="193" t="s">
        <v>455</v>
      </c>
      <c r="B6" s="172" t="s">
        <v>796</v>
      </c>
      <c r="C6" s="172" t="s">
        <v>807</v>
      </c>
      <c r="D6" s="172" t="s">
        <v>808</v>
      </c>
      <c r="E6" s="172" t="s">
        <v>799</v>
      </c>
      <c r="F6" s="172" t="s">
        <v>809</v>
      </c>
    </row>
    <row r="7" spans="1:6" ht="24" customHeight="1">
      <c r="A7" s="193" t="s">
        <v>455</v>
      </c>
      <c r="B7" s="172" t="s">
        <v>796</v>
      </c>
      <c r="C7" s="172" t="s">
        <v>810</v>
      </c>
      <c r="D7" s="172" t="s">
        <v>811</v>
      </c>
      <c r="E7" s="172" t="s">
        <v>799</v>
      </c>
      <c r="F7" s="172" t="s">
        <v>806</v>
      </c>
    </row>
    <row r="8" spans="1:6" ht="24" customHeight="1">
      <c r="A8" s="193" t="s">
        <v>455</v>
      </c>
      <c r="B8" s="172" t="s">
        <v>812</v>
      </c>
      <c r="C8" s="172" t="s">
        <v>813</v>
      </c>
      <c r="D8" s="172" t="s">
        <v>814</v>
      </c>
      <c r="E8" s="172" t="s">
        <v>815</v>
      </c>
      <c r="F8" s="172" t="s">
        <v>816</v>
      </c>
    </row>
    <row r="9" spans="1:6" ht="24" customHeight="1">
      <c r="A9" s="193" t="s">
        <v>455</v>
      </c>
      <c r="B9" s="172" t="s">
        <v>812</v>
      </c>
      <c r="C9" s="172" t="s">
        <v>817</v>
      </c>
      <c r="D9" s="172" t="s">
        <v>818</v>
      </c>
      <c r="E9" s="172" t="s">
        <v>819</v>
      </c>
      <c r="F9" s="172"/>
    </row>
    <row r="10" spans="1:6" ht="24" customHeight="1">
      <c r="A10" s="193" t="s">
        <v>455</v>
      </c>
      <c r="B10" s="172" t="s">
        <v>812</v>
      </c>
      <c r="C10" s="172" t="s">
        <v>820</v>
      </c>
      <c r="D10" s="172" t="s">
        <v>821</v>
      </c>
      <c r="E10" s="172" t="s">
        <v>819</v>
      </c>
      <c r="F10" s="172"/>
    </row>
    <row r="11" spans="1:6" ht="24" customHeight="1">
      <c r="A11" s="193" t="s">
        <v>455</v>
      </c>
      <c r="B11" s="172" t="s">
        <v>822</v>
      </c>
      <c r="C11" s="172" t="s">
        <v>823</v>
      </c>
      <c r="D11" s="172" t="s">
        <v>824</v>
      </c>
      <c r="E11" s="172" t="s">
        <v>825</v>
      </c>
      <c r="F11" s="172" t="s">
        <v>826</v>
      </c>
    </row>
    <row r="12" spans="1:6" ht="24" customHeight="1">
      <c r="A12" s="193" t="s">
        <v>455</v>
      </c>
      <c r="B12" s="172" t="s">
        <v>822</v>
      </c>
      <c r="C12" s="172" t="s">
        <v>827</v>
      </c>
      <c r="D12" s="172" t="s">
        <v>828</v>
      </c>
      <c r="E12" s="172" t="s">
        <v>825</v>
      </c>
      <c r="F12" s="172" t="s">
        <v>829</v>
      </c>
    </row>
    <row r="13" spans="1:6" ht="24" customHeight="1">
      <c r="A13" s="193" t="s">
        <v>455</v>
      </c>
      <c r="B13" s="172" t="s">
        <v>830</v>
      </c>
      <c r="C13" s="172" t="s">
        <v>831</v>
      </c>
      <c r="D13" s="172" t="s">
        <v>832</v>
      </c>
      <c r="E13" s="172" t="s">
        <v>825</v>
      </c>
      <c r="F13" s="172" t="s">
        <v>833</v>
      </c>
    </row>
    <row r="14" spans="1:6" ht="24" customHeight="1">
      <c r="A14" s="193" t="s">
        <v>455</v>
      </c>
      <c r="B14" s="172" t="s">
        <v>830</v>
      </c>
      <c r="C14" s="172" t="s">
        <v>834</v>
      </c>
      <c r="D14" s="172" t="s">
        <v>835</v>
      </c>
      <c r="E14" s="172" t="s">
        <v>836</v>
      </c>
      <c r="F14" s="172" t="s">
        <v>837</v>
      </c>
    </row>
    <row r="15" spans="1:6" ht="24" customHeight="1">
      <c r="A15" s="193" t="s">
        <v>455</v>
      </c>
      <c r="B15" s="172" t="s">
        <v>830</v>
      </c>
      <c r="C15" s="172" t="s">
        <v>838</v>
      </c>
      <c r="D15" s="172" t="s">
        <v>839</v>
      </c>
      <c r="E15" s="172" t="s">
        <v>836</v>
      </c>
      <c r="F15" s="172" t="s">
        <v>840</v>
      </c>
    </row>
    <row r="16" spans="1:6" ht="24" customHeight="1">
      <c r="A16" s="193" t="s">
        <v>455</v>
      </c>
      <c r="B16" s="172" t="s">
        <v>830</v>
      </c>
      <c r="C16" s="172" t="s">
        <v>841</v>
      </c>
      <c r="D16" s="172" t="s">
        <v>842</v>
      </c>
      <c r="E16" s="172" t="s">
        <v>819</v>
      </c>
      <c r="F16" s="172" t="s">
        <v>800</v>
      </c>
    </row>
    <row r="17" spans="1:6" ht="24" customHeight="1">
      <c r="A17" s="195" t="s">
        <v>7</v>
      </c>
      <c r="B17" s="172" t="s">
        <v>843</v>
      </c>
      <c r="C17" s="172" t="s">
        <v>844</v>
      </c>
      <c r="D17" s="172" t="s">
        <v>845</v>
      </c>
      <c r="E17" s="172"/>
      <c r="F17" s="172" t="s">
        <v>826</v>
      </c>
    </row>
    <row r="18" spans="1:6" ht="24" customHeight="1">
      <c r="A18" s="195" t="s">
        <v>7</v>
      </c>
      <c r="B18" s="172" t="s">
        <v>843</v>
      </c>
      <c r="C18" s="172" t="s">
        <v>846</v>
      </c>
      <c r="D18" s="172" t="s">
        <v>847</v>
      </c>
      <c r="E18" s="172"/>
      <c r="F18" s="172" t="s">
        <v>848</v>
      </c>
    </row>
    <row r="19" spans="1:6" ht="24" customHeight="1">
      <c r="A19" s="195" t="s">
        <v>7</v>
      </c>
      <c r="B19" s="172" t="s">
        <v>843</v>
      </c>
      <c r="C19" s="172" t="s">
        <v>849</v>
      </c>
      <c r="D19" s="172" t="s">
        <v>850</v>
      </c>
      <c r="E19" s="172"/>
      <c r="F19" s="172" t="s">
        <v>851</v>
      </c>
    </row>
    <row r="20" spans="1:6" ht="24" customHeight="1">
      <c r="A20" s="195" t="s">
        <v>7</v>
      </c>
      <c r="B20" s="172" t="s">
        <v>843</v>
      </c>
      <c r="C20" s="172" t="s">
        <v>852</v>
      </c>
      <c r="D20" s="172" t="s">
        <v>853</v>
      </c>
      <c r="E20" s="172"/>
      <c r="F20" s="172" t="s">
        <v>851</v>
      </c>
    </row>
    <row r="21" spans="1:6" ht="24" customHeight="1">
      <c r="A21" s="194" t="s">
        <v>3</v>
      </c>
      <c r="B21" s="172" t="s">
        <v>854</v>
      </c>
      <c r="C21" s="172" t="s">
        <v>855</v>
      </c>
      <c r="D21" s="172" t="s">
        <v>856</v>
      </c>
      <c r="E21" s="172" t="s">
        <v>857</v>
      </c>
      <c r="F21" s="172" t="s">
        <v>826</v>
      </c>
    </row>
    <row r="22" spans="1:6" ht="24" customHeight="1">
      <c r="A22" s="194" t="s">
        <v>3</v>
      </c>
      <c r="B22" s="172" t="s">
        <v>854</v>
      </c>
      <c r="C22" s="172" t="s">
        <v>858</v>
      </c>
      <c r="D22" s="172" t="s">
        <v>859</v>
      </c>
      <c r="E22" s="172" t="s">
        <v>857</v>
      </c>
      <c r="F22" s="172" t="s">
        <v>826</v>
      </c>
    </row>
    <row r="23" spans="1:6" ht="24" customHeight="1">
      <c r="A23" s="194" t="s">
        <v>3</v>
      </c>
      <c r="B23" s="172" t="s">
        <v>854</v>
      </c>
      <c r="C23" s="172" t="s">
        <v>860</v>
      </c>
      <c r="D23" s="172" t="s">
        <v>861</v>
      </c>
      <c r="E23" s="172" t="s">
        <v>799</v>
      </c>
      <c r="F23" s="172" t="s">
        <v>800</v>
      </c>
    </row>
    <row r="24" spans="1:6" ht="24" customHeight="1">
      <c r="A24" s="194" t="s">
        <v>3</v>
      </c>
      <c r="B24" s="172" t="s">
        <v>862</v>
      </c>
      <c r="C24" s="172" t="s">
        <v>863</v>
      </c>
      <c r="D24" s="172" t="s">
        <v>864</v>
      </c>
      <c r="E24" s="172" t="s">
        <v>836</v>
      </c>
      <c r="F24" s="172" t="s">
        <v>829</v>
      </c>
    </row>
    <row r="25" spans="1:6" ht="24" customHeight="1">
      <c r="A25" s="194" t="s">
        <v>3</v>
      </c>
      <c r="B25" s="172" t="s">
        <v>865</v>
      </c>
      <c r="C25" s="172" t="s">
        <v>866</v>
      </c>
      <c r="D25" s="172" t="s">
        <v>867</v>
      </c>
      <c r="E25" s="172" t="s">
        <v>868</v>
      </c>
      <c r="F25" s="172" t="s">
        <v>826</v>
      </c>
    </row>
    <row r="26" spans="1:6" ht="24" customHeight="1">
      <c r="A26" s="194" t="s">
        <v>3</v>
      </c>
      <c r="B26" s="172" t="s">
        <v>865</v>
      </c>
      <c r="C26" s="172" t="s">
        <v>869</v>
      </c>
      <c r="D26" s="172" t="s">
        <v>870</v>
      </c>
      <c r="E26" s="172" t="s">
        <v>871</v>
      </c>
      <c r="F26" s="172" t="s">
        <v>872</v>
      </c>
    </row>
    <row r="27" spans="1:6" ht="24" customHeight="1">
      <c r="A27" s="194" t="s">
        <v>3</v>
      </c>
      <c r="B27" s="172" t="s">
        <v>865</v>
      </c>
      <c r="C27" s="172" t="s">
        <v>873</v>
      </c>
      <c r="D27" s="172" t="s">
        <v>874</v>
      </c>
      <c r="E27" s="172" t="s">
        <v>875</v>
      </c>
      <c r="F27" s="172" t="s">
        <v>876</v>
      </c>
    </row>
    <row r="28" spans="1:6" ht="24" customHeight="1">
      <c r="A28" s="194" t="s">
        <v>3</v>
      </c>
      <c r="B28" s="172" t="s">
        <v>865</v>
      </c>
      <c r="C28" s="172" t="s">
        <v>877</v>
      </c>
      <c r="D28" s="172" t="s">
        <v>878</v>
      </c>
      <c r="E28" s="172" t="s">
        <v>857</v>
      </c>
      <c r="F28" s="172" t="s">
        <v>879</v>
      </c>
    </row>
    <row r="29" spans="1:6" ht="24" customHeight="1">
      <c r="A29" s="194" t="s">
        <v>3</v>
      </c>
      <c r="B29" s="172" t="s">
        <v>865</v>
      </c>
      <c r="C29" s="172" t="s">
        <v>880</v>
      </c>
      <c r="D29" s="172" t="s">
        <v>881</v>
      </c>
      <c r="E29" s="172" t="s">
        <v>815</v>
      </c>
      <c r="F29" s="172" t="s">
        <v>833</v>
      </c>
    </row>
    <row r="30" spans="1:6" ht="24" customHeight="1">
      <c r="A30" s="194" t="s">
        <v>3</v>
      </c>
      <c r="B30" s="172" t="s">
        <v>882</v>
      </c>
      <c r="C30" s="172" t="s">
        <v>883</v>
      </c>
      <c r="D30" s="172" t="s">
        <v>884</v>
      </c>
      <c r="E30" s="172" t="s">
        <v>799</v>
      </c>
      <c r="F30" s="172" t="s">
        <v>837</v>
      </c>
    </row>
    <row r="31" spans="1:6" ht="24" customHeight="1">
      <c r="A31" s="194" t="s">
        <v>3</v>
      </c>
      <c r="B31" s="172" t="s">
        <v>882</v>
      </c>
      <c r="C31" s="172" t="s">
        <v>885</v>
      </c>
      <c r="D31" s="172" t="s">
        <v>886</v>
      </c>
      <c r="E31" s="172"/>
      <c r="F31" s="172" t="s">
        <v>837</v>
      </c>
    </row>
    <row r="32" spans="1:6" ht="24" customHeight="1">
      <c r="A32" s="194" t="s">
        <v>3</v>
      </c>
      <c r="B32" s="172" t="s">
        <v>887</v>
      </c>
      <c r="C32" s="172" t="s">
        <v>888</v>
      </c>
      <c r="D32" s="172" t="s">
        <v>889</v>
      </c>
      <c r="E32" s="172" t="s">
        <v>799</v>
      </c>
      <c r="F32" s="172" t="s">
        <v>890</v>
      </c>
    </row>
    <row r="33" spans="1:6" ht="24" customHeight="1">
      <c r="A33" s="194" t="s">
        <v>3</v>
      </c>
      <c r="B33" s="172" t="s">
        <v>887</v>
      </c>
      <c r="C33" s="172" t="s">
        <v>891</v>
      </c>
      <c r="D33" s="172" t="s">
        <v>892</v>
      </c>
      <c r="E33" s="172" t="s">
        <v>836</v>
      </c>
      <c r="F33" s="172" t="s">
        <v>893</v>
      </c>
    </row>
    <row r="34" spans="1:6" ht="24" customHeight="1">
      <c r="A34" s="194" t="s">
        <v>3</v>
      </c>
      <c r="B34" s="172" t="s">
        <v>894</v>
      </c>
      <c r="C34" s="172" t="s">
        <v>895</v>
      </c>
      <c r="D34" s="172" t="s">
        <v>896</v>
      </c>
      <c r="E34" s="172" t="s">
        <v>815</v>
      </c>
      <c r="F34" s="172"/>
    </row>
    <row r="35" spans="1:6" ht="24" customHeight="1">
      <c r="A35" s="194" t="s">
        <v>3</v>
      </c>
      <c r="B35" s="172" t="s">
        <v>897</v>
      </c>
      <c r="C35" s="172" t="s">
        <v>898</v>
      </c>
      <c r="D35" s="172" t="s">
        <v>899</v>
      </c>
      <c r="E35" s="172" t="s">
        <v>836</v>
      </c>
      <c r="F35" s="172" t="s">
        <v>876</v>
      </c>
    </row>
    <row r="36" spans="1:6" ht="24" customHeight="1">
      <c r="A36" s="194" t="s">
        <v>3</v>
      </c>
      <c r="B36" s="172" t="s">
        <v>897</v>
      </c>
      <c r="C36" s="172" t="s">
        <v>900</v>
      </c>
      <c r="D36" s="172" t="s">
        <v>901</v>
      </c>
      <c r="E36" s="172" t="s">
        <v>799</v>
      </c>
      <c r="F36" s="172" t="s">
        <v>837</v>
      </c>
    </row>
    <row r="37" spans="1:6" ht="24" customHeight="1">
      <c r="A37" s="194" t="s">
        <v>3</v>
      </c>
      <c r="B37" s="172" t="s">
        <v>902</v>
      </c>
      <c r="C37" s="172" t="s">
        <v>903</v>
      </c>
      <c r="D37" s="172" t="s">
        <v>904</v>
      </c>
      <c r="E37" s="172"/>
      <c r="F37" s="172" t="s">
        <v>905</v>
      </c>
    </row>
    <row r="38" spans="1:6" ht="24" customHeight="1">
      <c r="A38" s="194" t="s">
        <v>3</v>
      </c>
      <c r="B38" s="172" t="s">
        <v>902</v>
      </c>
      <c r="C38" s="172" t="s">
        <v>906</v>
      </c>
      <c r="D38" s="172" t="s">
        <v>907</v>
      </c>
      <c r="E38" s="172"/>
      <c r="F38" s="172" t="s">
        <v>908</v>
      </c>
    </row>
    <row r="39" spans="1:6" ht="24" customHeight="1">
      <c r="A39" s="194" t="s">
        <v>3</v>
      </c>
      <c r="B39" s="172" t="s">
        <v>199</v>
      </c>
      <c r="C39" s="172" t="s">
        <v>909</v>
      </c>
      <c r="D39" s="172" t="s">
        <v>910</v>
      </c>
      <c r="E39" s="172"/>
      <c r="F39" s="172" t="s">
        <v>911</v>
      </c>
    </row>
    <row r="40" spans="1:6" ht="24" customHeight="1">
      <c r="A40" s="194" t="s">
        <v>3</v>
      </c>
      <c r="B40" s="172" t="s">
        <v>199</v>
      </c>
      <c r="C40" s="172" t="s">
        <v>912</v>
      </c>
      <c r="D40" s="172" t="s">
        <v>913</v>
      </c>
      <c r="E40" s="172"/>
      <c r="F40" s="172" t="s">
        <v>837</v>
      </c>
    </row>
    <row r="41" spans="1:6" ht="24" customHeight="1">
      <c r="A41" s="197" t="s">
        <v>5</v>
      </c>
      <c r="B41" s="172" t="s">
        <v>854</v>
      </c>
      <c r="C41" s="172" t="s">
        <v>914</v>
      </c>
      <c r="D41" s="172" t="s">
        <v>915</v>
      </c>
      <c r="E41" s="172" t="s">
        <v>836</v>
      </c>
      <c r="F41" s="172" t="s">
        <v>916</v>
      </c>
    </row>
    <row r="42" spans="1:6" ht="24" customHeight="1">
      <c r="A42" s="197" t="s">
        <v>5</v>
      </c>
      <c r="B42" s="172" t="s">
        <v>854</v>
      </c>
      <c r="C42" s="172" t="s">
        <v>917</v>
      </c>
      <c r="D42" s="172" t="s">
        <v>918</v>
      </c>
      <c r="E42" s="172" t="s">
        <v>836</v>
      </c>
      <c r="F42" s="172" t="s">
        <v>837</v>
      </c>
    </row>
    <row r="43" spans="1:6" ht="24" customHeight="1">
      <c r="A43" s="197" t="s">
        <v>5</v>
      </c>
      <c r="B43" s="172" t="s">
        <v>919</v>
      </c>
      <c r="C43" s="172" t="s">
        <v>920</v>
      </c>
      <c r="D43" s="172" t="s">
        <v>921</v>
      </c>
      <c r="E43" s="172"/>
      <c r="F43" s="172" t="s">
        <v>922</v>
      </c>
    </row>
    <row r="44" spans="1:6" ht="24" customHeight="1">
      <c r="A44" s="197" t="s">
        <v>5</v>
      </c>
      <c r="B44" s="172" t="s">
        <v>923</v>
      </c>
      <c r="C44" s="172" t="s">
        <v>924</v>
      </c>
      <c r="D44" s="172" t="s">
        <v>925</v>
      </c>
      <c r="E44" s="172" t="s">
        <v>836</v>
      </c>
      <c r="F44" s="172" t="s">
        <v>926</v>
      </c>
    </row>
    <row r="45" spans="1:6" ht="24" customHeight="1">
      <c r="A45" s="197" t="s">
        <v>5</v>
      </c>
      <c r="B45" s="172" t="s">
        <v>927</v>
      </c>
      <c r="C45" s="172" t="s">
        <v>928</v>
      </c>
      <c r="D45" s="172" t="s">
        <v>929</v>
      </c>
      <c r="E45" s="172" t="s">
        <v>836</v>
      </c>
      <c r="F45" s="172" t="s">
        <v>876</v>
      </c>
    </row>
    <row r="46" spans="1:6" ht="24" customHeight="1">
      <c r="A46" s="197" t="s">
        <v>5</v>
      </c>
      <c r="B46" s="172" t="s">
        <v>927</v>
      </c>
      <c r="C46" s="172" t="s">
        <v>930</v>
      </c>
      <c r="D46" s="172" t="s">
        <v>931</v>
      </c>
      <c r="E46" s="172" t="s">
        <v>836</v>
      </c>
      <c r="F46" s="172" t="s">
        <v>833</v>
      </c>
    </row>
    <row r="47" spans="1:6" ht="24" customHeight="1">
      <c r="A47" s="197" t="s">
        <v>5</v>
      </c>
      <c r="B47" s="172" t="s">
        <v>927</v>
      </c>
      <c r="C47" s="172" t="s">
        <v>932</v>
      </c>
      <c r="D47" s="172" t="s">
        <v>933</v>
      </c>
      <c r="E47" s="172" t="s">
        <v>836</v>
      </c>
      <c r="F47" s="172" t="s">
        <v>908</v>
      </c>
    </row>
    <row r="48" spans="1:6" ht="24" customHeight="1">
      <c r="A48" s="197" t="s">
        <v>5</v>
      </c>
      <c r="B48" s="172" t="s">
        <v>927</v>
      </c>
      <c r="C48" s="172" t="s">
        <v>934</v>
      </c>
      <c r="D48" s="172" t="s">
        <v>935</v>
      </c>
      <c r="E48" s="172" t="s">
        <v>819</v>
      </c>
      <c r="F48" s="172" t="s">
        <v>936</v>
      </c>
    </row>
    <row r="49" spans="1:6" ht="24" customHeight="1">
      <c r="A49" s="197" t="s">
        <v>5</v>
      </c>
      <c r="B49" s="172" t="s">
        <v>937</v>
      </c>
      <c r="C49" s="172" t="s">
        <v>938</v>
      </c>
      <c r="D49" s="172" t="s">
        <v>939</v>
      </c>
      <c r="E49" s="172" t="s">
        <v>868</v>
      </c>
      <c r="F49" s="172"/>
    </row>
    <row r="50" spans="1:6" ht="24" customHeight="1">
      <c r="A50" s="197" t="s">
        <v>5</v>
      </c>
      <c r="B50" s="172" t="s">
        <v>937</v>
      </c>
      <c r="C50" s="172" t="s">
        <v>940</v>
      </c>
      <c r="D50" s="172" t="s">
        <v>941</v>
      </c>
      <c r="E50" s="172" t="s">
        <v>799</v>
      </c>
      <c r="F50" s="172" t="s">
        <v>829</v>
      </c>
    </row>
    <row r="51" spans="1:6" ht="24" customHeight="1">
      <c r="A51" s="197" t="s">
        <v>5</v>
      </c>
      <c r="B51" s="172" t="s">
        <v>937</v>
      </c>
      <c r="C51" s="172" t="s">
        <v>942</v>
      </c>
      <c r="D51" s="172" t="s">
        <v>943</v>
      </c>
      <c r="E51" s="172" t="s">
        <v>799</v>
      </c>
      <c r="F51" s="172" t="s">
        <v>829</v>
      </c>
    </row>
    <row r="52" spans="1:6" ht="24" customHeight="1">
      <c r="A52" s="197" t="s">
        <v>5</v>
      </c>
      <c r="B52" s="172" t="s">
        <v>937</v>
      </c>
      <c r="C52" s="172" t="s">
        <v>944</v>
      </c>
      <c r="D52" s="172" t="s">
        <v>945</v>
      </c>
      <c r="E52" s="172" t="s">
        <v>815</v>
      </c>
      <c r="F52" s="172"/>
    </row>
    <row r="53" spans="1:6" ht="24" customHeight="1">
      <c r="A53" s="197" t="s">
        <v>5</v>
      </c>
      <c r="B53" s="172" t="s">
        <v>937</v>
      </c>
      <c r="C53" s="172" t="s">
        <v>946</v>
      </c>
      <c r="D53" s="172" t="s">
        <v>947</v>
      </c>
      <c r="E53" s="172"/>
      <c r="F53" s="172" t="s">
        <v>876</v>
      </c>
    </row>
    <row r="54" spans="1:6" ht="24" customHeight="1">
      <c r="A54" s="197" t="s">
        <v>5</v>
      </c>
      <c r="B54" s="172" t="s">
        <v>948</v>
      </c>
      <c r="C54" s="172" t="s">
        <v>949</v>
      </c>
      <c r="D54" s="172" t="s">
        <v>950</v>
      </c>
      <c r="E54" s="172" t="s">
        <v>799</v>
      </c>
      <c r="F54" s="172" t="s">
        <v>951</v>
      </c>
    </row>
    <row r="55" spans="1:6" ht="24" customHeight="1">
      <c r="A55" s="197" t="s">
        <v>5</v>
      </c>
      <c r="B55" s="172" t="s">
        <v>948</v>
      </c>
      <c r="C55" s="172" t="s">
        <v>952</v>
      </c>
      <c r="D55" s="172" t="s">
        <v>953</v>
      </c>
      <c r="E55" s="172" t="s">
        <v>836</v>
      </c>
      <c r="F55" s="172" t="s">
        <v>954</v>
      </c>
    </row>
    <row r="56" spans="1:6" ht="24" customHeight="1">
      <c r="A56" s="197" t="s">
        <v>5</v>
      </c>
      <c r="B56" s="172" t="s">
        <v>955</v>
      </c>
      <c r="C56" s="172" t="s">
        <v>956</v>
      </c>
      <c r="D56" s="172" t="s">
        <v>957</v>
      </c>
      <c r="E56" s="172" t="s">
        <v>836</v>
      </c>
      <c r="F56" s="172" t="s">
        <v>958</v>
      </c>
    </row>
    <row r="57" spans="1:6" ht="24" customHeight="1">
      <c r="A57" s="197" t="s">
        <v>5</v>
      </c>
      <c r="B57" s="172" t="s">
        <v>955</v>
      </c>
      <c r="C57" s="172" t="s">
        <v>959</v>
      </c>
      <c r="D57" s="172" t="s">
        <v>960</v>
      </c>
      <c r="E57" s="172" t="s">
        <v>836</v>
      </c>
      <c r="F57" s="172" t="s">
        <v>958</v>
      </c>
    </row>
    <row r="58" spans="1:6" ht="24" customHeight="1">
      <c r="A58" s="197" t="s">
        <v>5</v>
      </c>
      <c r="B58" s="172" t="s">
        <v>894</v>
      </c>
      <c r="C58" s="172" t="s">
        <v>961</v>
      </c>
      <c r="D58" s="172" t="s">
        <v>962</v>
      </c>
      <c r="E58" s="172" t="s">
        <v>825</v>
      </c>
      <c r="F58" s="172" t="s">
        <v>876</v>
      </c>
    </row>
    <row r="59" spans="1:6" ht="24" customHeight="1">
      <c r="A59" s="197" t="s">
        <v>5</v>
      </c>
      <c r="B59" s="172" t="s">
        <v>963</v>
      </c>
      <c r="C59" s="172" t="s">
        <v>964</v>
      </c>
      <c r="D59" s="172" t="s">
        <v>965</v>
      </c>
      <c r="E59" s="172" t="s">
        <v>799</v>
      </c>
      <c r="F59" s="172" t="s">
        <v>966</v>
      </c>
    </row>
    <row r="60" spans="1:6" ht="24" customHeight="1">
      <c r="A60" s="197" t="s">
        <v>5</v>
      </c>
      <c r="B60" s="172" t="s">
        <v>963</v>
      </c>
      <c r="C60" s="172" t="s">
        <v>967</v>
      </c>
      <c r="D60" s="172" t="s">
        <v>968</v>
      </c>
      <c r="E60" s="172" t="s">
        <v>868</v>
      </c>
      <c r="F60" s="172" t="s">
        <v>969</v>
      </c>
    </row>
    <row r="61" spans="1:6" ht="24" customHeight="1">
      <c r="A61" s="197" t="s">
        <v>5</v>
      </c>
      <c r="B61" s="172" t="s">
        <v>963</v>
      </c>
      <c r="C61" s="172" t="s">
        <v>970</v>
      </c>
      <c r="D61" s="172" t="s">
        <v>971</v>
      </c>
      <c r="E61" s="172" t="s">
        <v>799</v>
      </c>
      <c r="F61" s="172" t="s">
        <v>969</v>
      </c>
    </row>
    <row r="62" spans="1:6" ht="24" customHeight="1">
      <c r="A62" s="197" t="s">
        <v>5</v>
      </c>
      <c r="B62" s="172" t="s">
        <v>963</v>
      </c>
      <c r="C62" s="172" t="s">
        <v>972</v>
      </c>
      <c r="D62" s="172" t="s">
        <v>973</v>
      </c>
      <c r="E62" s="172" t="s">
        <v>799</v>
      </c>
      <c r="F62" s="172" t="s">
        <v>974</v>
      </c>
    </row>
    <row r="63" spans="1:6" ht="24" customHeight="1">
      <c r="A63" s="197" t="s">
        <v>5</v>
      </c>
      <c r="B63" s="172" t="s">
        <v>975</v>
      </c>
      <c r="C63" s="172" t="s">
        <v>976</v>
      </c>
      <c r="D63" s="172" t="s">
        <v>977</v>
      </c>
      <c r="E63" s="172" t="s">
        <v>836</v>
      </c>
      <c r="F63" s="172" t="s">
        <v>978</v>
      </c>
    </row>
    <row r="64" spans="1:6" ht="24" customHeight="1">
      <c r="A64" s="197" t="s">
        <v>5</v>
      </c>
      <c r="B64" s="172" t="s">
        <v>975</v>
      </c>
      <c r="C64" s="172" t="s">
        <v>979</v>
      </c>
      <c r="D64" s="172" t="s">
        <v>980</v>
      </c>
      <c r="E64" s="172" t="s">
        <v>836</v>
      </c>
      <c r="F64" s="172" t="s">
        <v>876</v>
      </c>
    </row>
    <row r="65" spans="1:6" ht="24" customHeight="1">
      <c r="A65" s="197" t="s">
        <v>5</v>
      </c>
      <c r="B65" s="172" t="s">
        <v>975</v>
      </c>
      <c r="C65" s="172" t="s">
        <v>981</v>
      </c>
      <c r="D65" s="172" t="s">
        <v>982</v>
      </c>
      <c r="E65" s="172" t="s">
        <v>836</v>
      </c>
      <c r="F65" s="172" t="s">
        <v>876</v>
      </c>
    </row>
    <row r="66" spans="1:6" ht="24" customHeight="1">
      <c r="A66" s="197" t="s">
        <v>5</v>
      </c>
      <c r="B66" s="172" t="s">
        <v>975</v>
      </c>
      <c r="C66" s="172" t="s">
        <v>983</v>
      </c>
      <c r="D66" s="172" t="s">
        <v>984</v>
      </c>
      <c r="E66" s="172"/>
      <c r="F66" s="172" t="s">
        <v>890</v>
      </c>
    </row>
    <row r="67" spans="1:6" ht="24" customHeight="1">
      <c r="A67" s="197" t="s">
        <v>5</v>
      </c>
      <c r="B67" s="172" t="s">
        <v>985</v>
      </c>
      <c r="C67" s="172" t="s">
        <v>986</v>
      </c>
      <c r="D67" s="172" t="s">
        <v>987</v>
      </c>
      <c r="E67" s="172" t="s">
        <v>799</v>
      </c>
      <c r="F67" s="172" t="s">
        <v>974</v>
      </c>
    </row>
    <row r="68" spans="1:6" ht="24" customHeight="1">
      <c r="A68" s="197" t="s">
        <v>5</v>
      </c>
      <c r="B68" s="172" t="s">
        <v>985</v>
      </c>
      <c r="C68" s="172" t="s">
        <v>988</v>
      </c>
      <c r="D68" s="172" t="s">
        <v>989</v>
      </c>
      <c r="E68" s="172" t="s">
        <v>799</v>
      </c>
      <c r="F68" s="172" t="s">
        <v>969</v>
      </c>
    </row>
    <row r="69" spans="1:6" ht="24" customHeight="1">
      <c r="A69" s="197" t="s">
        <v>5</v>
      </c>
      <c r="B69" s="172" t="s">
        <v>985</v>
      </c>
      <c r="C69" s="172" t="s">
        <v>990</v>
      </c>
      <c r="D69" s="172" t="s">
        <v>991</v>
      </c>
      <c r="E69" s="172" t="s">
        <v>836</v>
      </c>
      <c r="F69" s="172" t="s">
        <v>958</v>
      </c>
    </row>
    <row r="70" spans="1:6" ht="24" customHeight="1">
      <c r="A70" s="197" t="s">
        <v>5</v>
      </c>
      <c r="B70" s="172" t="s">
        <v>985</v>
      </c>
      <c r="C70" s="172" t="s">
        <v>992</v>
      </c>
      <c r="D70" s="172" t="s">
        <v>993</v>
      </c>
      <c r="E70" s="172" t="s">
        <v>836</v>
      </c>
      <c r="F70" s="172" t="s">
        <v>994</v>
      </c>
    </row>
    <row r="71" spans="1:6" ht="24" customHeight="1">
      <c r="A71" s="197" t="s">
        <v>5</v>
      </c>
      <c r="B71" s="172" t="s">
        <v>199</v>
      </c>
      <c r="C71" s="172" t="s">
        <v>995</v>
      </c>
      <c r="D71" s="172" t="s">
        <v>996</v>
      </c>
      <c r="E71" s="172" t="s">
        <v>836</v>
      </c>
      <c r="F71" s="172" t="s">
        <v>997</v>
      </c>
    </row>
    <row r="72" spans="1:6" ht="24" customHeight="1">
      <c r="A72" s="197" t="s">
        <v>5</v>
      </c>
      <c r="B72" s="172" t="s">
        <v>199</v>
      </c>
      <c r="C72" s="172" t="s">
        <v>998</v>
      </c>
      <c r="D72" s="172" t="s">
        <v>999</v>
      </c>
      <c r="E72" s="172"/>
      <c r="F72" s="172" t="s">
        <v>1000</v>
      </c>
    </row>
    <row r="73" spans="1:6" ht="24" customHeight="1">
      <c r="A73" s="198" t="s">
        <v>6</v>
      </c>
      <c r="B73" s="172" t="s">
        <v>854</v>
      </c>
      <c r="C73" s="172" t="s">
        <v>1001</v>
      </c>
      <c r="D73" s="172" t="s">
        <v>1002</v>
      </c>
      <c r="E73" s="172"/>
      <c r="F73" s="172" t="s">
        <v>1003</v>
      </c>
    </row>
    <row r="74" spans="1:6" ht="24" customHeight="1">
      <c r="A74" s="198" t="s">
        <v>6</v>
      </c>
      <c r="B74" s="172" t="s">
        <v>854</v>
      </c>
      <c r="C74" s="172" t="s">
        <v>1004</v>
      </c>
      <c r="D74" s="172" t="s">
        <v>1005</v>
      </c>
      <c r="E74" s="172"/>
      <c r="F74" s="172" t="s">
        <v>837</v>
      </c>
    </row>
    <row r="75" spans="1:6" ht="24" customHeight="1">
      <c r="A75" s="198" t="s">
        <v>6</v>
      </c>
      <c r="B75" s="172" t="s">
        <v>1006</v>
      </c>
      <c r="C75" s="172" t="s">
        <v>1007</v>
      </c>
      <c r="D75" s="172" t="s">
        <v>1008</v>
      </c>
      <c r="E75" s="172" t="s">
        <v>868</v>
      </c>
      <c r="F75" s="172" t="s">
        <v>1009</v>
      </c>
    </row>
    <row r="76" spans="1:6" ht="24" customHeight="1">
      <c r="A76" s="198" t="s">
        <v>6</v>
      </c>
      <c r="B76" s="172" t="s">
        <v>1006</v>
      </c>
      <c r="C76" s="172" t="s">
        <v>1010</v>
      </c>
      <c r="D76" s="172" t="s">
        <v>1011</v>
      </c>
      <c r="E76" s="172"/>
      <c r="F76" s="172" t="s">
        <v>1012</v>
      </c>
    </row>
    <row r="77" spans="1:6" ht="24" customHeight="1">
      <c r="A77" s="198" t="s">
        <v>6</v>
      </c>
      <c r="B77" s="172" t="s">
        <v>1013</v>
      </c>
      <c r="C77" s="172" t="s">
        <v>1014</v>
      </c>
      <c r="D77" s="172" t="s">
        <v>1015</v>
      </c>
      <c r="E77" s="172"/>
      <c r="F77" s="172" t="s">
        <v>1016</v>
      </c>
    </row>
    <row r="78" spans="1:6" ht="24" customHeight="1">
      <c r="A78" s="198" t="s">
        <v>6</v>
      </c>
      <c r="B78" s="172" t="s">
        <v>1013</v>
      </c>
      <c r="C78" s="172" t="s">
        <v>1017</v>
      </c>
      <c r="D78" s="172" t="s">
        <v>1018</v>
      </c>
      <c r="E78" s="172" t="s">
        <v>875</v>
      </c>
      <c r="F78" s="172" t="s">
        <v>1019</v>
      </c>
    </row>
    <row r="79" spans="1:6" ht="24" customHeight="1">
      <c r="A79" s="198" t="s">
        <v>6</v>
      </c>
      <c r="B79" s="172" t="s">
        <v>937</v>
      </c>
      <c r="C79" s="172" t="s">
        <v>1020</v>
      </c>
      <c r="D79" s="172" t="s">
        <v>1021</v>
      </c>
      <c r="E79" s="172" t="s">
        <v>825</v>
      </c>
      <c r="F79" s="172" t="s">
        <v>1022</v>
      </c>
    </row>
    <row r="80" spans="1:6" ht="24" customHeight="1">
      <c r="A80" s="198" t="s">
        <v>6</v>
      </c>
      <c r="B80" s="172" t="s">
        <v>937</v>
      </c>
      <c r="C80" s="172" t="s">
        <v>1023</v>
      </c>
      <c r="D80" s="172" t="s">
        <v>1024</v>
      </c>
      <c r="E80" s="172" t="s">
        <v>799</v>
      </c>
      <c r="F80" s="172" t="s">
        <v>1025</v>
      </c>
    </row>
    <row r="81" spans="1:6" ht="24" customHeight="1">
      <c r="A81" s="198" t="s">
        <v>6</v>
      </c>
      <c r="B81" s="172" t="s">
        <v>937</v>
      </c>
      <c r="C81" s="172" t="s">
        <v>1026</v>
      </c>
      <c r="D81" s="172" t="s">
        <v>1027</v>
      </c>
      <c r="E81" s="172" t="s">
        <v>825</v>
      </c>
      <c r="F81" s="172" t="s">
        <v>1019</v>
      </c>
    </row>
    <row r="82" spans="1:6" ht="24" customHeight="1">
      <c r="A82" s="198" t="s">
        <v>6</v>
      </c>
      <c r="B82" s="172" t="s">
        <v>937</v>
      </c>
      <c r="C82" s="172" t="s">
        <v>1028</v>
      </c>
      <c r="D82" s="172" t="s">
        <v>1029</v>
      </c>
      <c r="E82" s="172" t="s">
        <v>815</v>
      </c>
      <c r="F82" s="172" t="s">
        <v>1030</v>
      </c>
    </row>
    <row r="83" spans="1:6" ht="24" customHeight="1">
      <c r="A83" s="198" t="s">
        <v>6</v>
      </c>
      <c r="B83" s="172" t="s">
        <v>937</v>
      </c>
      <c r="C83" s="172" t="s">
        <v>1031</v>
      </c>
      <c r="D83" s="172" t="s">
        <v>1032</v>
      </c>
      <c r="E83" s="172" t="s">
        <v>868</v>
      </c>
      <c r="F83" s="172" t="s">
        <v>1033</v>
      </c>
    </row>
    <row r="84" spans="1:6" ht="24" customHeight="1">
      <c r="A84" s="198" t="s">
        <v>6</v>
      </c>
      <c r="B84" s="172" t="s">
        <v>1034</v>
      </c>
      <c r="C84" s="172" t="s">
        <v>1035</v>
      </c>
      <c r="D84" s="172" t="s">
        <v>1036</v>
      </c>
      <c r="E84" s="172" t="s">
        <v>836</v>
      </c>
      <c r="F84" s="172" t="s">
        <v>1037</v>
      </c>
    </row>
    <row r="85" spans="1:6" ht="24" customHeight="1">
      <c r="A85" s="198" t="s">
        <v>6</v>
      </c>
      <c r="B85" s="172" t="s">
        <v>1034</v>
      </c>
      <c r="C85" s="172" t="s">
        <v>1038</v>
      </c>
      <c r="D85" s="172" t="s">
        <v>1039</v>
      </c>
      <c r="E85" s="172" t="s">
        <v>836</v>
      </c>
      <c r="F85" s="172" t="s">
        <v>958</v>
      </c>
    </row>
    <row r="86" spans="1:6" ht="24" customHeight="1">
      <c r="A86" s="198" t="s">
        <v>6</v>
      </c>
      <c r="B86" s="172" t="s">
        <v>1034</v>
      </c>
      <c r="C86" s="172" t="s">
        <v>1040</v>
      </c>
      <c r="D86" s="172" t="s">
        <v>1041</v>
      </c>
      <c r="E86" s="172" t="s">
        <v>836</v>
      </c>
      <c r="F86" s="172" t="s">
        <v>908</v>
      </c>
    </row>
    <row r="87" spans="1:6" ht="24" customHeight="1">
      <c r="A87" s="198" t="s">
        <v>6</v>
      </c>
      <c r="B87" s="172" t="s">
        <v>1034</v>
      </c>
      <c r="C87" s="172" t="s">
        <v>1042</v>
      </c>
      <c r="D87" s="172" t="s">
        <v>1043</v>
      </c>
      <c r="E87" s="172"/>
      <c r="F87" s="172" t="s">
        <v>800</v>
      </c>
    </row>
    <row r="88" spans="1:6" ht="24" customHeight="1">
      <c r="A88" s="198" t="s">
        <v>6</v>
      </c>
      <c r="B88" s="172" t="s">
        <v>1044</v>
      </c>
      <c r="C88" s="172" t="s">
        <v>1045</v>
      </c>
      <c r="D88" s="172" t="s">
        <v>1046</v>
      </c>
      <c r="E88" s="172" t="s">
        <v>799</v>
      </c>
      <c r="F88" s="172" t="s">
        <v>1047</v>
      </c>
    </row>
    <row r="89" spans="1:6" ht="24" customHeight="1">
      <c r="A89" s="198" t="s">
        <v>6</v>
      </c>
      <c r="B89" s="172" t="s">
        <v>1044</v>
      </c>
      <c r="C89" s="172" t="s">
        <v>1048</v>
      </c>
      <c r="D89" s="172" t="s">
        <v>1049</v>
      </c>
      <c r="E89" s="172" t="s">
        <v>799</v>
      </c>
      <c r="F89" s="172" t="s">
        <v>1050</v>
      </c>
    </row>
    <row r="90" spans="1:6" ht="24" customHeight="1">
      <c r="A90" s="198" t="s">
        <v>6</v>
      </c>
      <c r="B90" s="172" t="s">
        <v>1044</v>
      </c>
      <c r="C90" s="172" t="s">
        <v>1051</v>
      </c>
      <c r="D90" s="172" t="s">
        <v>1052</v>
      </c>
      <c r="E90" s="172" t="s">
        <v>799</v>
      </c>
      <c r="F90" s="172" t="s">
        <v>1053</v>
      </c>
    </row>
    <row r="91" spans="1:6" ht="24" customHeight="1">
      <c r="A91" s="198" t="s">
        <v>6</v>
      </c>
      <c r="B91" s="172" t="s">
        <v>1044</v>
      </c>
      <c r="C91" s="172" t="s">
        <v>1054</v>
      </c>
      <c r="D91" s="172" t="s">
        <v>1055</v>
      </c>
      <c r="E91" s="172" t="s">
        <v>799</v>
      </c>
      <c r="F91" s="172" t="s">
        <v>1053</v>
      </c>
    </row>
    <row r="92" spans="1:6" ht="24" customHeight="1">
      <c r="A92" s="198" t="s">
        <v>6</v>
      </c>
      <c r="B92" s="172" t="s">
        <v>894</v>
      </c>
      <c r="C92" s="172" t="s">
        <v>1056</v>
      </c>
      <c r="D92" s="172" t="s">
        <v>1057</v>
      </c>
      <c r="E92" s="172" t="s">
        <v>825</v>
      </c>
      <c r="F92" s="172" t="s">
        <v>978</v>
      </c>
    </row>
    <row r="93" spans="1:6" ht="24" customHeight="1">
      <c r="A93" s="198" t="s">
        <v>6</v>
      </c>
      <c r="B93" s="172" t="s">
        <v>1058</v>
      </c>
      <c r="C93" s="172" t="s">
        <v>1059</v>
      </c>
      <c r="D93" s="172" t="s">
        <v>1060</v>
      </c>
      <c r="E93" s="172" t="s">
        <v>799</v>
      </c>
      <c r="F93" s="172" t="s">
        <v>1061</v>
      </c>
    </row>
    <row r="94" spans="1:6" ht="24" customHeight="1">
      <c r="A94" s="198" t="s">
        <v>6</v>
      </c>
      <c r="B94" s="172" t="s">
        <v>1058</v>
      </c>
      <c r="C94" s="172" t="s">
        <v>1062</v>
      </c>
      <c r="D94" s="172" t="s">
        <v>1063</v>
      </c>
      <c r="E94" s="172" t="s">
        <v>799</v>
      </c>
      <c r="F94" s="172" t="s">
        <v>1064</v>
      </c>
    </row>
    <row r="95" spans="1:6" ht="24" customHeight="1">
      <c r="A95" s="198" t="s">
        <v>6</v>
      </c>
      <c r="B95" s="172" t="s">
        <v>1065</v>
      </c>
      <c r="C95" s="172" t="s">
        <v>1066</v>
      </c>
      <c r="D95" s="172" t="s">
        <v>1067</v>
      </c>
      <c r="E95" s="172" t="s">
        <v>799</v>
      </c>
      <c r="F95" s="172" t="s">
        <v>1068</v>
      </c>
    </row>
    <row r="96" spans="1:6" ht="24" customHeight="1">
      <c r="A96" s="198" t="s">
        <v>6</v>
      </c>
      <c r="B96" s="172" t="s">
        <v>1065</v>
      </c>
      <c r="C96" s="172" t="s">
        <v>1069</v>
      </c>
      <c r="D96" s="172" t="s">
        <v>1070</v>
      </c>
      <c r="E96" s="172" t="s">
        <v>836</v>
      </c>
      <c r="F96" s="172" t="s">
        <v>876</v>
      </c>
    </row>
    <row r="97" spans="1:6" ht="24" customHeight="1">
      <c r="A97" s="198" t="s">
        <v>6</v>
      </c>
      <c r="B97" s="172" t="s">
        <v>199</v>
      </c>
      <c r="C97" s="172" t="s">
        <v>1071</v>
      </c>
      <c r="D97" s="172" t="s">
        <v>1072</v>
      </c>
      <c r="E97" s="172"/>
      <c r="F97" s="172" t="s">
        <v>1073</v>
      </c>
    </row>
    <row r="98" spans="1:6" ht="24" customHeight="1">
      <c r="A98" s="198" t="s">
        <v>6</v>
      </c>
      <c r="B98" s="172" t="s">
        <v>199</v>
      </c>
      <c r="C98" s="172" t="s">
        <v>1074</v>
      </c>
      <c r="D98" s="172" t="s">
        <v>1075</v>
      </c>
      <c r="E98" s="172"/>
      <c r="F98" s="172" t="s">
        <v>1076</v>
      </c>
    </row>
    <row r="99" spans="1:6" ht="24" customHeight="1">
      <c r="A99" s="196" t="s">
        <v>10</v>
      </c>
      <c r="B99" s="172" t="s">
        <v>854</v>
      </c>
      <c r="C99" s="172" t="s">
        <v>1077</v>
      </c>
      <c r="D99" s="172" t="s">
        <v>1078</v>
      </c>
      <c r="E99" s="172" t="s">
        <v>868</v>
      </c>
      <c r="F99" s="172"/>
    </row>
    <row r="100" spans="1:6" ht="24" customHeight="1">
      <c r="A100" s="196" t="s">
        <v>10</v>
      </c>
      <c r="B100" s="172" t="s">
        <v>854</v>
      </c>
      <c r="C100" s="172" t="s">
        <v>1079</v>
      </c>
      <c r="D100" s="172" t="s">
        <v>1080</v>
      </c>
      <c r="E100" s="172" t="s">
        <v>799</v>
      </c>
      <c r="F100" s="172" t="s">
        <v>833</v>
      </c>
    </row>
    <row r="101" spans="1:6" ht="24" customHeight="1">
      <c r="A101" s="196" t="s">
        <v>10</v>
      </c>
      <c r="B101" s="172" t="s">
        <v>1013</v>
      </c>
      <c r="C101" s="172" t="s">
        <v>1081</v>
      </c>
      <c r="D101" s="172" t="s">
        <v>1082</v>
      </c>
      <c r="E101" s="172" t="s">
        <v>819</v>
      </c>
      <c r="F101" s="172" t="s">
        <v>837</v>
      </c>
    </row>
    <row r="102" spans="1:6" ht="24" customHeight="1">
      <c r="A102" s="196" t="s">
        <v>10</v>
      </c>
      <c r="B102" s="172" t="s">
        <v>1013</v>
      </c>
      <c r="C102" s="172" t="s">
        <v>1083</v>
      </c>
      <c r="D102" s="172" t="s">
        <v>1084</v>
      </c>
      <c r="E102" s="172" t="s">
        <v>799</v>
      </c>
      <c r="F102" s="172" t="s">
        <v>829</v>
      </c>
    </row>
    <row r="103" spans="1:6" ht="24" customHeight="1">
      <c r="A103" s="196" t="s">
        <v>10</v>
      </c>
      <c r="B103" s="172" t="s">
        <v>1013</v>
      </c>
      <c r="C103" s="172" t="s">
        <v>1085</v>
      </c>
      <c r="D103" s="172" t="s">
        <v>1086</v>
      </c>
      <c r="E103" s="172" t="s">
        <v>799</v>
      </c>
      <c r="F103" s="172" t="s">
        <v>1087</v>
      </c>
    </row>
    <row r="104" spans="1:6" ht="24" customHeight="1">
      <c r="A104" s="196" t="s">
        <v>10</v>
      </c>
      <c r="B104" s="172" t="s">
        <v>1013</v>
      </c>
      <c r="C104" s="172" t="s">
        <v>1088</v>
      </c>
      <c r="D104" s="172" t="s">
        <v>1089</v>
      </c>
      <c r="E104" s="172" t="s">
        <v>875</v>
      </c>
      <c r="F104" s="172" t="s">
        <v>1090</v>
      </c>
    </row>
    <row r="105" spans="1:6" ht="24" customHeight="1">
      <c r="A105" s="196" t="s">
        <v>10</v>
      </c>
      <c r="B105" s="172" t="s">
        <v>1091</v>
      </c>
      <c r="C105" s="172" t="s">
        <v>1092</v>
      </c>
      <c r="D105" s="172" t="s">
        <v>1093</v>
      </c>
      <c r="E105" s="172" t="s">
        <v>868</v>
      </c>
      <c r="F105" s="172" t="s">
        <v>837</v>
      </c>
    </row>
    <row r="106" spans="1:6" ht="24" customHeight="1">
      <c r="A106" s="196" t="s">
        <v>10</v>
      </c>
      <c r="B106" s="172" t="s">
        <v>1091</v>
      </c>
      <c r="C106" s="172" t="s">
        <v>1094</v>
      </c>
      <c r="D106" s="172" t="s">
        <v>1095</v>
      </c>
      <c r="E106" s="172" t="s">
        <v>868</v>
      </c>
      <c r="F106" s="172" t="s">
        <v>829</v>
      </c>
    </row>
    <row r="107" spans="1:6" ht="24" customHeight="1">
      <c r="A107" s="196" t="s">
        <v>10</v>
      </c>
      <c r="B107" s="172" t="s">
        <v>1091</v>
      </c>
      <c r="C107" s="172" t="s">
        <v>1096</v>
      </c>
      <c r="D107" s="172" t="s">
        <v>1097</v>
      </c>
      <c r="E107" s="172" t="s">
        <v>868</v>
      </c>
      <c r="F107" s="172" t="s">
        <v>1025</v>
      </c>
    </row>
    <row r="108" spans="1:6" ht="24" customHeight="1">
      <c r="A108" s="196" t="s">
        <v>10</v>
      </c>
      <c r="B108" s="172" t="s">
        <v>1091</v>
      </c>
      <c r="C108" s="172" t="s">
        <v>1098</v>
      </c>
      <c r="D108" s="172" t="s">
        <v>1099</v>
      </c>
      <c r="E108" s="172" t="s">
        <v>868</v>
      </c>
      <c r="F108" s="172" t="s">
        <v>833</v>
      </c>
    </row>
    <row r="109" spans="1:6" ht="24" customHeight="1">
      <c r="A109" s="196" t="s">
        <v>10</v>
      </c>
      <c r="B109" s="172" t="s">
        <v>937</v>
      </c>
      <c r="C109" s="172" t="s">
        <v>1100</v>
      </c>
      <c r="D109" s="172" t="s">
        <v>1101</v>
      </c>
      <c r="E109" s="172" t="s">
        <v>799</v>
      </c>
      <c r="F109" s="172" t="s">
        <v>837</v>
      </c>
    </row>
    <row r="110" spans="1:6" ht="24" customHeight="1">
      <c r="A110" s="196" t="s">
        <v>10</v>
      </c>
      <c r="B110" s="172" t="s">
        <v>937</v>
      </c>
      <c r="C110" s="172" t="s">
        <v>1102</v>
      </c>
      <c r="D110" s="172" t="s">
        <v>1103</v>
      </c>
      <c r="E110" s="172"/>
      <c r="F110" s="172" t="s">
        <v>1104</v>
      </c>
    </row>
    <row r="111" spans="1:6" ht="24" customHeight="1">
      <c r="A111" s="196" t="s">
        <v>10</v>
      </c>
      <c r="B111" s="172" t="s">
        <v>937</v>
      </c>
      <c r="C111" s="172" t="s">
        <v>1105</v>
      </c>
      <c r="D111" s="172" t="s">
        <v>1106</v>
      </c>
      <c r="E111" s="172"/>
      <c r="F111" s="172" t="s">
        <v>1107</v>
      </c>
    </row>
    <row r="112" spans="1:6" ht="24" customHeight="1">
      <c r="A112" s="196" t="s">
        <v>10</v>
      </c>
      <c r="B112" s="172" t="s">
        <v>937</v>
      </c>
      <c r="C112" s="172" t="s">
        <v>1108</v>
      </c>
      <c r="D112" s="172" t="s">
        <v>1109</v>
      </c>
      <c r="E112" s="172" t="s">
        <v>836</v>
      </c>
      <c r="F112" s="172" t="s">
        <v>833</v>
      </c>
    </row>
    <row r="113" spans="1:6" ht="24" customHeight="1">
      <c r="A113" s="196" t="s">
        <v>10</v>
      </c>
      <c r="B113" s="172" t="s">
        <v>937</v>
      </c>
      <c r="C113" s="172" t="s">
        <v>1110</v>
      </c>
      <c r="D113" s="172" t="s">
        <v>1111</v>
      </c>
      <c r="E113" s="172" t="s">
        <v>836</v>
      </c>
      <c r="F113" s="172"/>
    </row>
    <row r="114" spans="1:6" ht="24" customHeight="1">
      <c r="A114" s="196" t="s">
        <v>10</v>
      </c>
      <c r="B114" s="172" t="s">
        <v>894</v>
      </c>
      <c r="C114" s="172" t="s">
        <v>1112</v>
      </c>
      <c r="D114" s="172" t="s">
        <v>1113</v>
      </c>
      <c r="E114" s="172" t="s">
        <v>825</v>
      </c>
      <c r="F114" s="172" t="s">
        <v>833</v>
      </c>
    </row>
    <row r="115" spans="1:6" ht="24" customHeight="1">
      <c r="A115" s="196" t="s">
        <v>10</v>
      </c>
      <c r="B115" s="172" t="s">
        <v>894</v>
      </c>
      <c r="C115" s="172" t="s">
        <v>1114</v>
      </c>
      <c r="D115" s="172" t="s">
        <v>1115</v>
      </c>
      <c r="E115" s="172" t="s">
        <v>836</v>
      </c>
      <c r="F115" s="172" t="s">
        <v>837</v>
      </c>
    </row>
    <row r="116" spans="1:6" ht="24" customHeight="1">
      <c r="A116" s="196" t="s">
        <v>10</v>
      </c>
      <c r="B116" s="172" t="s">
        <v>894</v>
      </c>
      <c r="C116" s="172" t="s">
        <v>1116</v>
      </c>
      <c r="D116" s="172" t="s">
        <v>1117</v>
      </c>
      <c r="E116" s="172" t="s">
        <v>836</v>
      </c>
      <c r="F116" s="172" t="s">
        <v>1118</v>
      </c>
    </row>
    <row r="117" spans="1:6" ht="24" customHeight="1">
      <c r="A117" s="196" t="s">
        <v>10</v>
      </c>
      <c r="B117" s="172" t="s">
        <v>894</v>
      </c>
      <c r="C117" s="172" t="s">
        <v>1119</v>
      </c>
      <c r="D117" s="172" t="s">
        <v>1120</v>
      </c>
      <c r="E117" s="172" t="s">
        <v>815</v>
      </c>
      <c r="F117" s="172"/>
    </row>
    <row r="118" spans="1:6" ht="24" customHeight="1">
      <c r="A118" s="196" t="s">
        <v>10</v>
      </c>
      <c r="B118" s="172" t="s">
        <v>894</v>
      </c>
      <c r="C118" s="172" t="s">
        <v>1121</v>
      </c>
      <c r="D118" s="172" t="s">
        <v>1122</v>
      </c>
      <c r="E118" s="172" t="s">
        <v>799</v>
      </c>
      <c r="F118" s="172" t="s">
        <v>1123</v>
      </c>
    </row>
    <row r="119" spans="1:6" ht="24" customHeight="1">
      <c r="A119" s="196" t="s">
        <v>10</v>
      </c>
      <c r="B119" s="172" t="s">
        <v>985</v>
      </c>
      <c r="C119" s="172" t="s">
        <v>1124</v>
      </c>
      <c r="D119" s="172" t="s">
        <v>1125</v>
      </c>
      <c r="E119" s="172" t="s">
        <v>836</v>
      </c>
      <c r="F119" s="172" t="s">
        <v>893</v>
      </c>
    </row>
    <row r="120" spans="1:6" ht="24" customHeight="1">
      <c r="A120" s="196" t="s">
        <v>10</v>
      </c>
      <c r="B120" s="172" t="s">
        <v>985</v>
      </c>
      <c r="C120" s="172" t="s">
        <v>1126</v>
      </c>
      <c r="D120" s="172" t="s">
        <v>1127</v>
      </c>
      <c r="E120" s="172" t="s">
        <v>799</v>
      </c>
      <c r="F120" s="172" t="s">
        <v>837</v>
      </c>
    </row>
    <row r="121" spans="1:6" ht="24" customHeight="1">
      <c r="A121" s="196" t="s">
        <v>10</v>
      </c>
      <c r="B121" s="172" t="s">
        <v>985</v>
      </c>
      <c r="C121" s="172" t="s">
        <v>1128</v>
      </c>
      <c r="D121" s="172" t="s">
        <v>1129</v>
      </c>
      <c r="E121" s="172" t="s">
        <v>836</v>
      </c>
      <c r="F121" s="172" t="s">
        <v>893</v>
      </c>
    </row>
    <row r="122" spans="1:6" ht="24" customHeight="1">
      <c r="A122" s="196" t="s">
        <v>10</v>
      </c>
      <c r="B122" s="172" t="s">
        <v>985</v>
      </c>
      <c r="C122" s="172" t="s">
        <v>1130</v>
      </c>
      <c r="D122" s="172" t="s">
        <v>1131</v>
      </c>
      <c r="E122" s="172" t="s">
        <v>836</v>
      </c>
      <c r="F122" s="172"/>
    </row>
    <row r="123" spans="1:6" ht="24" customHeight="1">
      <c r="A123" s="196" t="s">
        <v>10</v>
      </c>
      <c r="B123" s="172" t="s">
        <v>199</v>
      </c>
      <c r="C123" s="172" t="s">
        <v>1132</v>
      </c>
      <c r="D123" s="172" t="s">
        <v>1133</v>
      </c>
      <c r="E123" s="172"/>
      <c r="F123" s="172" t="s">
        <v>1134</v>
      </c>
    </row>
    <row r="124" spans="1:6" ht="24" customHeight="1">
      <c r="A124" s="196" t="s">
        <v>10</v>
      </c>
      <c r="B124" s="172" t="s">
        <v>199</v>
      </c>
      <c r="C124" s="172" t="s">
        <v>1135</v>
      </c>
      <c r="D124" s="172" t="s">
        <v>1136</v>
      </c>
      <c r="E124" s="172"/>
      <c r="F124" s="172" t="s">
        <v>1137</v>
      </c>
    </row>
    <row r="125" spans="1:6" ht="24" customHeight="1">
      <c r="A125" s="199" t="s">
        <v>4</v>
      </c>
      <c r="B125" s="172" t="s">
        <v>1138</v>
      </c>
      <c r="C125" s="172" t="s">
        <v>1139</v>
      </c>
      <c r="D125" s="172" t="s">
        <v>1140</v>
      </c>
      <c r="E125" s="172"/>
      <c r="F125" s="172"/>
    </row>
    <row r="126" spans="1:6" ht="24" customHeight="1">
      <c r="A126" s="199" t="s">
        <v>4</v>
      </c>
      <c r="B126" s="172" t="s">
        <v>1138</v>
      </c>
      <c r="C126" s="172" t="s">
        <v>1141</v>
      </c>
      <c r="D126" s="172" t="s">
        <v>1142</v>
      </c>
      <c r="E126" s="172"/>
      <c r="F126" s="172"/>
    </row>
    <row r="127" spans="1:6" ht="24" customHeight="1">
      <c r="A127" s="199" t="s">
        <v>4</v>
      </c>
      <c r="B127" s="172" t="s">
        <v>1143</v>
      </c>
      <c r="C127" s="172" t="s">
        <v>1144</v>
      </c>
      <c r="D127" s="172" t="s">
        <v>1145</v>
      </c>
      <c r="E127" s="172" t="s">
        <v>799</v>
      </c>
      <c r="F127" s="172"/>
    </row>
    <row r="128" spans="1:6" ht="24" customHeight="1">
      <c r="A128" s="199" t="s">
        <v>4</v>
      </c>
      <c r="B128" s="172" t="s">
        <v>1143</v>
      </c>
      <c r="C128" s="172" t="s">
        <v>1146</v>
      </c>
      <c r="D128" s="172" t="s">
        <v>1147</v>
      </c>
      <c r="E128" s="172" t="s">
        <v>799</v>
      </c>
      <c r="F128" s="172"/>
    </row>
    <row r="129" spans="1:6" ht="24" customHeight="1">
      <c r="A129" s="199" t="s">
        <v>4</v>
      </c>
      <c r="B129" s="172" t="s">
        <v>1148</v>
      </c>
      <c r="C129" s="172" t="s">
        <v>1149</v>
      </c>
      <c r="D129" s="172" t="s">
        <v>1150</v>
      </c>
      <c r="E129" s="172" t="s">
        <v>868</v>
      </c>
      <c r="F129" s="172"/>
    </row>
    <row r="130" spans="1:6" ht="24" customHeight="1">
      <c r="A130" s="199" t="s">
        <v>4</v>
      </c>
      <c r="B130" s="172" t="s">
        <v>1148</v>
      </c>
      <c r="C130" s="172" t="s">
        <v>1151</v>
      </c>
      <c r="D130" s="172" t="s">
        <v>1152</v>
      </c>
      <c r="E130" s="172" t="s">
        <v>868</v>
      </c>
      <c r="F130" s="172"/>
    </row>
    <row r="131" spans="1:6" ht="24" customHeight="1">
      <c r="A131" s="199" t="s">
        <v>4</v>
      </c>
      <c r="B131" s="172" t="s">
        <v>1153</v>
      </c>
      <c r="C131" s="172" t="s">
        <v>1154</v>
      </c>
      <c r="D131" s="172" t="s">
        <v>1155</v>
      </c>
      <c r="E131" s="172" t="s">
        <v>799</v>
      </c>
      <c r="F131" s="172"/>
    </row>
    <row r="132" spans="1:6" ht="24" customHeight="1">
      <c r="A132" s="199" t="s">
        <v>4</v>
      </c>
      <c r="B132" s="172" t="s">
        <v>1153</v>
      </c>
      <c r="C132" s="172" t="s">
        <v>1156</v>
      </c>
      <c r="D132" s="172" t="s">
        <v>1157</v>
      </c>
      <c r="E132" s="172" t="s">
        <v>799</v>
      </c>
      <c r="F132" s="172"/>
    </row>
    <row r="133" spans="1:6" ht="24" customHeight="1">
      <c r="A133" s="199" t="s">
        <v>4</v>
      </c>
      <c r="B133" s="172" t="s">
        <v>1153</v>
      </c>
      <c r="C133" s="172" t="s">
        <v>1158</v>
      </c>
      <c r="D133" s="172" t="s">
        <v>1159</v>
      </c>
      <c r="E133" s="172" t="s">
        <v>1160</v>
      </c>
      <c r="F133" s="172" t="s">
        <v>1161</v>
      </c>
    </row>
    <row r="134" spans="1:6" ht="24" customHeight="1">
      <c r="A134" s="199" t="s">
        <v>4</v>
      </c>
      <c r="B134" s="172" t="s">
        <v>1153</v>
      </c>
      <c r="C134" s="172" t="s">
        <v>1162</v>
      </c>
      <c r="D134" s="172" t="s">
        <v>1163</v>
      </c>
      <c r="E134" s="172" t="s">
        <v>868</v>
      </c>
      <c r="F134" s="172"/>
    </row>
    <row r="135" spans="1:6" ht="24" customHeight="1">
      <c r="A135" s="199" t="s">
        <v>4</v>
      </c>
      <c r="B135" s="172" t="s">
        <v>1164</v>
      </c>
      <c r="C135" s="172" t="s">
        <v>1165</v>
      </c>
      <c r="D135" s="172" t="s">
        <v>1166</v>
      </c>
      <c r="E135" s="172" t="s">
        <v>1160</v>
      </c>
      <c r="F135" s="172"/>
    </row>
    <row r="136" spans="1:6" ht="24" customHeight="1">
      <c r="A136" s="199" t="s">
        <v>4</v>
      </c>
      <c r="B136" s="172" t="s">
        <v>1164</v>
      </c>
      <c r="C136" s="172" t="s">
        <v>1167</v>
      </c>
      <c r="D136" s="172" t="s">
        <v>1168</v>
      </c>
      <c r="E136" s="172" t="s">
        <v>799</v>
      </c>
      <c r="F136" s="172"/>
    </row>
    <row r="137" spans="1:6" ht="24" customHeight="1">
      <c r="A137" s="199" t="s">
        <v>4</v>
      </c>
      <c r="B137" s="172" t="s">
        <v>1164</v>
      </c>
      <c r="C137" s="172" t="s">
        <v>1169</v>
      </c>
      <c r="D137" s="172" t="s">
        <v>1170</v>
      </c>
      <c r="E137" s="172" t="s">
        <v>815</v>
      </c>
      <c r="F137" s="172"/>
    </row>
    <row r="138" spans="1:6" ht="24" customHeight="1">
      <c r="A138" s="199" t="s">
        <v>4</v>
      </c>
      <c r="B138" s="172" t="s">
        <v>1164</v>
      </c>
      <c r="C138" s="172" t="s">
        <v>1171</v>
      </c>
      <c r="D138" s="172" t="s">
        <v>1172</v>
      </c>
      <c r="E138" s="172" t="s">
        <v>815</v>
      </c>
      <c r="F138" s="172"/>
    </row>
    <row r="139" spans="1:6" ht="24" customHeight="1">
      <c r="A139" s="199" t="s">
        <v>4</v>
      </c>
      <c r="B139" s="172" t="s">
        <v>1173</v>
      </c>
      <c r="C139" s="172" t="s">
        <v>1174</v>
      </c>
      <c r="D139" s="172" t="s">
        <v>1175</v>
      </c>
      <c r="E139" s="172" t="s">
        <v>815</v>
      </c>
      <c r="F139" s="172"/>
    </row>
    <row r="140" spans="1:6" ht="24" customHeight="1">
      <c r="A140" s="199" t="s">
        <v>4</v>
      </c>
      <c r="B140" s="172" t="s">
        <v>1173</v>
      </c>
      <c r="C140" s="172" t="s">
        <v>1176</v>
      </c>
      <c r="D140" s="172" t="s">
        <v>1177</v>
      </c>
      <c r="E140" s="172" t="s">
        <v>815</v>
      </c>
      <c r="F140" s="172"/>
    </row>
    <row r="141" spans="1:6" ht="24" customHeight="1">
      <c r="A141" s="199" t="s">
        <v>4</v>
      </c>
      <c r="B141" s="172" t="s">
        <v>1173</v>
      </c>
      <c r="C141" s="172" t="s">
        <v>1178</v>
      </c>
      <c r="D141" s="172" t="s">
        <v>1179</v>
      </c>
      <c r="E141" s="172" t="s">
        <v>815</v>
      </c>
      <c r="F141" s="172"/>
    </row>
    <row r="142" spans="1:6" ht="24" customHeight="1">
      <c r="A142" s="199" t="s">
        <v>4</v>
      </c>
      <c r="B142" s="172" t="s">
        <v>1180</v>
      </c>
      <c r="C142" s="172" t="s">
        <v>1181</v>
      </c>
      <c r="D142" s="172" t="s">
        <v>1182</v>
      </c>
      <c r="E142" s="172" t="s">
        <v>868</v>
      </c>
      <c r="F142" s="172"/>
    </row>
    <row r="143" spans="1:6" ht="24" customHeight="1">
      <c r="A143" s="199" t="s">
        <v>4</v>
      </c>
      <c r="B143" s="172" t="s">
        <v>1180</v>
      </c>
      <c r="C143" s="172" t="s">
        <v>1183</v>
      </c>
      <c r="D143" s="172" t="s">
        <v>1184</v>
      </c>
      <c r="E143" s="172" t="s">
        <v>815</v>
      </c>
      <c r="F143" s="172"/>
    </row>
    <row r="144" spans="1:6" ht="24" customHeight="1">
      <c r="A144" s="199" t="s">
        <v>4</v>
      </c>
      <c r="B144" s="172" t="s">
        <v>1180</v>
      </c>
      <c r="C144" s="172" t="s">
        <v>1185</v>
      </c>
      <c r="D144" s="172" t="s">
        <v>1186</v>
      </c>
      <c r="E144" s="172" t="s">
        <v>868</v>
      </c>
      <c r="F144" s="172"/>
    </row>
    <row r="145" spans="1:6" ht="24" customHeight="1">
      <c r="A145" s="199" t="s">
        <v>4</v>
      </c>
      <c r="B145" s="172" t="s">
        <v>1187</v>
      </c>
      <c r="C145" s="172" t="s">
        <v>1188</v>
      </c>
      <c r="D145" s="172" t="s">
        <v>1189</v>
      </c>
      <c r="E145" s="172"/>
      <c r="F145" s="172"/>
    </row>
    <row r="146" spans="1:6" ht="24" customHeight="1">
      <c r="A146" s="199" t="s">
        <v>4</v>
      </c>
      <c r="B146" s="172" t="s">
        <v>1187</v>
      </c>
      <c r="C146" s="172" t="s">
        <v>1190</v>
      </c>
      <c r="D146" s="172" t="s">
        <v>1191</v>
      </c>
      <c r="E146" s="172"/>
      <c r="F146" s="172"/>
    </row>
    <row r="147" spans="1:6" ht="24" customHeight="1">
      <c r="A147" s="200" t="s">
        <v>9</v>
      </c>
      <c r="B147" s="172" t="s">
        <v>1192</v>
      </c>
      <c r="C147" s="172" t="s">
        <v>1193</v>
      </c>
      <c r="D147" s="172" t="s">
        <v>1194</v>
      </c>
      <c r="E147" s="172"/>
      <c r="F147" s="172"/>
    </row>
    <row r="148" spans="1:6" ht="24" customHeight="1">
      <c r="A148" s="200" t="s">
        <v>9</v>
      </c>
      <c r="B148" s="172" t="s">
        <v>1192</v>
      </c>
      <c r="C148" s="172" t="s">
        <v>1195</v>
      </c>
      <c r="D148" s="172" t="s">
        <v>1196</v>
      </c>
      <c r="E148" s="172" t="s">
        <v>799</v>
      </c>
      <c r="F148" s="172" t="s">
        <v>800</v>
      </c>
    </row>
    <row r="149" spans="1:6" ht="24" customHeight="1">
      <c r="A149" s="200" t="s">
        <v>9</v>
      </c>
      <c r="B149" s="172" t="s">
        <v>1192</v>
      </c>
      <c r="C149" s="172" t="s">
        <v>1197</v>
      </c>
      <c r="D149" s="172" t="s">
        <v>1198</v>
      </c>
      <c r="E149" s="172" t="s">
        <v>799</v>
      </c>
      <c r="F149" s="172" t="s">
        <v>837</v>
      </c>
    </row>
    <row r="150" spans="1:6" ht="24" customHeight="1">
      <c r="A150" s="200" t="s">
        <v>9</v>
      </c>
      <c r="B150" s="172" t="s">
        <v>1192</v>
      </c>
      <c r="C150" s="172" t="s">
        <v>1199</v>
      </c>
      <c r="D150" s="172" t="s">
        <v>1200</v>
      </c>
      <c r="E150" s="172"/>
      <c r="F150" s="172" t="s">
        <v>1201</v>
      </c>
    </row>
    <row r="151" spans="1:6" ht="24" customHeight="1">
      <c r="A151" s="200" t="s">
        <v>9</v>
      </c>
      <c r="B151" s="172" t="s">
        <v>1202</v>
      </c>
      <c r="C151" s="172" t="s">
        <v>1203</v>
      </c>
      <c r="D151" s="172" t="s">
        <v>1204</v>
      </c>
      <c r="E151" s="172"/>
      <c r="F151" s="172"/>
    </row>
    <row r="152" spans="1:6" ht="24" customHeight="1">
      <c r="A152" s="200" t="s">
        <v>9</v>
      </c>
      <c r="B152" s="172" t="s">
        <v>1202</v>
      </c>
      <c r="C152" s="172" t="s">
        <v>1205</v>
      </c>
      <c r="D152" s="172" t="s">
        <v>1206</v>
      </c>
      <c r="E152" s="172"/>
      <c r="F152" s="172"/>
    </row>
    <row r="153" spans="1:6" ht="24" customHeight="1">
      <c r="A153" s="200" t="s">
        <v>9</v>
      </c>
      <c r="B153" s="172" t="s">
        <v>1202</v>
      </c>
      <c r="C153" s="172" t="s">
        <v>1207</v>
      </c>
      <c r="D153" s="172" t="s">
        <v>1208</v>
      </c>
      <c r="E153" s="172"/>
      <c r="F153" s="172"/>
    </row>
    <row r="154" spans="1:6" ht="24" customHeight="1">
      <c r="A154" s="200" t="s">
        <v>9</v>
      </c>
      <c r="B154" s="172" t="s">
        <v>1202</v>
      </c>
      <c r="C154" s="172" t="s">
        <v>1209</v>
      </c>
      <c r="D154" s="172" t="s">
        <v>1210</v>
      </c>
      <c r="E154" s="172"/>
      <c r="F154" s="172"/>
    </row>
    <row r="155" spans="1:6" ht="24" customHeight="1">
      <c r="A155" s="200" t="s">
        <v>9</v>
      </c>
      <c r="B155" s="172" t="s">
        <v>1211</v>
      </c>
      <c r="C155" s="172" t="s">
        <v>1212</v>
      </c>
      <c r="D155" s="172" t="s">
        <v>1213</v>
      </c>
      <c r="E155" s="172" t="s">
        <v>799</v>
      </c>
      <c r="F155" s="172" t="s">
        <v>800</v>
      </c>
    </row>
    <row r="156" spans="1:6" ht="24" customHeight="1">
      <c r="A156" s="200" t="s">
        <v>9</v>
      </c>
      <c r="B156" s="172" t="s">
        <v>1211</v>
      </c>
      <c r="C156" s="172" t="s">
        <v>1214</v>
      </c>
      <c r="D156" s="172" t="s">
        <v>1215</v>
      </c>
      <c r="E156" s="172" t="s">
        <v>799</v>
      </c>
      <c r="F156" s="172" t="s">
        <v>800</v>
      </c>
    </row>
    <row r="157" spans="1:6" ht="24" customHeight="1">
      <c r="A157" s="200" t="s">
        <v>9</v>
      </c>
      <c r="B157" s="172" t="s">
        <v>1211</v>
      </c>
      <c r="C157" s="172" t="s">
        <v>1216</v>
      </c>
      <c r="D157" s="172" t="s">
        <v>1217</v>
      </c>
      <c r="E157" s="172" t="s">
        <v>799</v>
      </c>
      <c r="F157" s="172" t="s">
        <v>800</v>
      </c>
    </row>
    <row r="158" spans="1:6" ht="24" customHeight="1">
      <c r="A158" s="200" t="s">
        <v>9</v>
      </c>
      <c r="B158" s="172" t="s">
        <v>1211</v>
      </c>
      <c r="C158" s="172" t="s">
        <v>1218</v>
      </c>
      <c r="D158" s="172" t="s">
        <v>1219</v>
      </c>
      <c r="E158" s="172" t="s">
        <v>799</v>
      </c>
      <c r="F158" s="172" t="s">
        <v>800</v>
      </c>
    </row>
    <row r="159" spans="1:6" ht="24" customHeight="1">
      <c r="A159" s="200" t="s">
        <v>9</v>
      </c>
      <c r="B159" s="172" t="s">
        <v>1220</v>
      </c>
      <c r="C159" s="172" t="s">
        <v>1221</v>
      </c>
      <c r="D159" s="172" t="s">
        <v>1222</v>
      </c>
      <c r="E159" s="172" t="s">
        <v>799</v>
      </c>
      <c r="F159" s="172" t="s">
        <v>837</v>
      </c>
    </row>
    <row r="160" spans="1:6" ht="24" customHeight="1">
      <c r="A160" s="200" t="s">
        <v>9</v>
      </c>
      <c r="B160" s="172" t="s">
        <v>1220</v>
      </c>
      <c r="C160" s="172" t="s">
        <v>1223</v>
      </c>
      <c r="D160" s="172" t="s">
        <v>1224</v>
      </c>
      <c r="E160" s="172"/>
      <c r="F160" s="172"/>
    </row>
    <row r="161" spans="1:6" ht="24" customHeight="1">
      <c r="A161" s="200" t="s">
        <v>9</v>
      </c>
      <c r="B161" s="172" t="s">
        <v>1220</v>
      </c>
      <c r="C161" s="172" t="s">
        <v>1225</v>
      </c>
      <c r="D161" s="172" t="s">
        <v>1226</v>
      </c>
      <c r="E161" s="172"/>
      <c r="F161" s="172"/>
    </row>
    <row r="162" spans="1:6" ht="24" customHeight="1">
      <c r="A162" s="200" t="s">
        <v>9</v>
      </c>
      <c r="B162" s="172" t="s">
        <v>1220</v>
      </c>
      <c r="C162" s="172" t="s">
        <v>1227</v>
      </c>
      <c r="D162" s="172" t="s">
        <v>1228</v>
      </c>
      <c r="E162" s="172"/>
      <c r="F162" s="172"/>
    </row>
    <row r="163" spans="1:6" ht="24" customHeight="1">
      <c r="A163" s="200" t="s">
        <v>9</v>
      </c>
      <c r="B163" s="172" t="s">
        <v>1229</v>
      </c>
      <c r="C163" s="172" t="s">
        <v>1230</v>
      </c>
      <c r="D163" s="172" t="s">
        <v>1231</v>
      </c>
      <c r="E163" s="172" t="s">
        <v>799</v>
      </c>
      <c r="F163" s="172" t="s">
        <v>800</v>
      </c>
    </row>
    <row r="164" spans="1:6" ht="24" customHeight="1">
      <c r="A164" s="200" t="s">
        <v>9</v>
      </c>
      <c r="B164" s="172" t="s">
        <v>1229</v>
      </c>
      <c r="C164" s="172" t="s">
        <v>1232</v>
      </c>
      <c r="D164" s="172" t="s">
        <v>1233</v>
      </c>
      <c r="E164" s="172" t="s">
        <v>836</v>
      </c>
      <c r="F164" s="172" t="s">
        <v>800</v>
      </c>
    </row>
    <row r="165" spans="1:6" ht="24" customHeight="1">
      <c r="A165" s="200" t="s">
        <v>9</v>
      </c>
      <c r="B165" s="172" t="s">
        <v>1229</v>
      </c>
      <c r="C165" s="172" t="s">
        <v>1234</v>
      </c>
      <c r="D165" s="172" t="s">
        <v>1235</v>
      </c>
      <c r="E165" s="172" t="s">
        <v>836</v>
      </c>
      <c r="F165" s="172" t="s">
        <v>800</v>
      </c>
    </row>
    <row r="166" spans="1:6" ht="24" customHeight="1">
      <c r="A166" s="200" t="s">
        <v>9</v>
      </c>
      <c r="B166" s="172" t="s">
        <v>1229</v>
      </c>
      <c r="C166" s="172" t="s">
        <v>1236</v>
      </c>
      <c r="D166" s="172" t="s">
        <v>1237</v>
      </c>
      <c r="E166" s="172"/>
      <c r="F166" s="172" t="s">
        <v>800</v>
      </c>
    </row>
    <row r="167" spans="1:6" ht="24" customHeight="1">
      <c r="A167" s="200" t="s">
        <v>9</v>
      </c>
      <c r="B167" s="172" t="s">
        <v>1229</v>
      </c>
      <c r="C167" s="172" t="s">
        <v>1238</v>
      </c>
      <c r="D167" s="172" t="s">
        <v>1239</v>
      </c>
      <c r="E167" s="172"/>
      <c r="F167" s="172" t="s">
        <v>800</v>
      </c>
    </row>
    <row r="168" spans="1:6" ht="24" customHeight="1">
      <c r="A168" s="200" t="s">
        <v>9</v>
      </c>
      <c r="B168" s="172" t="s">
        <v>1240</v>
      </c>
      <c r="C168" s="172" t="s">
        <v>1241</v>
      </c>
      <c r="D168" s="172" t="s">
        <v>1242</v>
      </c>
      <c r="E168" s="172"/>
      <c r="F168" s="172" t="s">
        <v>1201</v>
      </c>
    </row>
    <row r="169" spans="1:6" ht="24" customHeight="1">
      <c r="A169" s="200" t="s">
        <v>9</v>
      </c>
      <c r="B169" s="172" t="s">
        <v>1243</v>
      </c>
      <c r="C169" s="172" t="s">
        <v>1244</v>
      </c>
      <c r="D169" s="172" t="s">
        <v>1245</v>
      </c>
      <c r="E169" s="172"/>
      <c r="F169" s="172"/>
    </row>
    <row r="170" spans="1:6" ht="24" customHeight="1">
      <c r="A170" s="200" t="s">
        <v>9</v>
      </c>
      <c r="B170" s="172" t="s">
        <v>1243</v>
      </c>
      <c r="C170" s="172" t="s">
        <v>1246</v>
      </c>
      <c r="D170" s="172" t="s">
        <v>1247</v>
      </c>
      <c r="E170" s="172"/>
      <c r="F170" s="172"/>
    </row>
    <row r="171" spans="1:6" ht="24" customHeight="1">
      <c r="A171" s="200" t="s">
        <v>9</v>
      </c>
      <c r="B171" s="172" t="s">
        <v>1243</v>
      </c>
      <c r="C171" s="172" t="s">
        <v>1248</v>
      </c>
      <c r="D171" s="172" t="s">
        <v>1249</v>
      </c>
      <c r="E171" s="172"/>
      <c r="F171" s="172"/>
    </row>
    <row r="172" spans="1:6" ht="24" customHeight="1">
      <c r="A172" s="200" t="s">
        <v>9</v>
      </c>
      <c r="B172" s="172" t="s">
        <v>1243</v>
      </c>
      <c r="C172" s="172" t="s">
        <v>1250</v>
      </c>
      <c r="D172" s="172" t="s">
        <v>1251</v>
      </c>
      <c r="E172" s="172"/>
      <c r="F172" s="172"/>
    </row>
    <row r="173" spans="1:6" ht="24" customHeight="1">
      <c r="A173" s="200" t="s">
        <v>9</v>
      </c>
      <c r="B173" s="172" t="s">
        <v>1252</v>
      </c>
      <c r="C173" s="172" t="s">
        <v>1253</v>
      </c>
      <c r="D173" s="172" t="s">
        <v>1254</v>
      </c>
      <c r="E173" s="172"/>
      <c r="F173" s="172"/>
    </row>
    <row r="174" spans="1:6" ht="24" customHeight="1">
      <c r="A174" s="200" t="s">
        <v>9</v>
      </c>
      <c r="B174" s="172" t="s">
        <v>1252</v>
      </c>
      <c r="C174" s="172" t="s">
        <v>1255</v>
      </c>
      <c r="D174" s="172" t="s">
        <v>1256</v>
      </c>
      <c r="E174" s="172"/>
      <c r="F174" s="172"/>
    </row>
    <row r="175" spans="1:6" ht="24" customHeight="1">
      <c r="A175" s="200" t="s">
        <v>9</v>
      </c>
      <c r="B175" s="172" t="s">
        <v>1252</v>
      </c>
      <c r="C175" s="172" t="s">
        <v>1257</v>
      </c>
      <c r="D175" s="172" t="s">
        <v>1258</v>
      </c>
      <c r="E175" s="172"/>
      <c r="F175" s="172"/>
    </row>
    <row r="176" spans="1:6" ht="24" customHeight="1">
      <c r="A176" s="200" t="s">
        <v>9</v>
      </c>
      <c r="B176" s="172" t="s">
        <v>1252</v>
      </c>
      <c r="C176" s="172" t="s">
        <v>1259</v>
      </c>
      <c r="D176" s="172" t="s">
        <v>1260</v>
      </c>
      <c r="E176" s="172"/>
      <c r="F176" s="172"/>
    </row>
    <row r="177" spans="1:6" ht="24" customHeight="1">
      <c r="A177" s="200" t="s">
        <v>9</v>
      </c>
      <c r="B177" s="172" t="s">
        <v>1261</v>
      </c>
      <c r="C177" s="172" t="s">
        <v>1262</v>
      </c>
      <c r="D177" s="172" t="s">
        <v>1263</v>
      </c>
      <c r="E177" s="172" t="s">
        <v>799</v>
      </c>
      <c r="F177" s="172" t="s">
        <v>837</v>
      </c>
    </row>
    <row r="178" spans="1:6" ht="24" customHeight="1">
      <c r="A178" s="200" t="s">
        <v>9</v>
      </c>
      <c r="B178" s="172" t="s">
        <v>1261</v>
      </c>
      <c r="C178" s="172" t="s">
        <v>1264</v>
      </c>
      <c r="D178" s="172" t="s">
        <v>1265</v>
      </c>
      <c r="E178" s="172"/>
      <c r="F178" s="172"/>
    </row>
    <row r="179" spans="1:6" ht="24" customHeight="1">
      <c r="A179" s="200" t="s">
        <v>9</v>
      </c>
      <c r="B179" s="172" t="s">
        <v>1261</v>
      </c>
      <c r="C179" s="172" t="s">
        <v>1266</v>
      </c>
      <c r="D179" s="172" t="s">
        <v>1267</v>
      </c>
      <c r="E179" s="172"/>
      <c r="F179" s="172" t="s">
        <v>1268</v>
      </c>
    </row>
    <row r="180" spans="1:6" ht="24" customHeight="1">
      <c r="A180" s="200" t="s">
        <v>9</v>
      </c>
      <c r="B180" s="172" t="s">
        <v>1261</v>
      </c>
      <c r="C180" s="172" t="s">
        <v>1269</v>
      </c>
      <c r="D180" s="172" t="s">
        <v>1270</v>
      </c>
      <c r="E180" s="172"/>
      <c r="F180" s="172"/>
    </row>
    <row r="181" spans="1:6" ht="24" customHeight="1">
      <c r="A181" s="200" t="s">
        <v>9</v>
      </c>
      <c r="B181" s="172" t="s">
        <v>1271</v>
      </c>
      <c r="C181" s="172" t="s">
        <v>1272</v>
      </c>
      <c r="D181" s="172" t="s">
        <v>1273</v>
      </c>
      <c r="E181" s="172" t="s">
        <v>799</v>
      </c>
      <c r="F181" s="172" t="s">
        <v>837</v>
      </c>
    </row>
    <row r="182" spans="1:6" ht="24" customHeight="1">
      <c r="A182" s="200" t="s">
        <v>9</v>
      </c>
      <c r="B182" s="172" t="s">
        <v>1271</v>
      </c>
      <c r="C182" s="172" t="s">
        <v>1274</v>
      </c>
      <c r="D182" s="172" t="s">
        <v>1275</v>
      </c>
      <c r="E182" s="172" t="s">
        <v>836</v>
      </c>
      <c r="F182" s="172" t="s">
        <v>837</v>
      </c>
    </row>
    <row r="183" spans="1:6" ht="24" customHeight="1">
      <c r="A183" s="200" t="s">
        <v>9</v>
      </c>
      <c r="B183" s="172" t="s">
        <v>1271</v>
      </c>
      <c r="C183" s="172" t="s">
        <v>1276</v>
      </c>
      <c r="D183" s="172" t="s">
        <v>1277</v>
      </c>
      <c r="E183" s="172" t="s">
        <v>836</v>
      </c>
      <c r="F183" s="172" t="s">
        <v>837</v>
      </c>
    </row>
    <row r="184" spans="1:6" ht="24" customHeight="1">
      <c r="A184" s="200" t="s">
        <v>9</v>
      </c>
      <c r="B184" s="172" t="s">
        <v>1271</v>
      </c>
      <c r="C184" s="172" t="s">
        <v>1278</v>
      </c>
      <c r="D184" s="172" t="s">
        <v>1279</v>
      </c>
      <c r="E184" s="172"/>
      <c r="F184" s="172" t="s">
        <v>829</v>
      </c>
    </row>
    <row r="185" spans="1:6" ht="24" customHeight="1">
      <c r="A185" s="200" t="s">
        <v>9</v>
      </c>
      <c r="B185" s="172" t="s">
        <v>1271</v>
      </c>
      <c r="C185" s="172" t="s">
        <v>1280</v>
      </c>
      <c r="D185" s="172" t="s">
        <v>1281</v>
      </c>
      <c r="E185" s="172"/>
      <c r="F185" s="172" t="s">
        <v>829</v>
      </c>
    </row>
    <row r="186" spans="1:6" ht="24" customHeight="1">
      <c r="A186" s="200" t="s">
        <v>9</v>
      </c>
      <c r="B186" s="172" t="s">
        <v>1282</v>
      </c>
      <c r="C186" s="172" t="s">
        <v>1283</v>
      </c>
      <c r="D186" s="172" t="s">
        <v>1284</v>
      </c>
      <c r="E186" s="172"/>
      <c r="F186" s="172"/>
    </row>
    <row r="187" spans="1:6" ht="24" customHeight="1">
      <c r="A187" s="200" t="s">
        <v>9</v>
      </c>
      <c r="B187" s="172" t="s">
        <v>1282</v>
      </c>
      <c r="C187" s="172" t="s">
        <v>1285</v>
      </c>
      <c r="D187" s="172" t="s">
        <v>1286</v>
      </c>
      <c r="E187" s="172"/>
      <c r="F187" s="172"/>
    </row>
    <row r="188" spans="1:6" ht="24" customHeight="1">
      <c r="A188" s="200" t="s">
        <v>9</v>
      </c>
      <c r="B188" s="172" t="s">
        <v>1282</v>
      </c>
      <c r="C188" s="172" t="s">
        <v>1287</v>
      </c>
      <c r="D188" s="172" t="s">
        <v>1288</v>
      </c>
      <c r="E188" s="172"/>
      <c r="F188" s="172"/>
    </row>
    <row r="189" spans="1:6" ht="24" customHeight="1">
      <c r="A189" s="200" t="s">
        <v>9</v>
      </c>
      <c r="B189" s="172" t="s">
        <v>1282</v>
      </c>
      <c r="C189" s="172" t="s">
        <v>1289</v>
      </c>
      <c r="D189" s="172" t="s">
        <v>1290</v>
      </c>
      <c r="E189" s="172"/>
      <c r="F189" s="172"/>
    </row>
    <row r="190" spans="1:6" ht="24" customHeight="1">
      <c r="A190" s="200" t="s">
        <v>9</v>
      </c>
      <c r="B190" s="172" t="s">
        <v>1291</v>
      </c>
      <c r="C190" s="172" t="s">
        <v>1292</v>
      </c>
      <c r="D190" s="172" t="s">
        <v>1293</v>
      </c>
      <c r="E190" s="172"/>
      <c r="F190" s="172"/>
    </row>
    <row r="191" spans="1:6" ht="24" customHeight="1">
      <c r="A191" s="200" t="s">
        <v>9</v>
      </c>
      <c r="B191" s="172" t="s">
        <v>1291</v>
      </c>
      <c r="C191" s="172" t="s">
        <v>1294</v>
      </c>
      <c r="D191" s="172" t="s">
        <v>1295</v>
      </c>
      <c r="E191" s="172"/>
      <c r="F191" s="172"/>
    </row>
    <row r="192" spans="1:6" ht="24" customHeight="1">
      <c r="A192" s="200" t="s">
        <v>9</v>
      </c>
      <c r="B192" s="172" t="s">
        <v>1291</v>
      </c>
      <c r="C192" s="172" t="s">
        <v>1296</v>
      </c>
      <c r="D192" s="172" t="s">
        <v>1297</v>
      </c>
      <c r="E192" s="172"/>
      <c r="F192" s="172"/>
    </row>
    <row r="193" spans="1:6" ht="24" customHeight="1">
      <c r="A193" s="200" t="s">
        <v>9</v>
      </c>
      <c r="B193" s="172" t="s">
        <v>1291</v>
      </c>
      <c r="C193" s="172" t="s">
        <v>1298</v>
      </c>
      <c r="D193" s="172" t="s">
        <v>1299</v>
      </c>
      <c r="E193" s="172"/>
      <c r="F193" s="172"/>
    </row>
    <row r="194" spans="1:6" ht="24" customHeight="1">
      <c r="A194" s="200" t="s">
        <v>9</v>
      </c>
      <c r="B194" s="172" t="s">
        <v>1300</v>
      </c>
      <c r="C194" s="172" t="s">
        <v>1301</v>
      </c>
      <c r="D194" s="172" t="s">
        <v>1302</v>
      </c>
      <c r="E194" s="172" t="s">
        <v>799</v>
      </c>
      <c r="F194" s="172" t="s">
        <v>829</v>
      </c>
    </row>
    <row r="195" spans="1:6" ht="24" customHeight="1">
      <c r="A195" s="200" t="s">
        <v>9</v>
      </c>
      <c r="B195" s="172" t="s">
        <v>1300</v>
      </c>
      <c r="C195" s="172" t="s">
        <v>1303</v>
      </c>
      <c r="D195" s="172" t="s">
        <v>1304</v>
      </c>
      <c r="E195" s="172"/>
      <c r="F195" s="172" t="s">
        <v>829</v>
      </c>
    </row>
    <row r="196" spans="1:6" ht="24" customHeight="1">
      <c r="A196" s="200" t="s">
        <v>9</v>
      </c>
      <c r="B196" s="172" t="s">
        <v>1300</v>
      </c>
      <c r="C196" s="172" t="s">
        <v>1305</v>
      </c>
      <c r="D196" s="172" t="s">
        <v>1306</v>
      </c>
      <c r="E196" s="172"/>
      <c r="F196" s="172"/>
    </row>
    <row r="197" spans="1:6" ht="24" customHeight="1">
      <c r="A197" s="200" t="s">
        <v>9</v>
      </c>
      <c r="B197" s="172" t="s">
        <v>1300</v>
      </c>
      <c r="C197" s="172" t="s">
        <v>1307</v>
      </c>
      <c r="D197" s="172" t="s">
        <v>1308</v>
      </c>
      <c r="E197" s="172"/>
      <c r="F197" s="172" t="s">
        <v>1309</v>
      </c>
    </row>
    <row r="198" spans="1:6" ht="24" customHeight="1">
      <c r="A198" s="200" t="s">
        <v>9</v>
      </c>
      <c r="B198" s="172" t="s">
        <v>1300</v>
      </c>
      <c r="C198" s="172" t="s">
        <v>1310</v>
      </c>
      <c r="D198" s="172" t="s">
        <v>1311</v>
      </c>
      <c r="E198" s="172"/>
      <c r="F198" s="172"/>
    </row>
    <row r="199" spans="1:6" ht="24" customHeight="1">
      <c r="A199" s="200" t="s">
        <v>9</v>
      </c>
      <c r="B199" s="172" t="s">
        <v>1312</v>
      </c>
      <c r="C199" s="172" t="s">
        <v>1313</v>
      </c>
      <c r="D199" s="172" t="s">
        <v>1314</v>
      </c>
      <c r="E199" s="172" t="s">
        <v>799</v>
      </c>
      <c r="F199" s="172" t="s">
        <v>833</v>
      </c>
    </row>
    <row r="200" spans="1:6" ht="24" customHeight="1">
      <c r="A200" s="200" t="s">
        <v>9</v>
      </c>
      <c r="B200" s="172" t="s">
        <v>1312</v>
      </c>
      <c r="C200" s="172" t="s">
        <v>1315</v>
      </c>
      <c r="D200" s="172" t="s">
        <v>1316</v>
      </c>
      <c r="E200" s="172" t="s">
        <v>836</v>
      </c>
      <c r="F200" s="172" t="s">
        <v>833</v>
      </c>
    </row>
    <row r="201" spans="1:6" ht="24" customHeight="1">
      <c r="A201" s="200" t="s">
        <v>9</v>
      </c>
      <c r="B201" s="172" t="s">
        <v>1312</v>
      </c>
      <c r="C201" s="172" t="s">
        <v>1317</v>
      </c>
      <c r="D201" s="172" t="s">
        <v>1318</v>
      </c>
      <c r="E201" s="172"/>
      <c r="F201" s="172" t="s">
        <v>833</v>
      </c>
    </row>
    <row r="202" spans="1:6" ht="24" customHeight="1">
      <c r="A202" s="200" t="s">
        <v>9</v>
      </c>
      <c r="B202" s="172" t="s">
        <v>1312</v>
      </c>
      <c r="C202" s="172" t="s">
        <v>1319</v>
      </c>
      <c r="D202" s="172" t="s">
        <v>1320</v>
      </c>
      <c r="E202" s="172"/>
      <c r="F202" s="172" t="s">
        <v>1118</v>
      </c>
    </row>
    <row r="203" spans="1:6" ht="24" customHeight="1">
      <c r="A203" s="200" t="s">
        <v>9</v>
      </c>
      <c r="B203" s="172" t="s">
        <v>1312</v>
      </c>
      <c r="C203" s="172" t="s">
        <v>1321</v>
      </c>
      <c r="D203" s="172" t="s">
        <v>1322</v>
      </c>
      <c r="E203" s="172"/>
      <c r="F203" s="172" t="s">
        <v>978</v>
      </c>
    </row>
    <row r="204" spans="1:6" ht="24" customHeight="1">
      <c r="A204" s="202" t="s">
        <v>447</v>
      </c>
      <c r="B204" s="172" t="s">
        <v>1323</v>
      </c>
      <c r="C204" s="172" t="s">
        <v>1324</v>
      </c>
      <c r="D204" s="172" t="s">
        <v>1325</v>
      </c>
      <c r="E204" s="172" t="s">
        <v>875</v>
      </c>
      <c r="F204" s="172" t="s">
        <v>1326</v>
      </c>
    </row>
    <row r="205" spans="1:6" ht="24" customHeight="1">
      <c r="A205" s="202" t="s">
        <v>447</v>
      </c>
      <c r="B205" s="172" t="s">
        <v>1323</v>
      </c>
      <c r="C205" s="172" t="s">
        <v>1327</v>
      </c>
      <c r="D205" s="172" t="s">
        <v>1328</v>
      </c>
      <c r="E205" s="172" t="s">
        <v>857</v>
      </c>
      <c r="F205" s="172" t="s">
        <v>1326</v>
      </c>
    </row>
    <row r="206" spans="1:6" ht="24" customHeight="1">
      <c r="A206" s="202" t="s">
        <v>447</v>
      </c>
      <c r="B206" s="172" t="s">
        <v>1323</v>
      </c>
      <c r="C206" s="172" t="s">
        <v>1329</v>
      </c>
      <c r="D206" s="172" t="s">
        <v>1330</v>
      </c>
      <c r="E206" s="172" t="s">
        <v>799</v>
      </c>
      <c r="F206" s="172" t="s">
        <v>1326</v>
      </c>
    </row>
    <row r="207" spans="1:6" ht="24" customHeight="1">
      <c r="A207" s="202" t="s">
        <v>447</v>
      </c>
      <c r="B207" s="172" t="s">
        <v>1323</v>
      </c>
      <c r="C207" s="172" t="s">
        <v>1331</v>
      </c>
      <c r="D207" s="172" t="s">
        <v>1332</v>
      </c>
      <c r="E207" s="172" t="s">
        <v>836</v>
      </c>
      <c r="F207" s="172" t="s">
        <v>1326</v>
      </c>
    </row>
    <row r="208" spans="1:6" ht="24" customHeight="1">
      <c r="A208" s="202" t="s">
        <v>447</v>
      </c>
      <c r="B208" s="172" t="s">
        <v>1333</v>
      </c>
      <c r="C208" s="172" t="s">
        <v>1334</v>
      </c>
      <c r="D208" s="172" t="s">
        <v>1335</v>
      </c>
      <c r="E208" s="172" t="s">
        <v>799</v>
      </c>
      <c r="F208" s="172" t="s">
        <v>1326</v>
      </c>
    </row>
    <row r="209" spans="1:6" ht="24" customHeight="1">
      <c r="A209" s="202" t="s">
        <v>447</v>
      </c>
      <c r="B209" s="172" t="s">
        <v>1333</v>
      </c>
      <c r="C209" s="172" t="s">
        <v>1336</v>
      </c>
      <c r="D209" s="172" t="s">
        <v>1337</v>
      </c>
      <c r="E209" s="172" t="s">
        <v>1338</v>
      </c>
      <c r="F209" s="172" t="s">
        <v>1326</v>
      </c>
    </row>
    <row r="210" spans="1:6" ht="24" customHeight="1">
      <c r="A210" s="202" t="s">
        <v>447</v>
      </c>
      <c r="B210" s="172" t="s">
        <v>1333</v>
      </c>
      <c r="C210" s="172" t="s">
        <v>1339</v>
      </c>
      <c r="D210" s="172" t="s">
        <v>1340</v>
      </c>
      <c r="E210" s="172" t="s">
        <v>799</v>
      </c>
      <c r="F210" s="172" t="s">
        <v>1326</v>
      </c>
    </row>
    <row r="211" spans="1:6" ht="24" customHeight="1">
      <c r="A211" s="202" t="s">
        <v>447</v>
      </c>
      <c r="B211" s="172" t="s">
        <v>1333</v>
      </c>
      <c r="C211" s="172" t="s">
        <v>1341</v>
      </c>
      <c r="D211" s="172" t="s">
        <v>1342</v>
      </c>
      <c r="E211" s="172" t="s">
        <v>819</v>
      </c>
      <c r="F211" s="172" t="s">
        <v>1343</v>
      </c>
    </row>
    <row r="212" spans="1:6" ht="24" customHeight="1">
      <c r="A212" s="202" t="s">
        <v>447</v>
      </c>
      <c r="B212" s="172" t="s">
        <v>1344</v>
      </c>
      <c r="C212" s="172" t="s">
        <v>1345</v>
      </c>
      <c r="D212" s="172" t="s">
        <v>1346</v>
      </c>
      <c r="E212" s="172" t="s">
        <v>799</v>
      </c>
      <c r="F212" s="172" t="s">
        <v>1326</v>
      </c>
    </row>
    <row r="213" spans="1:6" ht="24" customHeight="1">
      <c r="A213" s="202" t="s">
        <v>447</v>
      </c>
      <c r="B213" s="172" t="s">
        <v>1344</v>
      </c>
      <c r="C213" s="172" t="s">
        <v>1347</v>
      </c>
      <c r="D213" s="172" t="s">
        <v>1348</v>
      </c>
      <c r="E213" s="172" t="s">
        <v>857</v>
      </c>
      <c r="F213" s="172" t="s">
        <v>1326</v>
      </c>
    </row>
    <row r="214" spans="1:6" ht="24" customHeight="1">
      <c r="A214" s="202" t="s">
        <v>447</v>
      </c>
      <c r="B214" s="172" t="s">
        <v>1344</v>
      </c>
      <c r="C214" s="172" t="s">
        <v>1349</v>
      </c>
      <c r="D214" s="172" t="s">
        <v>1350</v>
      </c>
      <c r="E214" s="172" t="s">
        <v>799</v>
      </c>
      <c r="F214" s="172" t="s">
        <v>1326</v>
      </c>
    </row>
    <row r="215" spans="1:6" ht="24" customHeight="1">
      <c r="A215" s="202" t="s">
        <v>447</v>
      </c>
      <c r="B215" s="172" t="s">
        <v>1344</v>
      </c>
      <c r="C215" s="172" t="s">
        <v>1351</v>
      </c>
      <c r="D215" s="172" t="s">
        <v>1352</v>
      </c>
      <c r="E215" s="172" t="s">
        <v>836</v>
      </c>
      <c r="F215" s="172" t="s">
        <v>1343</v>
      </c>
    </row>
    <row r="216" spans="1:6" ht="24" customHeight="1">
      <c r="A216" s="202" t="s">
        <v>447</v>
      </c>
      <c r="B216" s="172" t="s">
        <v>1353</v>
      </c>
      <c r="C216" s="172" t="s">
        <v>1354</v>
      </c>
      <c r="D216" s="172" t="s">
        <v>1355</v>
      </c>
      <c r="E216" s="172" t="s">
        <v>799</v>
      </c>
      <c r="F216" s="172" t="s">
        <v>1326</v>
      </c>
    </row>
    <row r="217" spans="1:6" ht="24" customHeight="1">
      <c r="A217" s="202" t="s">
        <v>447</v>
      </c>
      <c r="B217" s="172" t="s">
        <v>1353</v>
      </c>
      <c r="C217" s="172" t="s">
        <v>1356</v>
      </c>
      <c r="D217" s="172" t="s">
        <v>1357</v>
      </c>
      <c r="E217" s="172" t="s">
        <v>799</v>
      </c>
      <c r="F217" s="172" t="s">
        <v>1326</v>
      </c>
    </row>
    <row r="218" spans="1:6" ht="24" customHeight="1">
      <c r="A218" s="202" t="s">
        <v>447</v>
      </c>
      <c r="B218" s="172" t="s">
        <v>1353</v>
      </c>
      <c r="C218" s="172" t="s">
        <v>1358</v>
      </c>
      <c r="D218" s="172" t="s">
        <v>1359</v>
      </c>
      <c r="E218" s="172" t="s">
        <v>799</v>
      </c>
      <c r="F218" s="172" t="s">
        <v>1326</v>
      </c>
    </row>
    <row r="219" spans="1:6" ht="24" customHeight="1">
      <c r="A219" s="202" t="s">
        <v>447</v>
      </c>
      <c r="B219" s="172" t="s">
        <v>1353</v>
      </c>
      <c r="C219" s="172" t="s">
        <v>1360</v>
      </c>
      <c r="D219" s="172" t="s">
        <v>1352</v>
      </c>
      <c r="E219" s="172" t="s">
        <v>836</v>
      </c>
      <c r="F219" s="172" t="s">
        <v>1343</v>
      </c>
    </row>
    <row r="220" spans="1:6" ht="24" customHeight="1">
      <c r="A220" s="202" t="s">
        <v>447</v>
      </c>
      <c r="B220" s="172" t="s">
        <v>1361</v>
      </c>
      <c r="C220" s="172" t="s">
        <v>1362</v>
      </c>
      <c r="D220" s="172" t="s">
        <v>1363</v>
      </c>
      <c r="E220" s="172" t="s">
        <v>875</v>
      </c>
      <c r="F220" s="172" t="s">
        <v>1364</v>
      </c>
    </row>
    <row r="221" spans="1:6" ht="24" customHeight="1">
      <c r="A221" s="202" t="s">
        <v>447</v>
      </c>
      <c r="B221" s="172" t="s">
        <v>1361</v>
      </c>
      <c r="C221" s="172" t="s">
        <v>1365</v>
      </c>
      <c r="D221" s="172" t="s">
        <v>1366</v>
      </c>
      <c r="E221" s="172" t="s">
        <v>868</v>
      </c>
      <c r="F221" s="172" t="s">
        <v>1326</v>
      </c>
    </row>
    <row r="222" spans="1:6" ht="24" customHeight="1">
      <c r="A222" s="202" t="s">
        <v>447</v>
      </c>
      <c r="B222" s="172" t="s">
        <v>1361</v>
      </c>
      <c r="C222" s="172" t="s">
        <v>1367</v>
      </c>
      <c r="D222" s="172" t="s">
        <v>1368</v>
      </c>
      <c r="E222" s="172" t="s">
        <v>799</v>
      </c>
      <c r="F222" s="172" t="s">
        <v>1326</v>
      </c>
    </row>
    <row r="223" spans="1:6" ht="24" customHeight="1">
      <c r="A223" s="202" t="s">
        <v>447</v>
      </c>
      <c r="B223" s="172" t="s">
        <v>1361</v>
      </c>
      <c r="C223" s="172" t="s">
        <v>1369</v>
      </c>
      <c r="D223" s="172" t="s">
        <v>1370</v>
      </c>
      <c r="E223" s="172" t="s">
        <v>1371</v>
      </c>
      <c r="F223" s="172"/>
    </row>
    <row r="224" spans="1:6" ht="24" customHeight="1">
      <c r="A224" s="202" t="s">
        <v>447</v>
      </c>
      <c r="B224" s="172" t="s">
        <v>1361</v>
      </c>
      <c r="C224" s="172" t="s">
        <v>1372</v>
      </c>
      <c r="D224" s="172" t="s">
        <v>1373</v>
      </c>
      <c r="E224" s="172" t="s">
        <v>799</v>
      </c>
      <c r="F224" s="172" t="s">
        <v>1326</v>
      </c>
    </row>
    <row r="225" spans="1:6" ht="24" customHeight="1">
      <c r="A225" s="202" t="s">
        <v>447</v>
      </c>
      <c r="B225" s="172" t="s">
        <v>1361</v>
      </c>
      <c r="C225" s="172" t="s">
        <v>1374</v>
      </c>
      <c r="D225" s="172" t="s">
        <v>1375</v>
      </c>
      <c r="E225" s="172"/>
      <c r="F225" s="172" t="s">
        <v>1376</v>
      </c>
    </row>
    <row r="226" spans="1:6" ht="24" customHeight="1">
      <c r="A226" s="202" t="s">
        <v>447</v>
      </c>
      <c r="B226" s="172" t="s">
        <v>1377</v>
      </c>
      <c r="C226" s="172" t="s">
        <v>1378</v>
      </c>
      <c r="D226" s="172" t="s">
        <v>1379</v>
      </c>
      <c r="E226" s="172" t="s">
        <v>799</v>
      </c>
      <c r="F226" s="172" t="s">
        <v>1326</v>
      </c>
    </row>
    <row r="227" spans="1:6" ht="24" customHeight="1">
      <c r="A227" s="202" t="s">
        <v>447</v>
      </c>
      <c r="B227" s="172" t="s">
        <v>1377</v>
      </c>
      <c r="C227" s="172" t="s">
        <v>1380</v>
      </c>
      <c r="D227" s="172" t="s">
        <v>1381</v>
      </c>
      <c r="E227" s="172" t="s">
        <v>799</v>
      </c>
      <c r="F227" s="172" t="s">
        <v>1326</v>
      </c>
    </row>
    <row r="228" spans="1:6" ht="24" customHeight="1">
      <c r="A228" s="202" t="s">
        <v>447</v>
      </c>
      <c r="B228" s="172" t="s">
        <v>1377</v>
      </c>
      <c r="C228" s="172" t="s">
        <v>1382</v>
      </c>
      <c r="D228" s="172" t="s">
        <v>1383</v>
      </c>
      <c r="E228" s="172" t="s">
        <v>799</v>
      </c>
      <c r="F228" s="172" t="s">
        <v>1326</v>
      </c>
    </row>
    <row r="229" spans="1:6" ht="24" customHeight="1">
      <c r="A229" s="202" t="s">
        <v>447</v>
      </c>
      <c r="B229" s="172" t="s">
        <v>1377</v>
      </c>
      <c r="C229" s="172" t="s">
        <v>1384</v>
      </c>
      <c r="D229" s="172" t="s">
        <v>1385</v>
      </c>
      <c r="E229" s="172" t="s">
        <v>799</v>
      </c>
      <c r="F229" s="172" t="s">
        <v>1364</v>
      </c>
    </row>
    <row r="230" spans="1:6" ht="24" customHeight="1">
      <c r="A230" s="202" t="s">
        <v>447</v>
      </c>
      <c r="B230" s="172" t="s">
        <v>1377</v>
      </c>
      <c r="C230" s="172" t="s">
        <v>1386</v>
      </c>
      <c r="D230" s="172" t="s">
        <v>1387</v>
      </c>
      <c r="E230" s="172"/>
      <c r="F230" s="172" t="s">
        <v>1364</v>
      </c>
    </row>
    <row r="231" spans="1:6" ht="24" customHeight="1">
      <c r="A231" s="202" t="s">
        <v>447</v>
      </c>
      <c r="B231" s="172" t="s">
        <v>1377</v>
      </c>
      <c r="C231" s="172" t="s">
        <v>1388</v>
      </c>
      <c r="D231" s="172" t="s">
        <v>1389</v>
      </c>
      <c r="E231" s="172"/>
      <c r="F231" s="172" t="s">
        <v>1364</v>
      </c>
    </row>
  </sheetData>
  <mergeCells count="1">
    <mergeCell ref="A1:F1"/>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30DB-0D65-44F4-BB5B-86B267B79E40}">
  <sheetPr codeName="Sheet10">
    <tabColor rgb="FF866828"/>
  </sheetPr>
  <dimension ref="A1:Z343"/>
  <sheetViews>
    <sheetView workbookViewId="0"/>
  </sheetViews>
  <sheetFormatPr defaultRowHeight="14.4"/>
  <cols>
    <col min="1" max="1" width="10.77734375" style="9" customWidth="1"/>
    <col min="2" max="2" width="14.77734375" style="9" customWidth="1"/>
    <col min="3" max="3" width="18.77734375" style="9" customWidth="1"/>
    <col min="4" max="4" width="66.77734375" style="9" customWidth="1"/>
    <col min="5" max="5" width="10.77734375" style="9" customWidth="1"/>
    <col min="6" max="8" width="8.77734375" style="9" customWidth="1"/>
    <col min="9" max="9" width="16.77734375" style="9" customWidth="1"/>
    <col min="10" max="10" width="12.77734375" style="9" customWidth="1"/>
    <col min="11" max="11" width="20.77734375" style="9" customWidth="1"/>
    <col min="12" max="26" width="0" style="9" hidden="1" customWidth="1"/>
    <col min="27" max="16384" width="8.88671875" style="9"/>
  </cols>
  <sheetData>
    <row r="1" spans="1:26" ht="24" customHeight="1">
      <c r="A1" s="192" t="s">
        <v>1390</v>
      </c>
      <c r="B1" s="192"/>
      <c r="C1" s="192"/>
      <c r="D1" s="192"/>
      <c r="E1" s="192"/>
      <c r="F1" s="192"/>
      <c r="G1" s="192"/>
      <c r="H1" s="192"/>
      <c r="I1" s="192"/>
      <c r="J1" s="192"/>
      <c r="K1" s="192"/>
    </row>
    <row r="2" spans="1:26" ht="24" customHeight="1">
      <c r="A2" s="203" t="s">
        <v>1391</v>
      </c>
      <c r="B2" s="203"/>
      <c r="C2" s="203"/>
      <c r="D2" s="203"/>
      <c r="E2" s="203"/>
      <c r="F2" s="203"/>
      <c r="G2" s="203"/>
      <c r="H2" s="203"/>
      <c r="I2" s="203"/>
      <c r="J2" s="203"/>
      <c r="K2" s="203"/>
    </row>
    <row r="3" spans="1:26" ht="24" customHeight="1">
      <c r="A3" s="204"/>
      <c r="B3" s="204"/>
      <c r="C3" s="204"/>
      <c r="D3" s="204"/>
      <c r="E3" s="204"/>
      <c r="F3" s="204"/>
      <c r="G3" s="204"/>
      <c r="H3" s="204"/>
      <c r="I3" s="204"/>
      <c r="J3" s="204"/>
      <c r="K3" s="204"/>
    </row>
    <row r="4" spans="1:26" ht="24" customHeight="1">
      <c r="A4" s="171" t="s">
        <v>1392</v>
      </c>
      <c r="B4" s="171" t="s">
        <v>1393</v>
      </c>
      <c r="C4" s="171" t="s">
        <v>1394</v>
      </c>
      <c r="D4" s="171" t="s">
        <v>1395</v>
      </c>
      <c r="E4" s="171" t="s">
        <v>1396</v>
      </c>
      <c r="F4" s="171" t="s">
        <v>148</v>
      </c>
      <c r="G4" s="171" t="s">
        <v>1397</v>
      </c>
      <c r="H4" s="171" t="s">
        <v>1398</v>
      </c>
      <c r="I4" s="171" t="s">
        <v>1399</v>
      </c>
      <c r="J4" s="171" t="s">
        <v>1400</v>
      </c>
      <c r="K4" s="171" t="s">
        <v>136</v>
      </c>
      <c r="M4" s="9" t="s">
        <v>1394</v>
      </c>
      <c r="N4" s="9" t="s">
        <v>1395</v>
      </c>
      <c r="O4" s="9" t="s">
        <v>1396</v>
      </c>
      <c r="P4" s="9" t="s">
        <v>148</v>
      </c>
      <c r="Q4" s="9" t="s">
        <v>1397</v>
      </c>
      <c r="R4" s="9" t="s">
        <v>1398</v>
      </c>
      <c r="S4" s="9" t="s">
        <v>1399</v>
      </c>
      <c r="T4" s="9" t="s">
        <v>1400</v>
      </c>
      <c r="V4" s="9" t="s">
        <v>43</v>
      </c>
      <c r="W4" s="9" t="s">
        <v>49</v>
      </c>
      <c r="X4" s="9" t="s">
        <v>56</v>
      </c>
      <c r="Y4" s="9" t="s">
        <v>2165</v>
      </c>
      <c r="Z4" s="9" t="s">
        <v>2166</v>
      </c>
    </row>
    <row r="5" spans="1:26" ht="24" customHeight="1">
      <c r="A5" s="205" t="s">
        <v>1401</v>
      </c>
      <c r="B5" s="206" t="s">
        <v>1402</v>
      </c>
      <c r="C5" s="172" t="s">
        <v>1403</v>
      </c>
      <c r="D5" s="172" t="s">
        <v>1404</v>
      </c>
      <c r="E5" s="172">
        <v>30</v>
      </c>
      <c r="F5" s="172"/>
      <c r="G5" s="172"/>
      <c r="H5" s="172"/>
      <c r="I5" s="172"/>
      <c r="J5" s="172"/>
      <c r="K5" s="172"/>
      <c r="M5" s="9" t="s">
        <v>1403</v>
      </c>
      <c r="N5" s="9" t="s">
        <v>1404</v>
      </c>
      <c r="O5" s="9">
        <v>30</v>
      </c>
      <c r="V5" s="9" t="s">
        <v>248</v>
      </c>
      <c r="W5" s="9" t="s">
        <v>248</v>
      </c>
      <c r="X5" s="9" t="s">
        <v>248</v>
      </c>
      <c r="Y5" s="9" t="s">
        <v>248</v>
      </c>
      <c r="Z5" s="9" t="s">
        <v>248</v>
      </c>
    </row>
    <row r="6" spans="1:26" ht="24" customHeight="1">
      <c r="A6" s="205" t="s">
        <v>1401</v>
      </c>
      <c r="B6" s="206" t="s">
        <v>1402</v>
      </c>
      <c r="C6" s="172" t="s">
        <v>1405</v>
      </c>
      <c r="D6" s="172" t="s">
        <v>1406</v>
      </c>
      <c r="E6" s="172">
        <v>30</v>
      </c>
      <c r="F6" s="172"/>
      <c r="G6" s="172"/>
      <c r="H6" s="172"/>
      <c r="I6" s="172"/>
      <c r="J6" s="172"/>
      <c r="K6" s="172"/>
      <c r="M6" s="9" t="s">
        <v>1405</v>
      </c>
      <c r="N6" s="9" t="s">
        <v>1406</v>
      </c>
      <c r="O6" s="9">
        <v>30</v>
      </c>
      <c r="V6" s="9" t="s">
        <v>1591</v>
      </c>
      <c r="W6" s="9" t="s">
        <v>1487</v>
      </c>
      <c r="X6" s="9" t="s">
        <v>1641</v>
      </c>
      <c r="Y6" s="9" t="s">
        <v>1403</v>
      </c>
      <c r="Z6" s="9" t="s">
        <v>1760</v>
      </c>
    </row>
    <row r="7" spans="1:26" ht="24" customHeight="1">
      <c r="A7" s="205" t="s">
        <v>1401</v>
      </c>
      <c r="B7" s="206" t="s">
        <v>1402</v>
      </c>
      <c r="C7" s="172" t="s">
        <v>1407</v>
      </c>
      <c r="D7" s="172" t="s">
        <v>1408</v>
      </c>
      <c r="E7" s="172">
        <v>30</v>
      </c>
      <c r="F7" s="172"/>
      <c r="G7" s="172"/>
      <c r="H7" s="172"/>
      <c r="I7" s="172"/>
      <c r="J7" s="172"/>
      <c r="K7" s="172"/>
      <c r="M7" s="9" t="s">
        <v>1407</v>
      </c>
      <c r="N7" s="9" t="s">
        <v>1408</v>
      </c>
      <c r="O7" s="9">
        <v>30</v>
      </c>
      <c r="V7" s="9" t="s">
        <v>1594</v>
      </c>
      <c r="W7" s="9" t="s">
        <v>1490</v>
      </c>
      <c r="X7" s="9" t="s">
        <v>1644</v>
      </c>
      <c r="Y7" s="9" t="s">
        <v>1405</v>
      </c>
      <c r="Z7" s="9" t="s">
        <v>1763</v>
      </c>
    </row>
    <row r="8" spans="1:26" ht="24" customHeight="1">
      <c r="A8" s="205" t="s">
        <v>1401</v>
      </c>
      <c r="B8" s="206" t="s">
        <v>1402</v>
      </c>
      <c r="C8" s="172" t="s">
        <v>1409</v>
      </c>
      <c r="D8" s="172" t="s">
        <v>1410</v>
      </c>
      <c r="E8" s="172">
        <v>30</v>
      </c>
      <c r="F8" s="172"/>
      <c r="G8" s="172"/>
      <c r="H8" s="172"/>
      <c r="I8" s="172"/>
      <c r="J8" s="172"/>
      <c r="K8" s="172"/>
      <c r="M8" s="9" t="s">
        <v>1409</v>
      </c>
      <c r="N8" s="9" t="s">
        <v>1410</v>
      </c>
      <c r="O8" s="9">
        <v>30</v>
      </c>
      <c r="V8" s="9" t="s">
        <v>1597</v>
      </c>
      <c r="W8" s="9" t="s">
        <v>1493</v>
      </c>
      <c r="X8" s="9" t="s">
        <v>1646</v>
      </c>
      <c r="Y8" s="9" t="s">
        <v>1407</v>
      </c>
      <c r="Z8" s="9" t="s">
        <v>1010</v>
      </c>
    </row>
    <row r="9" spans="1:26" ht="24" customHeight="1">
      <c r="A9" s="205" t="s">
        <v>1401</v>
      </c>
      <c r="B9" s="206" t="s">
        <v>1402</v>
      </c>
      <c r="C9" s="172" t="s">
        <v>1411</v>
      </c>
      <c r="D9" s="172" t="s">
        <v>1412</v>
      </c>
      <c r="E9" s="172">
        <v>30</v>
      </c>
      <c r="F9" s="172"/>
      <c r="G9" s="172"/>
      <c r="H9" s="172"/>
      <c r="I9" s="172"/>
      <c r="J9" s="172"/>
      <c r="K9" s="172"/>
      <c r="M9" s="9" t="s">
        <v>1411</v>
      </c>
      <c r="N9" s="9" t="s">
        <v>1412</v>
      </c>
      <c r="O9" s="9">
        <v>30</v>
      </c>
      <c r="V9" s="9" t="s">
        <v>1600</v>
      </c>
      <c r="W9" s="9" t="s">
        <v>1496</v>
      </c>
      <c r="X9" s="9" t="s">
        <v>1649</v>
      </c>
      <c r="Y9" s="9" t="s">
        <v>1409</v>
      </c>
      <c r="Z9" s="9" t="s">
        <v>1768</v>
      </c>
    </row>
    <row r="10" spans="1:26" ht="24" customHeight="1">
      <c r="A10" s="205" t="s">
        <v>1401</v>
      </c>
      <c r="B10" s="206" t="s">
        <v>1402</v>
      </c>
      <c r="C10" s="172" t="s">
        <v>1413</v>
      </c>
      <c r="D10" s="172" t="s">
        <v>1414</v>
      </c>
      <c r="E10" s="172">
        <v>20</v>
      </c>
      <c r="F10" s="172"/>
      <c r="G10" s="172"/>
      <c r="H10" s="172"/>
      <c r="I10" s="172"/>
      <c r="J10" s="172"/>
      <c r="K10" s="172"/>
      <c r="M10" s="9" t="s">
        <v>1413</v>
      </c>
      <c r="N10" s="9" t="s">
        <v>1414</v>
      </c>
      <c r="O10" s="9">
        <v>20</v>
      </c>
      <c r="V10" s="9" t="s">
        <v>1603</v>
      </c>
      <c r="W10" s="9" t="s">
        <v>1499</v>
      </c>
      <c r="X10" s="9" t="s">
        <v>1652</v>
      </c>
      <c r="Y10" s="9" t="s">
        <v>1411</v>
      </c>
      <c r="Z10" s="9" t="s">
        <v>1770</v>
      </c>
    </row>
    <row r="11" spans="1:26" ht="24" customHeight="1">
      <c r="A11" s="205" t="s">
        <v>1401</v>
      </c>
      <c r="B11" s="206" t="s">
        <v>1402</v>
      </c>
      <c r="C11" s="172" t="s">
        <v>1415</v>
      </c>
      <c r="D11" s="172" t="s">
        <v>1416</v>
      </c>
      <c r="E11" s="172">
        <v>20</v>
      </c>
      <c r="F11" s="172"/>
      <c r="G11" s="172"/>
      <c r="H11" s="172"/>
      <c r="I11" s="172"/>
      <c r="J11" s="172"/>
      <c r="K11" s="172"/>
      <c r="M11" s="9" t="s">
        <v>1415</v>
      </c>
      <c r="N11" s="9" t="s">
        <v>1416</v>
      </c>
      <c r="O11" s="9">
        <v>20</v>
      </c>
      <c r="V11" s="9" t="s">
        <v>1606</v>
      </c>
      <c r="W11" s="9" t="s">
        <v>1502</v>
      </c>
      <c r="X11" s="9" t="s">
        <v>1655</v>
      </c>
      <c r="Y11" s="9" t="s">
        <v>1413</v>
      </c>
      <c r="Z11" s="9" t="s">
        <v>1772</v>
      </c>
    </row>
    <row r="12" spans="1:26" ht="24" customHeight="1">
      <c r="A12" s="205" t="s">
        <v>1401</v>
      </c>
      <c r="B12" s="206" t="s">
        <v>1402</v>
      </c>
      <c r="C12" s="172" t="s">
        <v>1417</v>
      </c>
      <c r="D12" s="172" t="s">
        <v>1418</v>
      </c>
      <c r="E12" s="172">
        <v>20</v>
      </c>
      <c r="F12" s="172"/>
      <c r="G12" s="172"/>
      <c r="H12" s="172"/>
      <c r="I12" s="172"/>
      <c r="J12" s="172"/>
      <c r="K12" s="172"/>
      <c r="M12" s="9" t="s">
        <v>1417</v>
      </c>
      <c r="N12" s="9" t="s">
        <v>1418</v>
      </c>
      <c r="O12" s="9">
        <v>20</v>
      </c>
      <c r="V12" s="9" t="s">
        <v>1609</v>
      </c>
      <c r="W12" s="9" t="s">
        <v>1504</v>
      </c>
      <c r="X12" s="9" t="s">
        <v>1657</v>
      </c>
      <c r="Y12" s="9" t="s">
        <v>1415</v>
      </c>
      <c r="Z12" s="9" t="s">
        <v>1775</v>
      </c>
    </row>
    <row r="13" spans="1:26" ht="24" customHeight="1">
      <c r="A13" s="205" t="s">
        <v>1401</v>
      </c>
      <c r="B13" s="206" t="s">
        <v>1402</v>
      </c>
      <c r="C13" s="172" t="s">
        <v>1419</v>
      </c>
      <c r="D13" s="172" t="s">
        <v>1420</v>
      </c>
      <c r="E13" s="172">
        <v>20</v>
      </c>
      <c r="F13" s="172"/>
      <c r="G13" s="172"/>
      <c r="H13" s="172"/>
      <c r="I13" s="172"/>
      <c r="J13" s="172"/>
      <c r="K13" s="172"/>
      <c r="M13" s="9" t="s">
        <v>1419</v>
      </c>
      <c r="N13" s="9" t="s">
        <v>1420</v>
      </c>
      <c r="O13" s="9">
        <v>20</v>
      </c>
      <c r="V13" s="9" t="s">
        <v>1611</v>
      </c>
      <c r="W13" s="9" t="s">
        <v>1506</v>
      </c>
      <c r="X13" s="9" t="s">
        <v>1660</v>
      </c>
      <c r="Y13" s="9" t="s">
        <v>1417</v>
      </c>
      <c r="Z13" s="9" t="s">
        <v>1778</v>
      </c>
    </row>
    <row r="14" spans="1:26" ht="24" customHeight="1">
      <c r="A14" s="205" t="s">
        <v>1401</v>
      </c>
      <c r="B14" s="206" t="s">
        <v>1402</v>
      </c>
      <c r="C14" s="172" t="s">
        <v>1421</v>
      </c>
      <c r="D14" s="172" t="s">
        <v>1422</v>
      </c>
      <c r="E14" s="172">
        <v>20</v>
      </c>
      <c r="F14" s="172"/>
      <c r="G14" s="172"/>
      <c r="H14" s="172"/>
      <c r="I14" s="172"/>
      <c r="J14" s="172"/>
      <c r="K14" s="172"/>
      <c r="M14" s="9" t="s">
        <v>1421</v>
      </c>
      <c r="N14" s="9" t="s">
        <v>1422</v>
      </c>
      <c r="O14" s="9">
        <v>20</v>
      </c>
      <c r="V14" s="9" t="s">
        <v>1613</v>
      </c>
      <c r="W14" s="9" t="s">
        <v>1508</v>
      </c>
      <c r="X14" s="9" t="s">
        <v>1662</v>
      </c>
      <c r="Y14" s="9" t="s">
        <v>1419</v>
      </c>
      <c r="Z14" s="9" t="s">
        <v>1781</v>
      </c>
    </row>
    <row r="15" spans="1:26" ht="24" customHeight="1">
      <c r="A15" s="205" t="s">
        <v>1401</v>
      </c>
      <c r="B15" s="206" t="s">
        <v>1402</v>
      </c>
      <c r="C15" s="172" t="s">
        <v>1423</v>
      </c>
      <c r="D15" s="172" t="s">
        <v>1424</v>
      </c>
      <c r="E15" s="172">
        <v>20</v>
      </c>
      <c r="F15" s="172"/>
      <c r="G15" s="172"/>
      <c r="H15" s="172"/>
      <c r="I15" s="172"/>
      <c r="J15" s="172"/>
      <c r="K15" s="172"/>
      <c r="M15" s="9" t="s">
        <v>1423</v>
      </c>
      <c r="N15" s="9" t="s">
        <v>1424</v>
      </c>
      <c r="O15" s="9">
        <v>20</v>
      </c>
      <c r="V15" s="9" t="s">
        <v>1615</v>
      </c>
      <c r="W15" s="9" t="s">
        <v>1511</v>
      </c>
      <c r="X15" s="9" t="s">
        <v>1664</v>
      </c>
      <c r="Y15" s="9" t="s">
        <v>1421</v>
      </c>
      <c r="Z15" s="9" t="s">
        <v>1784</v>
      </c>
    </row>
    <row r="16" spans="1:26" ht="24" customHeight="1">
      <c r="A16" s="205" t="s">
        <v>1401</v>
      </c>
      <c r="B16" s="206" t="s">
        <v>1402</v>
      </c>
      <c r="C16" s="172" t="s">
        <v>1425</v>
      </c>
      <c r="D16" s="172" t="s">
        <v>1426</v>
      </c>
      <c r="E16" s="172">
        <v>20</v>
      </c>
      <c r="F16" s="172"/>
      <c r="G16" s="172"/>
      <c r="H16" s="172"/>
      <c r="I16" s="172"/>
      <c r="J16" s="172"/>
      <c r="K16" s="172"/>
      <c r="M16" s="9" t="s">
        <v>1425</v>
      </c>
      <c r="N16" s="9" t="s">
        <v>1426</v>
      </c>
      <c r="O16" s="9">
        <v>20</v>
      </c>
      <c r="V16" s="9" t="s">
        <v>1617</v>
      </c>
      <c r="W16" s="9" t="s">
        <v>1513</v>
      </c>
      <c r="X16" s="9" t="s">
        <v>1666</v>
      </c>
      <c r="Y16" s="9" t="s">
        <v>1423</v>
      </c>
      <c r="Z16" s="9" t="s">
        <v>1787</v>
      </c>
    </row>
    <row r="17" spans="1:26" ht="24" customHeight="1">
      <c r="A17" s="205" t="s">
        <v>1401</v>
      </c>
      <c r="B17" s="206" t="s">
        <v>1402</v>
      </c>
      <c r="C17" s="172" t="s">
        <v>1427</v>
      </c>
      <c r="D17" s="172" t="s">
        <v>1428</v>
      </c>
      <c r="E17" s="172">
        <v>20</v>
      </c>
      <c r="F17" s="172"/>
      <c r="G17" s="172"/>
      <c r="H17" s="172"/>
      <c r="I17" s="172"/>
      <c r="J17" s="172"/>
      <c r="K17" s="172"/>
      <c r="M17" s="9" t="s">
        <v>1427</v>
      </c>
      <c r="N17" s="9" t="s">
        <v>1428</v>
      </c>
      <c r="O17" s="9">
        <v>20</v>
      </c>
      <c r="V17" s="9" t="s">
        <v>1620</v>
      </c>
      <c r="W17" s="9" t="s">
        <v>1516</v>
      </c>
      <c r="X17" s="9" t="s">
        <v>1669</v>
      </c>
      <c r="Y17" s="9" t="s">
        <v>1425</v>
      </c>
      <c r="Z17" s="9" t="s">
        <v>1791</v>
      </c>
    </row>
    <row r="18" spans="1:26" ht="24" customHeight="1">
      <c r="A18" s="205" t="s">
        <v>1401</v>
      </c>
      <c r="B18" s="206" t="s">
        <v>1402</v>
      </c>
      <c r="C18" s="172" t="s">
        <v>1429</v>
      </c>
      <c r="D18" s="172" t="s">
        <v>1430</v>
      </c>
      <c r="E18" s="172">
        <v>20</v>
      </c>
      <c r="F18" s="172"/>
      <c r="G18" s="172"/>
      <c r="H18" s="172"/>
      <c r="I18" s="172"/>
      <c r="J18" s="172"/>
      <c r="K18" s="172"/>
      <c r="M18" s="9" t="s">
        <v>1429</v>
      </c>
      <c r="N18" s="9" t="s">
        <v>1430</v>
      </c>
      <c r="O18" s="9">
        <v>20</v>
      </c>
      <c r="V18" s="9" t="s">
        <v>1623</v>
      </c>
      <c r="W18" s="9" t="s">
        <v>1519</v>
      </c>
      <c r="X18" s="9" t="s">
        <v>1671</v>
      </c>
      <c r="Y18" s="9" t="s">
        <v>1427</v>
      </c>
      <c r="Z18" s="9" t="s">
        <v>1794</v>
      </c>
    </row>
    <row r="19" spans="1:26" ht="24" customHeight="1">
      <c r="A19" s="205" t="s">
        <v>1401</v>
      </c>
      <c r="B19" s="206" t="s">
        <v>1402</v>
      </c>
      <c r="C19" s="172" t="s">
        <v>1431</v>
      </c>
      <c r="D19" s="172" t="s">
        <v>1432</v>
      </c>
      <c r="E19" s="172">
        <v>10</v>
      </c>
      <c r="F19" s="172"/>
      <c r="G19" s="172"/>
      <c r="H19" s="172"/>
      <c r="I19" s="172"/>
      <c r="J19" s="172"/>
      <c r="K19" s="172"/>
      <c r="M19" s="9" t="s">
        <v>1431</v>
      </c>
      <c r="N19" s="9" t="s">
        <v>1432</v>
      </c>
      <c r="O19" s="9">
        <v>10</v>
      </c>
      <c r="V19" s="9" t="s">
        <v>1625</v>
      </c>
      <c r="W19" s="9" t="s">
        <v>1522</v>
      </c>
      <c r="X19" s="9" t="s">
        <v>1674</v>
      </c>
      <c r="Y19" s="9" t="s">
        <v>1429</v>
      </c>
      <c r="Z19" s="9" t="s">
        <v>1796</v>
      </c>
    </row>
    <row r="20" spans="1:26" ht="24" customHeight="1">
      <c r="A20" s="205" t="s">
        <v>1401</v>
      </c>
      <c r="B20" s="206" t="s">
        <v>1402</v>
      </c>
      <c r="C20" s="172" t="s">
        <v>1433</v>
      </c>
      <c r="D20" s="172" t="s">
        <v>1434</v>
      </c>
      <c r="E20" s="172">
        <v>10</v>
      </c>
      <c r="F20" s="172"/>
      <c r="G20" s="172"/>
      <c r="H20" s="172"/>
      <c r="I20" s="172"/>
      <c r="J20" s="172"/>
      <c r="K20" s="172"/>
      <c r="M20" s="9" t="s">
        <v>1433</v>
      </c>
      <c r="N20" s="9" t="s">
        <v>1434</v>
      </c>
      <c r="O20" s="9">
        <v>10</v>
      </c>
      <c r="V20" s="9" t="s">
        <v>1628</v>
      </c>
      <c r="W20" s="9" t="s">
        <v>1524</v>
      </c>
      <c r="X20" s="9" t="s">
        <v>1677</v>
      </c>
      <c r="Y20" s="9" t="s">
        <v>1431</v>
      </c>
      <c r="Z20" s="9" t="s">
        <v>1798</v>
      </c>
    </row>
    <row r="21" spans="1:26" ht="24" customHeight="1">
      <c r="A21" s="205" t="s">
        <v>1401</v>
      </c>
      <c r="B21" s="206" t="s">
        <v>1402</v>
      </c>
      <c r="C21" s="172" t="s">
        <v>1435</v>
      </c>
      <c r="D21" s="172" t="s">
        <v>1436</v>
      </c>
      <c r="E21" s="172">
        <v>10</v>
      </c>
      <c r="F21" s="172"/>
      <c r="G21" s="172"/>
      <c r="H21" s="172"/>
      <c r="I21" s="172"/>
      <c r="J21" s="172"/>
      <c r="K21" s="172"/>
      <c r="M21" s="9" t="s">
        <v>1435</v>
      </c>
      <c r="N21" s="9" t="s">
        <v>1436</v>
      </c>
      <c r="O21" s="9">
        <v>10</v>
      </c>
      <c r="V21" s="9" t="s">
        <v>1630</v>
      </c>
      <c r="W21" s="9" t="s">
        <v>1527</v>
      </c>
      <c r="X21" s="9" t="s">
        <v>1679</v>
      </c>
      <c r="Y21" s="9" t="s">
        <v>1433</v>
      </c>
      <c r="Z21" s="9" t="s">
        <v>1800</v>
      </c>
    </row>
    <row r="22" spans="1:26" ht="24" customHeight="1">
      <c r="A22" s="205" t="s">
        <v>1401</v>
      </c>
      <c r="B22" s="206" t="s">
        <v>1402</v>
      </c>
      <c r="C22" s="172" t="s">
        <v>1437</v>
      </c>
      <c r="D22" s="172" t="s">
        <v>1438</v>
      </c>
      <c r="E22" s="172">
        <v>10</v>
      </c>
      <c r="F22" s="172"/>
      <c r="G22" s="172"/>
      <c r="H22" s="172"/>
      <c r="I22" s="172"/>
      <c r="J22" s="172"/>
      <c r="K22" s="172"/>
      <c r="M22" s="9" t="s">
        <v>1437</v>
      </c>
      <c r="N22" s="9" t="s">
        <v>1438</v>
      </c>
      <c r="O22" s="9">
        <v>10</v>
      </c>
      <c r="V22" s="9" t="s">
        <v>1632</v>
      </c>
      <c r="W22" s="9" t="s">
        <v>1529</v>
      </c>
      <c r="X22" s="9" t="s">
        <v>1682</v>
      </c>
      <c r="Y22" s="9" t="s">
        <v>1435</v>
      </c>
      <c r="Z22" s="9" t="s">
        <v>1802</v>
      </c>
    </row>
    <row r="23" spans="1:26" ht="24" customHeight="1">
      <c r="A23" s="205" t="s">
        <v>1401</v>
      </c>
      <c r="B23" s="206" t="s">
        <v>1402</v>
      </c>
      <c r="C23" s="172" t="s">
        <v>1439</v>
      </c>
      <c r="D23" s="172" t="s">
        <v>1440</v>
      </c>
      <c r="E23" s="172">
        <v>10</v>
      </c>
      <c r="F23" s="172"/>
      <c r="G23" s="172"/>
      <c r="H23" s="172"/>
      <c r="I23" s="172"/>
      <c r="J23" s="172"/>
      <c r="K23" s="172"/>
      <c r="M23" s="9" t="s">
        <v>1439</v>
      </c>
      <c r="N23" s="9" t="s">
        <v>1440</v>
      </c>
      <c r="O23" s="9">
        <v>10</v>
      </c>
      <c r="V23" s="9" t="s">
        <v>1634</v>
      </c>
      <c r="W23" s="9" t="s">
        <v>1532</v>
      </c>
      <c r="X23" s="9" t="s">
        <v>1685</v>
      </c>
      <c r="Y23" s="9" t="s">
        <v>1437</v>
      </c>
      <c r="Z23" s="9" t="s">
        <v>1804</v>
      </c>
    </row>
    <row r="24" spans="1:26" ht="24" customHeight="1">
      <c r="A24" s="205" t="s">
        <v>1401</v>
      </c>
      <c r="B24" s="206" t="s">
        <v>1402</v>
      </c>
      <c r="C24" s="172" t="s">
        <v>1441</v>
      </c>
      <c r="D24" s="172" t="s">
        <v>1442</v>
      </c>
      <c r="E24" s="172">
        <v>10</v>
      </c>
      <c r="F24" s="172"/>
      <c r="G24" s="172"/>
      <c r="H24" s="172"/>
      <c r="I24" s="172"/>
      <c r="J24" s="172"/>
      <c r="K24" s="172"/>
      <c r="M24" s="9" t="s">
        <v>1441</v>
      </c>
      <c r="N24" s="9" t="s">
        <v>1442</v>
      </c>
      <c r="O24" s="9">
        <v>10</v>
      </c>
      <c r="V24" s="9" t="s">
        <v>1636</v>
      </c>
      <c r="W24" s="9" t="s">
        <v>1534</v>
      </c>
      <c r="Y24" s="9" t="s">
        <v>1439</v>
      </c>
      <c r="Z24" s="9" t="s">
        <v>1806</v>
      </c>
    </row>
    <row r="25" spans="1:26" ht="24" customHeight="1">
      <c r="A25" s="205" t="s">
        <v>1401</v>
      </c>
      <c r="B25" s="206" t="s">
        <v>1402</v>
      </c>
      <c r="C25" s="172" t="s">
        <v>1443</v>
      </c>
      <c r="D25" s="172" t="s">
        <v>1444</v>
      </c>
      <c r="E25" s="172">
        <v>10</v>
      </c>
      <c r="F25" s="172"/>
      <c r="G25" s="172"/>
      <c r="H25" s="172"/>
      <c r="I25" s="172"/>
      <c r="J25" s="172"/>
      <c r="K25" s="172"/>
      <c r="M25" s="9" t="s">
        <v>1443</v>
      </c>
      <c r="N25" s="9" t="s">
        <v>1444</v>
      </c>
      <c r="O25" s="9">
        <v>10</v>
      </c>
      <c r="V25" s="9" t="s">
        <v>1638</v>
      </c>
      <c r="W25" s="9" t="s">
        <v>1536</v>
      </c>
      <c r="Y25" s="9" t="s">
        <v>1441</v>
      </c>
      <c r="Z25" s="9" t="s">
        <v>1809</v>
      </c>
    </row>
    <row r="26" spans="1:26" ht="24" customHeight="1">
      <c r="A26" s="205" t="s">
        <v>1401</v>
      </c>
      <c r="B26" s="206" t="s">
        <v>1402</v>
      </c>
      <c r="C26" s="172" t="s">
        <v>1445</v>
      </c>
      <c r="D26" s="172" t="s">
        <v>1446</v>
      </c>
      <c r="E26" s="172">
        <v>10</v>
      </c>
      <c r="F26" s="172"/>
      <c r="G26" s="172"/>
      <c r="H26" s="172"/>
      <c r="I26" s="172"/>
      <c r="J26" s="172"/>
      <c r="K26" s="172"/>
      <c r="M26" s="9" t="s">
        <v>1445</v>
      </c>
      <c r="N26" s="9" t="s">
        <v>1446</v>
      </c>
      <c r="O26" s="9">
        <v>10</v>
      </c>
      <c r="W26" s="9" t="s">
        <v>1539</v>
      </c>
      <c r="Y26" s="9" t="s">
        <v>1443</v>
      </c>
      <c r="Z26" s="9" t="s">
        <v>1813</v>
      </c>
    </row>
    <row r="27" spans="1:26" ht="24" customHeight="1">
      <c r="A27" s="205" t="s">
        <v>1401</v>
      </c>
      <c r="B27" s="206" t="s">
        <v>1402</v>
      </c>
      <c r="C27" s="172" t="s">
        <v>1447</v>
      </c>
      <c r="D27" s="172" t="s">
        <v>1448</v>
      </c>
      <c r="E27" s="172">
        <v>10</v>
      </c>
      <c r="F27" s="172"/>
      <c r="G27" s="172"/>
      <c r="H27" s="172"/>
      <c r="I27" s="172"/>
      <c r="J27" s="172"/>
      <c r="K27" s="172"/>
      <c r="M27" s="9" t="s">
        <v>1447</v>
      </c>
      <c r="N27" s="9" t="s">
        <v>1448</v>
      </c>
      <c r="O27" s="9">
        <v>10</v>
      </c>
      <c r="W27" s="9" t="s">
        <v>1542</v>
      </c>
      <c r="Y27" s="9" t="s">
        <v>1445</v>
      </c>
      <c r="Z27" s="9" t="s">
        <v>1816</v>
      </c>
    </row>
    <row r="28" spans="1:26" ht="24" customHeight="1">
      <c r="A28" s="205" t="s">
        <v>1401</v>
      </c>
      <c r="B28" s="206" t="s">
        <v>1402</v>
      </c>
      <c r="C28" s="172" t="s">
        <v>1449</v>
      </c>
      <c r="D28" s="172" t="s">
        <v>1450</v>
      </c>
      <c r="E28" s="172">
        <v>10</v>
      </c>
      <c r="F28" s="172"/>
      <c r="G28" s="172"/>
      <c r="H28" s="172"/>
      <c r="I28" s="172"/>
      <c r="J28" s="172"/>
      <c r="K28" s="172"/>
      <c r="M28" s="9" t="s">
        <v>1449</v>
      </c>
      <c r="N28" s="9" t="s">
        <v>1450</v>
      </c>
      <c r="O28" s="9">
        <v>10</v>
      </c>
      <c r="W28" s="9" t="s">
        <v>1545</v>
      </c>
      <c r="Y28" s="9" t="s">
        <v>1447</v>
      </c>
      <c r="Z28" s="9" t="s">
        <v>1818</v>
      </c>
    </row>
    <row r="29" spans="1:26" ht="24" customHeight="1">
      <c r="A29" s="205" t="s">
        <v>1401</v>
      </c>
      <c r="B29" s="206" t="s">
        <v>1402</v>
      </c>
      <c r="C29" s="172" t="s">
        <v>1451</v>
      </c>
      <c r="D29" s="172" t="s">
        <v>1452</v>
      </c>
      <c r="E29" s="172">
        <v>10</v>
      </c>
      <c r="F29" s="172"/>
      <c r="G29" s="172"/>
      <c r="H29" s="172"/>
      <c r="I29" s="172"/>
      <c r="J29" s="172"/>
      <c r="K29" s="172"/>
      <c r="M29" s="9" t="s">
        <v>1451</v>
      </c>
      <c r="N29" s="9" t="s">
        <v>1452</v>
      </c>
      <c r="O29" s="9">
        <v>10</v>
      </c>
      <c r="W29" s="9" t="s">
        <v>1548</v>
      </c>
      <c r="Y29" s="9" t="s">
        <v>1449</v>
      </c>
      <c r="Z29" s="9" t="s">
        <v>1820</v>
      </c>
    </row>
    <row r="30" spans="1:26" ht="24" customHeight="1">
      <c r="A30" s="205" t="s">
        <v>1401</v>
      </c>
      <c r="B30" s="206" t="s">
        <v>1402</v>
      </c>
      <c r="C30" s="172" t="s">
        <v>1453</v>
      </c>
      <c r="D30" s="172" t="s">
        <v>1454</v>
      </c>
      <c r="E30" s="172">
        <v>7</v>
      </c>
      <c r="F30" s="172"/>
      <c r="G30" s="172"/>
      <c r="H30" s="172"/>
      <c r="I30" s="172"/>
      <c r="J30" s="172"/>
      <c r="K30" s="172"/>
      <c r="M30" s="9" t="s">
        <v>1453</v>
      </c>
      <c r="N30" s="9" t="s">
        <v>1454</v>
      </c>
      <c r="O30" s="9">
        <v>7</v>
      </c>
      <c r="W30" s="9" t="s">
        <v>1550</v>
      </c>
      <c r="Y30" s="9" t="s">
        <v>1451</v>
      </c>
      <c r="Z30" s="9" t="s">
        <v>1822</v>
      </c>
    </row>
    <row r="31" spans="1:26" ht="24" customHeight="1">
      <c r="A31" s="205" t="s">
        <v>1401</v>
      </c>
      <c r="B31" s="206" t="s">
        <v>1402</v>
      </c>
      <c r="C31" s="172" t="s">
        <v>1455</v>
      </c>
      <c r="D31" s="172" t="s">
        <v>1456</v>
      </c>
      <c r="E31" s="172">
        <v>7</v>
      </c>
      <c r="F31" s="172"/>
      <c r="G31" s="172"/>
      <c r="H31" s="172"/>
      <c r="I31" s="172"/>
      <c r="J31" s="172"/>
      <c r="K31" s="172"/>
      <c r="M31" s="9" t="s">
        <v>1455</v>
      </c>
      <c r="N31" s="9" t="s">
        <v>1456</v>
      </c>
      <c r="O31" s="9">
        <v>7</v>
      </c>
      <c r="W31" s="9" t="s">
        <v>1552</v>
      </c>
      <c r="Y31" s="9" t="s">
        <v>1453</v>
      </c>
      <c r="Z31" s="9" t="s">
        <v>1824</v>
      </c>
    </row>
    <row r="32" spans="1:26" ht="24" customHeight="1">
      <c r="A32" s="205" t="s">
        <v>1401</v>
      </c>
      <c r="B32" s="206" t="s">
        <v>1402</v>
      </c>
      <c r="C32" s="172" t="s">
        <v>1457</v>
      </c>
      <c r="D32" s="172" t="s">
        <v>1458</v>
      </c>
      <c r="E32" s="172">
        <v>7</v>
      </c>
      <c r="F32" s="172"/>
      <c r="G32" s="172"/>
      <c r="H32" s="172"/>
      <c r="I32" s="172"/>
      <c r="J32" s="172"/>
      <c r="K32" s="172"/>
      <c r="M32" s="9" t="s">
        <v>1457</v>
      </c>
      <c r="N32" s="9" t="s">
        <v>1458</v>
      </c>
      <c r="O32" s="9">
        <v>7</v>
      </c>
      <c r="W32" s="9" t="s">
        <v>1555</v>
      </c>
      <c r="Y32" s="9" t="s">
        <v>1455</v>
      </c>
      <c r="Z32" s="9" t="s">
        <v>1827</v>
      </c>
    </row>
    <row r="33" spans="1:26" ht="24" customHeight="1">
      <c r="A33" s="205" t="s">
        <v>1401</v>
      </c>
      <c r="B33" s="206" t="s">
        <v>1402</v>
      </c>
      <c r="C33" s="172" t="s">
        <v>1459</v>
      </c>
      <c r="D33" s="172" t="s">
        <v>1460</v>
      </c>
      <c r="E33" s="172">
        <v>7</v>
      </c>
      <c r="F33" s="172"/>
      <c r="G33" s="172"/>
      <c r="H33" s="172"/>
      <c r="I33" s="172"/>
      <c r="J33" s="172"/>
      <c r="K33" s="172"/>
      <c r="M33" s="9" t="s">
        <v>1459</v>
      </c>
      <c r="N33" s="9" t="s">
        <v>1460</v>
      </c>
      <c r="O33" s="9">
        <v>7</v>
      </c>
      <c r="W33" s="9" t="s">
        <v>1557</v>
      </c>
      <c r="Y33" s="9" t="s">
        <v>1457</v>
      </c>
      <c r="Z33" s="9" t="s">
        <v>1829</v>
      </c>
    </row>
    <row r="34" spans="1:26" ht="24" customHeight="1">
      <c r="A34" s="205" t="s">
        <v>1401</v>
      </c>
      <c r="B34" s="206" t="s">
        <v>1402</v>
      </c>
      <c r="C34" s="172" t="s">
        <v>1461</v>
      </c>
      <c r="D34" s="172" t="s">
        <v>1462</v>
      </c>
      <c r="E34" s="172">
        <v>7</v>
      </c>
      <c r="F34" s="172"/>
      <c r="G34" s="172"/>
      <c r="H34" s="172"/>
      <c r="I34" s="172"/>
      <c r="J34" s="172"/>
      <c r="K34" s="172"/>
      <c r="M34" s="9" t="s">
        <v>1461</v>
      </c>
      <c r="N34" s="9" t="s">
        <v>1462</v>
      </c>
      <c r="O34" s="9">
        <v>7</v>
      </c>
      <c r="W34" s="9" t="s">
        <v>1559</v>
      </c>
      <c r="Y34" s="9" t="s">
        <v>1459</v>
      </c>
      <c r="Z34" s="9" t="s">
        <v>1831</v>
      </c>
    </row>
    <row r="35" spans="1:26" ht="24" customHeight="1">
      <c r="A35" s="205" t="s">
        <v>1401</v>
      </c>
      <c r="B35" s="206" t="s">
        <v>1402</v>
      </c>
      <c r="C35" s="172" t="s">
        <v>1463</v>
      </c>
      <c r="D35" s="172" t="s">
        <v>1464</v>
      </c>
      <c r="E35" s="172">
        <v>7</v>
      </c>
      <c r="F35" s="172"/>
      <c r="G35" s="172"/>
      <c r="H35" s="172"/>
      <c r="I35" s="172"/>
      <c r="J35" s="172"/>
      <c r="K35" s="172"/>
      <c r="M35" s="9" t="s">
        <v>1463</v>
      </c>
      <c r="N35" s="9" t="s">
        <v>1464</v>
      </c>
      <c r="O35" s="9">
        <v>7</v>
      </c>
      <c r="W35" s="9" t="s">
        <v>1562</v>
      </c>
      <c r="Y35" s="9" t="s">
        <v>1461</v>
      </c>
      <c r="Z35" s="9" t="s">
        <v>1833</v>
      </c>
    </row>
    <row r="36" spans="1:26" ht="24" customHeight="1">
      <c r="A36" s="205" t="s">
        <v>1401</v>
      </c>
      <c r="B36" s="206" t="s">
        <v>1402</v>
      </c>
      <c r="C36" s="172" t="s">
        <v>1465</v>
      </c>
      <c r="D36" s="172" t="s">
        <v>1466</v>
      </c>
      <c r="E36" s="172">
        <v>7</v>
      </c>
      <c r="F36" s="172"/>
      <c r="G36" s="172"/>
      <c r="H36" s="172"/>
      <c r="I36" s="172"/>
      <c r="J36" s="172"/>
      <c r="K36" s="172"/>
      <c r="M36" s="9" t="s">
        <v>1465</v>
      </c>
      <c r="N36" s="9" t="s">
        <v>1466</v>
      </c>
      <c r="O36" s="9">
        <v>7</v>
      </c>
      <c r="W36" s="9" t="s">
        <v>1565</v>
      </c>
      <c r="Y36" s="9" t="s">
        <v>1463</v>
      </c>
      <c r="Z36" s="9" t="s">
        <v>1835</v>
      </c>
    </row>
    <row r="37" spans="1:26" ht="24" customHeight="1">
      <c r="A37" s="205" t="s">
        <v>1401</v>
      </c>
      <c r="B37" s="206" t="s">
        <v>1402</v>
      </c>
      <c r="C37" s="172" t="s">
        <v>1467</v>
      </c>
      <c r="D37" s="172" t="s">
        <v>1468</v>
      </c>
      <c r="E37" s="172">
        <v>7</v>
      </c>
      <c r="F37" s="172"/>
      <c r="G37" s="172"/>
      <c r="H37" s="172"/>
      <c r="I37" s="172"/>
      <c r="J37" s="172"/>
      <c r="K37" s="172"/>
      <c r="M37" s="9" t="s">
        <v>1467</v>
      </c>
      <c r="N37" s="9" t="s">
        <v>1468</v>
      </c>
      <c r="O37" s="9">
        <v>7</v>
      </c>
      <c r="W37" s="9" t="s">
        <v>1567</v>
      </c>
      <c r="Y37" s="9" t="s">
        <v>1465</v>
      </c>
      <c r="Z37" s="9" t="s">
        <v>1837</v>
      </c>
    </row>
    <row r="38" spans="1:26" ht="24" customHeight="1">
      <c r="A38" s="205" t="s">
        <v>1401</v>
      </c>
      <c r="B38" s="206" t="s">
        <v>1402</v>
      </c>
      <c r="C38" s="172" t="s">
        <v>1469</v>
      </c>
      <c r="D38" s="172" t="s">
        <v>1470</v>
      </c>
      <c r="E38" s="172">
        <v>7</v>
      </c>
      <c r="F38" s="172"/>
      <c r="G38" s="172"/>
      <c r="H38" s="172"/>
      <c r="I38" s="172"/>
      <c r="J38" s="172"/>
      <c r="K38" s="172"/>
      <c r="M38" s="9" t="s">
        <v>1469</v>
      </c>
      <c r="N38" s="9" t="s">
        <v>1470</v>
      </c>
      <c r="O38" s="9">
        <v>7</v>
      </c>
      <c r="W38" s="9" t="s">
        <v>1570</v>
      </c>
      <c r="Y38" s="9" t="s">
        <v>1467</v>
      </c>
      <c r="Z38" s="9" t="s">
        <v>1839</v>
      </c>
    </row>
    <row r="39" spans="1:26" ht="24" customHeight="1">
      <c r="A39" s="205" t="s">
        <v>1401</v>
      </c>
      <c r="B39" s="206" t="s">
        <v>1402</v>
      </c>
      <c r="C39" s="172" t="s">
        <v>1471</v>
      </c>
      <c r="D39" s="172" t="s">
        <v>1472</v>
      </c>
      <c r="E39" s="172">
        <v>7</v>
      </c>
      <c r="F39" s="172"/>
      <c r="G39" s="172"/>
      <c r="H39" s="172"/>
      <c r="I39" s="172"/>
      <c r="J39" s="172"/>
      <c r="K39" s="172"/>
      <c r="M39" s="9" t="s">
        <v>1471</v>
      </c>
      <c r="N39" s="9" t="s">
        <v>1472</v>
      </c>
      <c r="O39" s="9">
        <v>7</v>
      </c>
      <c r="W39" s="9" t="s">
        <v>1573</v>
      </c>
      <c r="Y39" s="9" t="s">
        <v>1469</v>
      </c>
      <c r="Z39" s="9" t="s">
        <v>1841</v>
      </c>
    </row>
    <row r="40" spans="1:26" ht="24" customHeight="1">
      <c r="A40" s="205" t="s">
        <v>1401</v>
      </c>
      <c r="B40" s="206" t="s">
        <v>1402</v>
      </c>
      <c r="C40" s="172" t="s">
        <v>1473</v>
      </c>
      <c r="D40" s="172" t="s">
        <v>1474</v>
      </c>
      <c r="E40" s="172">
        <v>1</v>
      </c>
      <c r="F40" s="172"/>
      <c r="G40" s="172"/>
      <c r="H40" s="172"/>
      <c r="I40" s="172"/>
      <c r="J40" s="172"/>
      <c r="K40" s="172"/>
      <c r="M40" s="9" t="s">
        <v>1473</v>
      </c>
      <c r="N40" s="9" t="s">
        <v>1474</v>
      </c>
      <c r="O40" s="9">
        <v>1</v>
      </c>
      <c r="W40" s="9" t="s">
        <v>1576</v>
      </c>
      <c r="Y40" s="9" t="s">
        <v>1471</v>
      </c>
      <c r="Z40" s="9" t="s">
        <v>1843</v>
      </c>
    </row>
    <row r="41" spans="1:26" ht="24" customHeight="1">
      <c r="A41" s="205" t="s">
        <v>1401</v>
      </c>
      <c r="B41" s="206" t="s">
        <v>1402</v>
      </c>
      <c r="C41" s="172" t="s">
        <v>1475</v>
      </c>
      <c r="D41" s="172" t="s">
        <v>1476</v>
      </c>
      <c r="E41" s="172">
        <v>1</v>
      </c>
      <c r="F41" s="172"/>
      <c r="G41" s="172"/>
      <c r="H41" s="172"/>
      <c r="I41" s="172"/>
      <c r="J41" s="172"/>
      <c r="K41" s="172"/>
      <c r="M41" s="9" t="s">
        <v>1475</v>
      </c>
      <c r="N41" s="9" t="s">
        <v>1476</v>
      </c>
      <c r="O41" s="9">
        <v>1</v>
      </c>
      <c r="W41" s="9" t="s">
        <v>1579</v>
      </c>
      <c r="Y41" s="9" t="s">
        <v>1473</v>
      </c>
      <c r="Z41" s="9" t="s">
        <v>1845</v>
      </c>
    </row>
    <row r="42" spans="1:26" ht="24" customHeight="1">
      <c r="A42" s="205" t="s">
        <v>1401</v>
      </c>
      <c r="B42" s="206" t="s">
        <v>1402</v>
      </c>
      <c r="C42" s="172" t="s">
        <v>1477</v>
      </c>
      <c r="D42" s="172" t="s">
        <v>1478</v>
      </c>
      <c r="E42" s="172">
        <v>1</v>
      </c>
      <c r="F42" s="172"/>
      <c r="G42" s="172"/>
      <c r="H42" s="172"/>
      <c r="I42" s="172"/>
      <c r="J42" s="172"/>
      <c r="K42" s="172"/>
      <c r="M42" s="9" t="s">
        <v>1477</v>
      </c>
      <c r="N42" s="9" t="s">
        <v>1478</v>
      </c>
      <c r="O42" s="9">
        <v>1</v>
      </c>
      <c r="W42" s="9" t="s">
        <v>1581</v>
      </c>
      <c r="Y42" s="9" t="s">
        <v>1475</v>
      </c>
      <c r="Z42" s="9" t="s">
        <v>1847</v>
      </c>
    </row>
    <row r="43" spans="1:26" ht="24" customHeight="1">
      <c r="A43" s="205" t="s">
        <v>1401</v>
      </c>
      <c r="B43" s="206" t="s">
        <v>1402</v>
      </c>
      <c r="C43" s="172" t="s">
        <v>1479</v>
      </c>
      <c r="D43" s="172" t="s">
        <v>1480</v>
      </c>
      <c r="E43" s="172">
        <v>1</v>
      </c>
      <c r="F43" s="172"/>
      <c r="G43" s="172"/>
      <c r="H43" s="172"/>
      <c r="I43" s="172"/>
      <c r="J43" s="172"/>
      <c r="K43" s="172"/>
      <c r="M43" s="9" t="s">
        <v>1479</v>
      </c>
      <c r="N43" s="9" t="s">
        <v>1480</v>
      </c>
      <c r="O43" s="9">
        <v>1</v>
      </c>
      <c r="W43" s="9" t="s">
        <v>1583</v>
      </c>
      <c r="Y43" s="9" t="s">
        <v>1477</v>
      </c>
      <c r="Z43" s="9" t="s">
        <v>1849</v>
      </c>
    </row>
    <row r="44" spans="1:26" ht="24" customHeight="1">
      <c r="A44" s="205" t="s">
        <v>1401</v>
      </c>
      <c r="B44" s="206" t="s">
        <v>1402</v>
      </c>
      <c r="C44" s="172" t="s">
        <v>1481</v>
      </c>
      <c r="D44" s="172" t="s">
        <v>1482</v>
      </c>
      <c r="E44" s="172">
        <v>1</v>
      </c>
      <c r="F44" s="172"/>
      <c r="G44" s="172"/>
      <c r="H44" s="172"/>
      <c r="I44" s="172"/>
      <c r="J44" s="172"/>
      <c r="K44" s="172"/>
      <c r="M44" s="9" t="s">
        <v>1481</v>
      </c>
      <c r="N44" s="9" t="s">
        <v>1482</v>
      </c>
      <c r="O44" s="9">
        <v>1</v>
      </c>
      <c r="W44" s="9" t="s">
        <v>1585</v>
      </c>
      <c r="Y44" s="9" t="s">
        <v>1479</v>
      </c>
      <c r="Z44" s="9" t="s">
        <v>1851</v>
      </c>
    </row>
    <row r="45" spans="1:26" ht="24" customHeight="1">
      <c r="A45" s="205" t="s">
        <v>1401</v>
      </c>
      <c r="B45" s="206" t="s">
        <v>1402</v>
      </c>
      <c r="C45" s="172" t="s">
        <v>1483</v>
      </c>
      <c r="D45" s="172" t="s">
        <v>1484</v>
      </c>
      <c r="E45" s="172">
        <v>1</v>
      </c>
      <c r="F45" s="172"/>
      <c r="G45" s="172"/>
      <c r="H45" s="172"/>
      <c r="I45" s="172"/>
      <c r="J45" s="172"/>
      <c r="K45" s="172"/>
      <c r="M45" s="9" t="s">
        <v>1483</v>
      </c>
      <c r="N45" s="9" t="s">
        <v>1484</v>
      </c>
      <c r="O45" s="9">
        <v>1</v>
      </c>
      <c r="W45" s="9" t="s">
        <v>1587</v>
      </c>
      <c r="Y45" s="9" t="s">
        <v>1481</v>
      </c>
      <c r="Z45" s="9" t="s">
        <v>1853</v>
      </c>
    </row>
    <row r="46" spans="1:26" ht="24" customHeight="1">
      <c r="A46" s="205" t="s">
        <v>1485</v>
      </c>
      <c r="B46" s="206" t="s">
        <v>1486</v>
      </c>
      <c r="C46" s="172" t="s">
        <v>1487</v>
      </c>
      <c r="D46" s="172" t="s">
        <v>1488</v>
      </c>
      <c r="E46" s="172">
        <v>20</v>
      </c>
      <c r="F46" s="172">
        <v>7</v>
      </c>
      <c r="G46" s="172">
        <v>0</v>
      </c>
      <c r="H46" s="172">
        <v>50</v>
      </c>
      <c r="I46" s="172" t="s">
        <v>1489</v>
      </c>
      <c r="J46" s="172"/>
      <c r="K46" s="172"/>
      <c r="M46" s="9" t="s">
        <v>1487</v>
      </c>
      <c r="N46" s="9" t="s">
        <v>1488</v>
      </c>
      <c r="O46" s="9">
        <v>20</v>
      </c>
      <c r="P46" s="9">
        <v>7</v>
      </c>
      <c r="Q46" s="9">
        <v>0</v>
      </c>
      <c r="R46" s="9">
        <v>50</v>
      </c>
      <c r="S46" s="9" t="s">
        <v>1489</v>
      </c>
      <c r="Y46" s="9" t="s">
        <v>1483</v>
      </c>
      <c r="Z46" s="9" t="s">
        <v>1855</v>
      </c>
    </row>
    <row r="47" spans="1:26" ht="24" customHeight="1">
      <c r="A47" s="205" t="s">
        <v>1485</v>
      </c>
      <c r="B47" s="206" t="s">
        <v>1486</v>
      </c>
      <c r="C47" s="172" t="s">
        <v>1490</v>
      </c>
      <c r="D47" s="172" t="s">
        <v>1491</v>
      </c>
      <c r="E47" s="172">
        <v>50</v>
      </c>
      <c r="F47" s="172">
        <v>1</v>
      </c>
      <c r="G47" s="172">
        <v>1</v>
      </c>
      <c r="H47" s="172">
        <v>10</v>
      </c>
      <c r="I47" s="172" t="s">
        <v>1492</v>
      </c>
      <c r="J47" s="172"/>
      <c r="K47" s="172"/>
      <c r="M47" s="9" t="s">
        <v>1490</v>
      </c>
      <c r="N47" s="9" t="s">
        <v>1491</v>
      </c>
      <c r="O47" s="9">
        <v>50</v>
      </c>
      <c r="P47" s="9">
        <v>1</v>
      </c>
      <c r="Q47" s="9">
        <v>1</v>
      </c>
      <c r="R47" s="9">
        <v>10</v>
      </c>
      <c r="S47" s="9" t="s">
        <v>1492</v>
      </c>
      <c r="Y47" s="9" t="s">
        <v>1688</v>
      </c>
      <c r="Z47" s="9" t="s">
        <v>1857</v>
      </c>
    </row>
    <row r="48" spans="1:26" ht="24" customHeight="1">
      <c r="A48" s="205" t="s">
        <v>1485</v>
      </c>
      <c r="B48" s="206" t="s">
        <v>1486</v>
      </c>
      <c r="C48" s="172" t="s">
        <v>1493</v>
      </c>
      <c r="D48" s="172" t="s">
        <v>1494</v>
      </c>
      <c r="E48" s="172">
        <v>20</v>
      </c>
      <c r="F48" s="172">
        <v>5</v>
      </c>
      <c r="G48" s="172">
        <v>3</v>
      </c>
      <c r="H48" s="172">
        <v>30</v>
      </c>
      <c r="I48" s="172" t="s">
        <v>1495</v>
      </c>
      <c r="J48" s="172"/>
      <c r="K48" s="172"/>
      <c r="M48" s="9" t="s">
        <v>1493</v>
      </c>
      <c r="N48" s="9" t="s">
        <v>1494</v>
      </c>
      <c r="O48" s="9">
        <v>20</v>
      </c>
      <c r="P48" s="9">
        <v>5</v>
      </c>
      <c r="Q48" s="9">
        <v>3</v>
      </c>
      <c r="R48" s="9">
        <v>30</v>
      </c>
      <c r="S48" s="9" t="s">
        <v>1495</v>
      </c>
      <c r="Y48" s="9" t="s">
        <v>1691</v>
      </c>
      <c r="Z48" s="9" t="s">
        <v>1859</v>
      </c>
    </row>
    <row r="49" spans="1:26" ht="24" customHeight="1">
      <c r="A49" s="205" t="s">
        <v>1485</v>
      </c>
      <c r="B49" s="206" t="s">
        <v>1486</v>
      </c>
      <c r="C49" s="172" t="s">
        <v>1496</v>
      </c>
      <c r="D49" s="172" t="s">
        <v>1497</v>
      </c>
      <c r="E49" s="172">
        <v>15</v>
      </c>
      <c r="F49" s="172">
        <v>10</v>
      </c>
      <c r="G49" s="172">
        <v>0</v>
      </c>
      <c r="H49" s="172">
        <v>20</v>
      </c>
      <c r="I49" s="172" t="s">
        <v>1498</v>
      </c>
      <c r="J49" s="172"/>
      <c r="K49" s="172"/>
      <c r="M49" s="9" t="s">
        <v>1496</v>
      </c>
      <c r="N49" s="9" t="s">
        <v>1497</v>
      </c>
      <c r="O49" s="9">
        <v>15</v>
      </c>
      <c r="P49" s="9">
        <v>10</v>
      </c>
      <c r="Q49" s="9">
        <v>0</v>
      </c>
      <c r="R49" s="9">
        <v>20</v>
      </c>
      <c r="S49" s="9" t="s">
        <v>1498</v>
      </c>
      <c r="Y49" s="9" t="s">
        <v>1694</v>
      </c>
      <c r="Z49" s="9" t="s">
        <v>1861</v>
      </c>
    </row>
    <row r="50" spans="1:26" ht="24" customHeight="1">
      <c r="A50" s="205" t="s">
        <v>1485</v>
      </c>
      <c r="B50" s="206" t="s">
        <v>1486</v>
      </c>
      <c r="C50" s="172" t="s">
        <v>1499</v>
      </c>
      <c r="D50" s="172" t="s">
        <v>1500</v>
      </c>
      <c r="E50" s="172">
        <v>20</v>
      </c>
      <c r="F50" s="172">
        <v>3</v>
      </c>
      <c r="G50" s="172">
        <v>3</v>
      </c>
      <c r="H50" s="172">
        <v>20</v>
      </c>
      <c r="I50" s="172" t="s">
        <v>1501</v>
      </c>
      <c r="J50" s="172"/>
      <c r="K50" s="172"/>
      <c r="M50" s="9" t="s">
        <v>1499</v>
      </c>
      <c r="N50" s="9" t="s">
        <v>1500</v>
      </c>
      <c r="O50" s="9">
        <v>20</v>
      </c>
      <c r="P50" s="9">
        <v>3</v>
      </c>
      <c r="Q50" s="9">
        <v>3</v>
      </c>
      <c r="R50" s="9">
        <v>20</v>
      </c>
      <c r="S50" s="9" t="s">
        <v>1501</v>
      </c>
      <c r="Y50" s="9" t="s">
        <v>1697</v>
      </c>
      <c r="Z50" s="9" t="s">
        <v>1863</v>
      </c>
    </row>
    <row r="51" spans="1:26" ht="24" customHeight="1">
      <c r="A51" s="205" t="s">
        <v>1485</v>
      </c>
      <c r="B51" s="206" t="s">
        <v>1486</v>
      </c>
      <c r="C51" s="172" t="s">
        <v>1502</v>
      </c>
      <c r="D51" s="172" t="s">
        <v>1503</v>
      </c>
      <c r="E51" s="172">
        <v>40</v>
      </c>
      <c r="F51" s="172">
        <v>2</v>
      </c>
      <c r="G51" s="172">
        <v>5</v>
      </c>
      <c r="H51" s="172">
        <v>20</v>
      </c>
      <c r="I51" s="172" t="s">
        <v>1498</v>
      </c>
      <c r="J51" s="172"/>
      <c r="K51" s="172"/>
      <c r="M51" s="9" t="s">
        <v>1502</v>
      </c>
      <c r="N51" s="9" t="s">
        <v>1503</v>
      </c>
      <c r="O51" s="9">
        <v>40</v>
      </c>
      <c r="P51" s="9">
        <v>2</v>
      </c>
      <c r="Q51" s="9">
        <v>5</v>
      </c>
      <c r="R51" s="9">
        <v>20</v>
      </c>
      <c r="S51" s="9" t="s">
        <v>1498</v>
      </c>
      <c r="Y51" s="9" t="s">
        <v>1700</v>
      </c>
      <c r="Z51" s="9" t="s">
        <v>1865</v>
      </c>
    </row>
    <row r="52" spans="1:26" ht="24" customHeight="1">
      <c r="A52" s="205" t="s">
        <v>1485</v>
      </c>
      <c r="B52" s="206" t="s">
        <v>1486</v>
      </c>
      <c r="C52" s="172" t="s">
        <v>1504</v>
      </c>
      <c r="D52" s="172" t="s">
        <v>1505</v>
      </c>
      <c r="E52" s="172">
        <v>10</v>
      </c>
      <c r="F52" s="172">
        <v>0</v>
      </c>
      <c r="G52" s="172">
        <v>20</v>
      </c>
      <c r="H52" s="172">
        <v>50</v>
      </c>
      <c r="I52" s="172" t="s">
        <v>1495</v>
      </c>
      <c r="J52" s="172"/>
      <c r="K52" s="172"/>
      <c r="M52" s="9" t="s">
        <v>1504</v>
      </c>
      <c r="N52" s="9" t="s">
        <v>1505</v>
      </c>
      <c r="O52" s="9">
        <v>10</v>
      </c>
      <c r="P52" s="9">
        <v>0</v>
      </c>
      <c r="Q52" s="9">
        <v>20</v>
      </c>
      <c r="R52" s="9">
        <v>50</v>
      </c>
      <c r="S52" s="9" t="s">
        <v>1495</v>
      </c>
      <c r="Y52" s="9" t="s">
        <v>1702</v>
      </c>
      <c r="Z52" s="9" t="s">
        <v>1867</v>
      </c>
    </row>
    <row r="53" spans="1:26" ht="24" customHeight="1">
      <c r="A53" s="205" t="s">
        <v>1485</v>
      </c>
      <c r="B53" s="206" t="s">
        <v>1486</v>
      </c>
      <c r="C53" s="172" t="s">
        <v>1506</v>
      </c>
      <c r="D53" s="172" t="s">
        <v>1507</v>
      </c>
      <c r="E53" s="172">
        <v>25</v>
      </c>
      <c r="F53" s="172">
        <v>6</v>
      </c>
      <c r="G53" s="172">
        <v>6</v>
      </c>
      <c r="H53" s="172">
        <v>20</v>
      </c>
      <c r="I53" s="172" t="s">
        <v>1498</v>
      </c>
      <c r="J53" s="172"/>
      <c r="K53" s="172"/>
      <c r="M53" s="9" t="s">
        <v>1506</v>
      </c>
      <c r="N53" s="9" t="s">
        <v>1507</v>
      </c>
      <c r="O53" s="9">
        <v>25</v>
      </c>
      <c r="P53" s="9">
        <v>6</v>
      </c>
      <c r="Q53" s="9">
        <v>6</v>
      </c>
      <c r="R53" s="9">
        <v>20</v>
      </c>
      <c r="S53" s="9" t="s">
        <v>1498</v>
      </c>
      <c r="Y53" s="9" t="s">
        <v>1704</v>
      </c>
      <c r="Z53" s="9" t="s">
        <v>1869</v>
      </c>
    </row>
    <row r="54" spans="1:26" ht="24" customHeight="1">
      <c r="A54" s="205" t="s">
        <v>1485</v>
      </c>
      <c r="B54" s="206" t="s">
        <v>1486</v>
      </c>
      <c r="C54" s="172" t="s">
        <v>1508</v>
      </c>
      <c r="D54" s="172" t="s">
        <v>1509</v>
      </c>
      <c r="E54" s="172">
        <v>20</v>
      </c>
      <c r="F54" s="172">
        <v>7</v>
      </c>
      <c r="G54" s="172">
        <v>2</v>
      </c>
      <c r="H54" s="172">
        <v>30</v>
      </c>
      <c r="I54" s="172" t="s">
        <v>1510</v>
      </c>
      <c r="J54" s="172"/>
      <c r="K54" s="172"/>
      <c r="M54" s="9" t="s">
        <v>1508</v>
      </c>
      <c r="N54" s="9" t="s">
        <v>1509</v>
      </c>
      <c r="O54" s="9">
        <v>20</v>
      </c>
      <c r="P54" s="9">
        <v>7</v>
      </c>
      <c r="Q54" s="9">
        <v>2</v>
      </c>
      <c r="R54" s="9">
        <v>30</v>
      </c>
      <c r="S54" s="9" t="s">
        <v>1510</v>
      </c>
      <c r="Y54" s="9" t="s">
        <v>1707</v>
      </c>
      <c r="Z54" s="9" t="s">
        <v>1871</v>
      </c>
    </row>
    <row r="55" spans="1:26" ht="24" customHeight="1">
      <c r="A55" s="205" t="s">
        <v>1485</v>
      </c>
      <c r="B55" s="206" t="s">
        <v>1486</v>
      </c>
      <c r="C55" s="172" t="s">
        <v>1511</v>
      </c>
      <c r="D55" s="172" t="s">
        <v>1512</v>
      </c>
      <c r="E55" s="172">
        <v>20</v>
      </c>
      <c r="F55" s="172">
        <v>3</v>
      </c>
      <c r="G55" s="172">
        <v>15</v>
      </c>
      <c r="H55" s="172">
        <v>30</v>
      </c>
      <c r="I55" s="172" t="s">
        <v>1489</v>
      </c>
      <c r="J55" s="172"/>
      <c r="K55" s="172"/>
      <c r="M55" s="9" t="s">
        <v>1511</v>
      </c>
      <c r="N55" s="9" t="s">
        <v>1512</v>
      </c>
      <c r="O55" s="9">
        <v>20</v>
      </c>
      <c r="P55" s="9">
        <v>3</v>
      </c>
      <c r="Q55" s="9">
        <v>15</v>
      </c>
      <c r="R55" s="9">
        <v>30</v>
      </c>
      <c r="S55" s="9" t="s">
        <v>1489</v>
      </c>
      <c r="Y55" s="9" t="s">
        <v>1709</v>
      </c>
      <c r="Z55" s="9" t="s">
        <v>1873</v>
      </c>
    </row>
    <row r="56" spans="1:26" ht="24" customHeight="1">
      <c r="A56" s="205" t="s">
        <v>1485</v>
      </c>
      <c r="B56" s="206" t="s">
        <v>1486</v>
      </c>
      <c r="C56" s="172" t="s">
        <v>1513</v>
      </c>
      <c r="D56" s="172" t="s">
        <v>1514</v>
      </c>
      <c r="E56" s="172">
        <v>5</v>
      </c>
      <c r="F56" s="172">
        <v>0</v>
      </c>
      <c r="G56" s="172">
        <v>0</v>
      </c>
      <c r="H56" s="172">
        <v>10</v>
      </c>
      <c r="I56" s="172" t="s">
        <v>1515</v>
      </c>
      <c r="J56" s="172"/>
      <c r="K56" s="172"/>
      <c r="M56" s="9" t="s">
        <v>1513</v>
      </c>
      <c r="N56" s="9" t="s">
        <v>1514</v>
      </c>
      <c r="O56" s="9">
        <v>5</v>
      </c>
      <c r="P56" s="9">
        <v>0</v>
      </c>
      <c r="Q56" s="9">
        <v>0</v>
      </c>
      <c r="R56" s="9">
        <v>10</v>
      </c>
      <c r="S56" s="9" t="s">
        <v>1515</v>
      </c>
      <c r="Y56" s="9" t="s">
        <v>1712</v>
      </c>
      <c r="Z56" s="9" t="s">
        <v>1876</v>
      </c>
    </row>
    <row r="57" spans="1:26" ht="24" customHeight="1">
      <c r="A57" s="205" t="s">
        <v>1485</v>
      </c>
      <c r="B57" s="206" t="s">
        <v>1486</v>
      </c>
      <c r="C57" s="172" t="s">
        <v>1516</v>
      </c>
      <c r="D57" s="172" t="s">
        <v>1517</v>
      </c>
      <c r="E57" s="172">
        <v>10</v>
      </c>
      <c r="F57" s="172">
        <v>5</v>
      </c>
      <c r="G57" s="172">
        <v>8</v>
      </c>
      <c r="H57" s="172">
        <v>30</v>
      </c>
      <c r="I57" s="172" t="s">
        <v>1518</v>
      </c>
      <c r="J57" s="172"/>
      <c r="K57" s="172"/>
      <c r="M57" s="9" t="s">
        <v>1516</v>
      </c>
      <c r="N57" s="9" t="s">
        <v>1517</v>
      </c>
      <c r="O57" s="9">
        <v>10</v>
      </c>
      <c r="P57" s="9">
        <v>5</v>
      </c>
      <c r="Q57" s="9">
        <v>8</v>
      </c>
      <c r="R57" s="9">
        <v>30</v>
      </c>
      <c r="S57" s="9" t="s">
        <v>1518</v>
      </c>
      <c r="Y57" s="9" t="s">
        <v>1715</v>
      </c>
      <c r="Z57" s="9" t="s">
        <v>1879</v>
      </c>
    </row>
    <row r="58" spans="1:26" ht="24" customHeight="1">
      <c r="A58" s="205" t="s">
        <v>1485</v>
      </c>
      <c r="B58" s="206" t="s">
        <v>1486</v>
      </c>
      <c r="C58" s="172" t="s">
        <v>1519</v>
      </c>
      <c r="D58" s="172" t="s">
        <v>1520</v>
      </c>
      <c r="E58" s="172">
        <v>30</v>
      </c>
      <c r="F58" s="172">
        <v>0</v>
      </c>
      <c r="G58" s="172">
        <v>18</v>
      </c>
      <c r="H58" s="172">
        <v>40</v>
      </c>
      <c r="I58" s="172" t="s">
        <v>1521</v>
      </c>
      <c r="J58" s="172"/>
      <c r="K58" s="172"/>
      <c r="M58" s="9" t="s">
        <v>1519</v>
      </c>
      <c r="N58" s="9" t="s">
        <v>1520</v>
      </c>
      <c r="O58" s="9">
        <v>30</v>
      </c>
      <c r="P58" s="9">
        <v>0</v>
      </c>
      <c r="Q58" s="9">
        <v>18</v>
      </c>
      <c r="R58" s="9">
        <v>40</v>
      </c>
      <c r="S58" s="9" t="s">
        <v>1521</v>
      </c>
      <c r="Y58" s="9" t="s">
        <v>1717</v>
      </c>
      <c r="Z58" s="9" t="s">
        <v>1881</v>
      </c>
    </row>
    <row r="59" spans="1:26" ht="24" customHeight="1">
      <c r="A59" s="205" t="s">
        <v>1485</v>
      </c>
      <c r="B59" s="206" t="s">
        <v>1486</v>
      </c>
      <c r="C59" s="172" t="s">
        <v>1522</v>
      </c>
      <c r="D59" s="172" t="s">
        <v>1523</v>
      </c>
      <c r="E59" s="172">
        <v>20</v>
      </c>
      <c r="F59" s="172">
        <v>10</v>
      </c>
      <c r="G59" s="172">
        <v>2</v>
      </c>
      <c r="H59" s="172">
        <v>30</v>
      </c>
      <c r="I59" s="172" t="s">
        <v>1495</v>
      </c>
      <c r="J59" s="172"/>
      <c r="K59" s="172"/>
      <c r="M59" s="9" t="s">
        <v>1522</v>
      </c>
      <c r="N59" s="9" t="s">
        <v>1523</v>
      </c>
      <c r="O59" s="9">
        <v>20</v>
      </c>
      <c r="P59" s="9">
        <v>10</v>
      </c>
      <c r="Q59" s="9">
        <v>2</v>
      </c>
      <c r="R59" s="9">
        <v>30</v>
      </c>
      <c r="S59" s="9" t="s">
        <v>1495</v>
      </c>
      <c r="Y59" s="9" t="s">
        <v>1719</v>
      </c>
      <c r="Z59" s="9" t="s">
        <v>1883</v>
      </c>
    </row>
    <row r="60" spans="1:26" ht="24" customHeight="1">
      <c r="A60" s="205" t="s">
        <v>1485</v>
      </c>
      <c r="B60" s="206" t="s">
        <v>1486</v>
      </c>
      <c r="C60" s="172" t="s">
        <v>1524</v>
      </c>
      <c r="D60" s="172" t="s">
        <v>1525</v>
      </c>
      <c r="E60" s="172">
        <v>20</v>
      </c>
      <c r="F60" s="172">
        <v>3</v>
      </c>
      <c r="G60" s="172">
        <v>9</v>
      </c>
      <c r="H60" s="172">
        <v>30</v>
      </c>
      <c r="I60" s="172" t="s">
        <v>1526</v>
      </c>
      <c r="J60" s="172"/>
      <c r="K60" s="172"/>
      <c r="M60" s="9" t="s">
        <v>1524</v>
      </c>
      <c r="N60" s="9" t="s">
        <v>1525</v>
      </c>
      <c r="O60" s="9">
        <v>20</v>
      </c>
      <c r="P60" s="9">
        <v>3</v>
      </c>
      <c r="Q60" s="9">
        <v>9</v>
      </c>
      <c r="R60" s="9">
        <v>30</v>
      </c>
      <c r="S60" s="9" t="s">
        <v>1526</v>
      </c>
      <c r="Y60" s="9" t="s">
        <v>1722</v>
      </c>
      <c r="Z60" s="9" t="s">
        <v>1885</v>
      </c>
    </row>
    <row r="61" spans="1:26" ht="24" customHeight="1">
      <c r="A61" s="205" t="s">
        <v>1485</v>
      </c>
      <c r="B61" s="206" t="s">
        <v>1486</v>
      </c>
      <c r="C61" s="172" t="s">
        <v>1527</v>
      </c>
      <c r="D61" s="172" t="s">
        <v>1528</v>
      </c>
      <c r="E61" s="172">
        <v>30</v>
      </c>
      <c r="F61" s="172">
        <v>0</v>
      </c>
      <c r="G61" s="172">
        <v>20</v>
      </c>
      <c r="H61" s="172">
        <v>40</v>
      </c>
      <c r="I61" s="172" t="s">
        <v>1521</v>
      </c>
      <c r="J61" s="172"/>
      <c r="K61" s="172"/>
      <c r="M61" s="9" t="s">
        <v>1527</v>
      </c>
      <c r="N61" s="9" t="s">
        <v>1528</v>
      </c>
      <c r="O61" s="9">
        <v>30</v>
      </c>
      <c r="P61" s="9">
        <v>0</v>
      </c>
      <c r="Q61" s="9">
        <v>20</v>
      </c>
      <c r="R61" s="9">
        <v>40</v>
      </c>
      <c r="S61" s="9" t="s">
        <v>1521</v>
      </c>
      <c r="Y61" s="9" t="s">
        <v>1725</v>
      </c>
      <c r="Z61" s="9" t="s">
        <v>1887</v>
      </c>
    </row>
    <row r="62" spans="1:26" ht="24" customHeight="1">
      <c r="A62" s="205" t="s">
        <v>1485</v>
      </c>
      <c r="B62" s="206" t="s">
        <v>1486</v>
      </c>
      <c r="C62" s="172" t="s">
        <v>1529</v>
      </c>
      <c r="D62" s="172" t="s">
        <v>1530</v>
      </c>
      <c r="E62" s="172">
        <v>30</v>
      </c>
      <c r="F62" s="172">
        <v>10</v>
      </c>
      <c r="G62" s="172">
        <v>10</v>
      </c>
      <c r="H62" s="172">
        <v>40</v>
      </c>
      <c r="I62" s="172" t="s">
        <v>1531</v>
      </c>
      <c r="J62" s="172"/>
      <c r="K62" s="172"/>
      <c r="M62" s="9" t="s">
        <v>1529</v>
      </c>
      <c r="N62" s="9" t="s">
        <v>1530</v>
      </c>
      <c r="O62" s="9">
        <v>30</v>
      </c>
      <c r="P62" s="9">
        <v>10</v>
      </c>
      <c r="Q62" s="9">
        <v>10</v>
      </c>
      <c r="R62" s="9">
        <v>40</v>
      </c>
      <c r="S62" s="9" t="s">
        <v>1531</v>
      </c>
      <c r="Y62" s="9" t="s">
        <v>1728</v>
      </c>
      <c r="Z62" s="9" t="s">
        <v>1890</v>
      </c>
    </row>
    <row r="63" spans="1:26" ht="24" customHeight="1">
      <c r="A63" s="205" t="s">
        <v>1485</v>
      </c>
      <c r="B63" s="206" t="s">
        <v>1486</v>
      </c>
      <c r="C63" s="172" t="s">
        <v>1532</v>
      </c>
      <c r="D63" s="172" t="s">
        <v>1533</v>
      </c>
      <c r="E63" s="172">
        <v>25</v>
      </c>
      <c r="F63" s="172">
        <v>5</v>
      </c>
      <c r="G63" s="172">
        <v>5</v>
      </c>
      <c r="H63" s="172">
        <v>20</v>
      </c>
      <c r="I63" s="172" t="s">
        <v>1498</v>
      </c>
      <c r="J63" s="172"/>
      <c r="K63" s="172"/>
      <c r="M63" s="9" t="s">
        <v>1532</v>
      </c>
      <c r="N63" s="9" t="s">
        <v>1533</v>
      </c>
      <c r="O63" s="9">
        <v>25</v>
      </c>
      <c r="P63" s="9">
        <v>5</v>
      </c>
      <c r="Q63" s="9">
        <v>5</v>
      </c>
      <c r="R63" s="9">
        <v>20</v>
      </c>
      <c r="S63" s="9" t="s">
        <v>1498</v>
      </c>
      <c r="Y63" s="9" t="s">
        <v>1731</v>
      </c>
      <c r="Z63" s="9" t="s">
        <v>1892</v>
      </c>
    </row>
    <row r="64" spans="1:26" ht="24" customHeight="1">
      <c r="A64" s="205" t="s">
        <v>1485</v>
      </c>
      <c r="B64" s="206" t="s">
        <v>1486</v>
      </c>
      <c r="C64" s="172" t="s">
        <v>1534</v>
      </c>
      <c r="D64" s="172" t="s">
        <v>1535</v>
      </c>
      <c r="E64" s="172">
        <v>40</v>
      </c>
      <c r="F64" s="172">
        <v>15</v>
      </c>
      <c r="G64" s="172">
        <v>10</v>
      </c>
      <c r="H64" s="172">
        <v>50</v>
      </c>
      <c r="I64" s="172" t="s">
        <v>1489</v>
      </c>
      <c r="J64" s="172"/>
      <c r="K64" s="172"/>
      <c r="M64" s="9" t="s">
        <v>1534</v>
      </c>
      <c r="N64" s="9" t="s">
        <v>1535</v>
      </c>
      <c r="O64" s="9">
        <v>40</v>
      </c>
      <c r="P64" s="9">
        <v>15</v>
      </c>
      <c r="Q64" s="9">
        <v>10</v>
      </c>
      <c r="R64" s="9">
        <v>50</v>
      </c>
      <c r="S64" s="9" t="s">
        <v>1489</v>
      </c>
      <c r="Y64" s="9" t="s">
        <v>1733</v>
      </c>
      <c r="Z64" s="9" t="s">
        <v>1894</v>
      </c>
    </row>
    <row r="65" spans="1:26" ht="24" customHeight="1">
      <c r="A65" s="205" t="s">
        <v>1485</v>
      </c>
      <c r="B65" s="206" t="s">
        <v>1486</v>
      </c>
      <c r="C65" s="172" t="s">
        <v>1536</v>
      </c>
      <c r="D65" s="172" t="s">
        <v>1537</v>
      </c>
      <c r="E65" s="172">
        <v>30</v>
      </c>
      <c r="F65" s="172">
        <v>5</v>
      </c>
      <c r="G65" s="172">
        <v>10</v>
      </c>
      <c r="H65" s="172">
        <v>35</v>
      </c>
      <c r="I65" s="172" t="s">
        <v>1495</v>
      </c>
      <c r="J65" s="172"/>
      <c r="K65" s="172"/>
      <c r="M65" s="9" t="s">
        <v>1536</v>
      </c>
      <c r="N65" s="9" t="s">
        <v>1537</v>
      </c>
      <c r="O65" s="9">
        <v>30</v>
      </c>
      <c r="P65" s="9">
        <v>5</v>
      </c>
      <c r="Q65" s="9">
        <v>10</v>
      </c>
      <c r="R65" s="9">
        <v>35</v>
      </c>
      <c r="S65" s="9" t="s">
        <v>1495</v>
      </c>
      <c r="Y65" s="9" t="s">
        <v>1735</v>
      </c>
      <c r="Z65" s="9" t="s">
        <v>1896</v>
      </c>
    </row>
    <row r="66" spans="1:26" ht="24" customHeight="1">
      <c r="A66" s="205" t="s">
        <v>1485</v>
      </c>
      <c r="B66" s="206" t="s">
        <v>1538</v>
      </c>
      <c r="C66" s="172" t="s">
        <v>1539</v>
      </c>
      <c r="D66" s="172" t="s">
        <v>1540</v>
      </c>
      <c r="E66" s="172">
        <v>20</v>
      </c>
      <c r="F66" s="172">
        <v>20</v>
      </c>
      <c r="G66" s="172">
        <v>10</v>
      </c>
      <c r="H66" s="172">
        <v>50</v>
      </c>
      <c r="I66" s="172" t="s">
        <v>1541</v>
      </c>
      <c r="J66" s="172"/>
      <c r="K66" s="172"/>
      <c r="M66" s="9" t="s">
        <v>1539</v>
      </c>
      <c r="N66" s="9" t="s">
        <v>1540</v>
      </c>
      <c r="O66" s="9">
        <v>20</v>
      </c>
      <c r="P66" s="9">
        <v>20</v>
      </c>
      <c r="Q66" s="9">
        <v>10</v>
      </c>
      <c r="R66" s="9">
        <v>50</v>
      </c>
      <c r="S66" s="9" t="s">
        <v>1541</v>
      </c>
      <c r="Y66" s="9" t="s">
        <v>1737</v>
      </c>
      <c r="Z66" s="9" t="s">
        <v>1898</v>
      </c>
    </row>
    <row r="67" spans="1:26" ht="24" customHeight="1">
      <c r="A67" s="205" t="s">
        <v>1485</v>
      </c>
      <c r="B67" s="206" t="s">
        <v>1538</v>
      </c>
      <c r="C67" s="172" t="s">
        <v>1542</v>
      </c>
      <c r="D67" s="172" t="s">
        <v>1543</v>
      </c>
      <c r="E67" s="172">
        <v>15</v>
      </c>
      <c r="F67" s="172">
        <v>15</v>
      </c>
      <c r="G67" s="172">
        <v>15</v>
      </c>
      <c r="H67" s="172">
        <v>40</v>
      </c>
      <c r="I67" s="172" t="s">
        <v>1544</v>
      </c>
      <c r="J67" s="172"/>
      <c r="K67" s="172"/>
      <c r="M67" s="9" t="s">
        <v>1542</v>
      </c>
      <c r="N67" s="9" t="s">
        <v>1543</v>
      </c>
      <c r="O67" s="9">
        <v>15</v>
      </c>
      <c r="P67" s="9">
        <v>15</v>
      </c>
      <c r="Q67" s="9">
        <v>15</v>
      </c>
      <c r="R67" s="9">
        <v>40</v>
      </c>
      <c r="S67" s="9" t="s">
        <v>1544</v>
      </c>
      <c r="Y67" s="9" t="s">
        <v>1739</v>
      </c>
      <c r="Z67" s="9" t="s">
        <v>1901</v>
      </c>
    </row>
    <row r="68" spans="1:26" ht="24" customHeight="1">
      <c r="A68" s="205" t="s">
        <v>1485</v>
      </c>
      <c r="B68" s="206" t="s">
        <v>1538</v>
      </c>
      <c r="C68" s="172" t="s">
        <v>1545</v>
      </c>
      <c r="D68" s="172" t="s">
        <v>1546</v>
      </c>
      <c r="E68" s="172">
        <v>25</v>
      </c>
      <c r="F68" s="172">
        <v>15</v>
      </c>
      <c r="G68" s="172">
        <v>15</v>
      </c>
      <c r="H68" s="172">
        <v>40</v>
      </c>
      <c r="I68" s="172" t="s">
        <v>1547</v>
      </c>
      <c r="J68" s="172"/>
      <c r="K68" s="172"/>
      <c r="M68" s="9" t="s">
        <v>1545</v>
      </c>
      <c r="N68" s="9" t="s">
        <v>1546</v>
      </c>
      <c r="O68" s="9">
        <v>25</v>
      </c>
      <c r="P68" s="9">
        <v>15</v>
      </c>
      <c r="Q68" s="9">
        <v>15</v>
      </c>
      <c r="R68" s="9">
        <v>40</v>
      </c>
      <c r="S68" s="9" t="s">
        <v>1547</v>
      </c>
      <c r="Y68" s="9" t="s">
        <v>1741</v>
      </c>
      <c r="Z68" s="9" t="s">
        <v>1903</v>
      </c>
    </row>
    <row r="69" spans="1:26" ht="24" customHeight="1">
      <c r="A69" s="205" t="s">
        <v>1485</v>
      </c>
      <c r="B69" s="206" t="s">
        <v>1538</v>
      </c>
      <c r="C69" s="172" t="s">
        <v>1548</v>
      </c>
      <c r="D69" s="172" t="s">
        <v>1549</v>
      </c>
      <c r="E69" s="172">
        <v>35</v>
      </c>
      <c r="F69" s="172">
        <v>15</v>
      </c>
      <c r="G69" s="172">
        <v>15</v>
      </c>
      <c r="H69" s="172">
        <v>60</v>
      </c>
      <c r="I69" s="172" t="s">
        <v>1547</v>
      </c>
      <c r="J69" s="172"/>
      <c r="K69" s="172"/>
      <c r="M69" s="9" t="s">
        <v>1548</v>
      </c>
      <c r="N69" s="9" t="s">
        <v>1549</v>
      </c>
      <c r="O69" s="9">
        <v>35</v>
      </c>
      <c r="P69" s="9">
        <v>15</v>
      </c>
      <c r="Q69" s="9">
        <v>15</v>
      </c>
      <c r="R69" s="9">
        <v>60</v>
      </c>
      <c r="S69" s="9" t="s">
        <v>1547</v>
      </c>
      <c r="Y69" s="9" t="s">
        <v>1743</v>
      </c>
      <c r="Z69" s="9" t="s">
        <v>1905</v>
      </c>
    </row>
    <row r="70" spans="1:26" ht="24" customHeight="1">
      <c r="A70" s="205" t="s">
        <v>1485</v>
      </c>
      <c r="B70" s="206" t="s">
        <v>1538</v>
      </c>
      <c r="C70" s="172" t="s">
        <v>1550</v>
      </c>
      <c r="D70" s="172" t="s">
        <v>1551</v>
      </c>
      <c r="E70" s="172">
        <v>40</v>
      </c>
      <c r="F70" s="172">
        <v>25</v>
      </c>
      <c r="G70" s="172">
        <v>25</v>
      </c>
      <c r="H70" s="172">
        <v>100</v>
      </c>
      <c r="I70" s="172" t="s">
        <v>1544</v>
      </c>
      <c r="J70" s="172"/>
      <c r="K70" s="172"/>
      <c r="M70" s="9" t="s">
        <v>1550</v>
      </c>
      <c r="N70" s="9" t="s">
        <v>1551</v>
      </c>
      <c r="O70" s="9">
        <v>40</v>
      </c>
      <c r="P70" s="9">
        <v>25</v>
      </c>
      <c r="Q70" s="9">
        <v>25</v>
      </c>
      <c r="R70" s="9">
        <v>100</v>
      </c>
      <c r="S70" s="9" t="s">
        <v>1544</v>
      </c>
      <c r="Y70" s="9" t="s">
        <v>1745</v>
      </c>
      <c r="Z70" s="9" t="s">
        <v>1907</v>
      </c>
    </row>
    <row r="71" spans="1:26" ht="24" customHeight="1">
      <c r="A71" s="205" t="s">
        <v>1485</v>
      </c>
      <c r="B71" s="206" t="s">
        <v>1538</v>
      </c>
      <c r="C71" s="172" t="s">
        <v>1552</v>
      </c>
      <c r="D71" s="172" t="s">
        <v>1553</v>
      </c>
      <c r="E71" s="172">
        <v>35</v>
      </c>
      <c r="F71" s="172">
        <v>10</v>
      </c>
      <c r="G71" s="172">
        <v>15</v>
      </c>
      <c r="H71" s="172">
        <v>50</v>
      </c>
      <c r="I71" s="172" t="s">
        <v>1554</v>
      </c>
      <c r="J71" s="172"/>
      <c r="K71" s="172"/>
      <c r="M71" s="9" t="s">
        <v>1552</v>
      </c>
      <c r="N71" s="9" t="s">
        <v>1553</v>
      </c>
      <c r="O71" s="9">
        <v>35</v>
      </c>
      <c r="P71" s="9">
        <v>10</v>
      </c>
      <c r="Q71" s="9">
        <v>15</v>
      </c>
      <c r="R71" s="9">
        <v>50</v>
      </c>
      <c r="S71" s="9" t="s">
        <v>1554</v>
      </c>
      <c r="Y71" s="9" t="s">
        <v>1747</v>
      </c>
      <c r="Z71" s="9" t="s">
        <v>1909</v>
      </c>
    </row>
    <row r="72" spans="1:26" ht="24" customHeight="1">
      <c r="A72" s="205" t="s">
        <v>1485</v>
      </c>
      <c r="B72" s="206" t="s">
        <v>1538</v>
      </c>
      <c r="C72" s="172" t="s">
        <v>1555</v>
      </c>
      <c r="D72" s="172" t="s">
        <v>1556</v>
      </c>
      <c r="E72" s="172">
        <v>30</v>
      </c>
      <c r="F72" s="172">
        <v>10</v>
      </c>
      <c r="G72" s="172">
        <v>20</v>
      </c>
      <c r="H72" s="172">
        <v>40</v>
      </c>
      <c r="I72" s="172" t="s">
        <v>1554</v>
      </c>
      <c r="J72" s="172"/>
      <c r="K72" s="172"/>
      <c r="M72" s="9" t="s">
        <v>1555</v>
      </c>
      <c r="N72" s="9" t="s">
        <v>1556</v>
      </c>
      <c r="O72" s="9">
        <v>30</v>
      </c>
      <c r="P72" s="9">
        <v>10</v>
      </c>
      <c r="Q72" s="9">
        <v>20</v>
      </c>
      <c r="R72" s="9">
        <v>40</v>
      </c>
      <c r="S72" s="9" t="s">
        <v>1554</v>
      </c>
      <c r="Y72" s="9" t="s">
        <v>1749</v>
      </c>
      <c r="Z72" s="9" t="s">
        <v>1911</v>
      </c>
    </row>
    <row r="73" spans="1:26" ht="24" customHeight="1">
      <c r="A73" s="205" t="s">
        <v>1485</v>
      </c>
      <c r="B73" s="206" t="s">
        <v>1538</v>
      </c>
      <c r="C73" s="172" t="s">
        <v>1557</v>
      </c>
      <c r="D73" s="172" t="s">
        <v>1558</v>
      </c>
      <c r="E73" s="172">
        <v>30</v>
      </c>
      <c r="F73" s="172">
        <v>13</v>
      </c>
      <c r="G73" s="172">
        <v>12</v>
      </c>
      <c r="H73" s="172">
        <v>30</v>
      </c>
      <c r="I73" s="172" t="s">
        <v>1541</v>
      </c>
      <c r="J73" s="172"/>
      <c r="K73" s="172"/>
      <c r="M73" s="9" t="s">
        <v>1557</v>
      </c>
      <c r="N73" s="9" t="s">
        <v>1558</v>
      </c>
      <c r="O73" s="9">
        <v>30</v>
      </c>
      <c r="P73" s="9">
        <v>13</v>
      </c>
      <c r="Q73" s="9">
        <v>12</v>
      </c>
      <c r="R73" s="9">
        <v>30</v>
      </c>
      <c r="S73" s="9" t="s">
        <v>1541</v>
      </c>
      <c r="Y73" s="9" t="s">
        <v>1751</v>
      </c>
      <c r="Z73" s="9" t="s">
        <v>1913</v>
      </c>
    </row>
    <row r="74" spans="1:26" ht="24" customHeight="1">
      <c r="A74" s="205" t="s">
        <v>1485</v>
      </c>
      <c r="B74" s="206" t="s">
        <v>1538</v>
      </c>
      <c r="C74" s="172" t="s">
        <v>1559</v>
      </c>
      <c r="D74" s="172" t="s">
        <v>1560</v>
      </c>
      <c r="E74" s="172">
        <v>25</v>
      </c>
      <c r="F74" s="172">
        <v>15</v>
      </c>
      <c r="G74" s="172">
        <v>15</v>
      </c>
      <c r="H74" s="172">
        <v>40</v>
      </c>
      <c r="I74" s="172" t="s">
        <v>1561</v>
      </c>
      <c r="J74" s="172"/>
      <c r="K74" s="172"/>
      <c r="M74" s="9" t="s">
        <v>1559</v>
      </c>
      <c r="N74" s="9" t="s">
        <v>1560</v>
      </c>
      <c r="O74" s="9">
        <v>25</v>
      </c>
      <c r="P74" s="9">
        <v>15</v>
      </c>
      <c r="Q74" s="9">
        <v>15</v>
      </c>
      <c r="R74" s="9">
        <v>40</v>
      </c>
      <c r="S74" s="9" t="s">
        <v>1561</v>
      </c>
      <c r="Y74" s="9" t="s">
        <v>1753</v>
      </c>
      <c r="Z74" s="9" t="s">
        <v>1915</v>
      </c>
    </row>
    <row r="75" spans="1:26" ht="24" customHeight="1">
      <c r="A75" s="205" t="s">
        <v>1485</v>
      </c>
      <c r="B75" s="206" t="s">
        <v>1538</v>
      </c>
      <c r="C75" s="172" t="s">
        <v>1562</v>
      </c>
      <c r="D75" s="172" t="s">
        <v>1563</v>
      </c>
      <c r="E75" s="172">
        <v>25</v>
      </c>
      <c r="F75" s="172">
        <v>30</v>
      </c>
      <c r="G75" s="172">
        <v>10</v>
      </c>
      <c r="H75" s="172">
        <v>70</v>
      </c>
      <c r="I75" s="172" t="s">
        <v>1564</v>
      </c>
      <c r="J75" s="172"/>
      <c r="K75" s="172"/>
      <c r="M75" s="9" t="s">
        <v>1562</v>
      </c>
      <c r="N75" s="9" t="s">
        <v>1563</v>
      </c>
      <c r="O75" s="9">
        <v>25</v>
      </c>
      <c r="P75" s="9">
        <v>30</v>
      </c>
      <c r="Q75" s="9">
        <v>10</v>
      </c>
      <c r="R75" s="9">
        <v>70</v>
      </c>
      <c r="S75" s="9" t="s">
        <v>1564</v>
      </c>
      <c r="Y75" s="9" t="s">
        <v>1755</v>
      </c>
      <c r="Z75" s="9" t="s">
        <v>1917</v>
      </c>
    </row>
    <row r="76" spans="1:26" ht="24" customHeight="1">
      <c r="A76" s="205" t="s">
        <v>1485</v>
      </c>
      <c r="B76" s="206" t="s">
        <v>1538</v>
      </c>
      <c r="C76" s="172" t="s">
        <v>1565</v>
      </c>
      <c r="D76" s="172" t="s">
        <v>1566</v>
      </c>
      <c r="E76" s="172">
        <v>20</v>
      </c>
      <c r="F76" s="172">
        <v>25</v>
      </c>
      <c r="G76" s="172">
        <v>15</v>
      </c>
      <c r="H76" s="172">
        <v>60</v>
      </c>
      <c r="I76" s="172" t="s">
        <v>1561</v>
      </c>
      <c r="J76" s="172"/>
      <c r="K76" s="172"/>
      <c r="M76" s="9" t="s">
        <v>1565</v>
      </c>
      <c r="N76" s="9" t="s">
        <v>1566</v>
      </c>
      <c r="O76" s="9">
        <v>20</v>
      </c>
      <c r="P76" s="9">
        <v>25</v>
      </c>
      <c r="Q76" s="9">
        <v>15</v>
      </c>
      <c r="R76" s="9">
        <v>60</v>
      </c>
      <c r="S76" s="9" t="s">
        <v>1561</v>
      </c>
      <c r="Y76" s="9" t="s">
        <v>1757</v>
      </c>
      <c r="Z76" s="9" t="s">
        <v>1919</v>
      </c>
    </row>
    <row r="77" spans="1:26" ht="24" customHeight="1">
      <c r="A77" s="205" t="s">
        <v>1485</v>
      </c>
      <c r="B77" s="206" t="s">
        <v>1538</v>
      </c>
      <c r="C77" s="172" t="s">
        <v>1567</v>
      </c>
      <c r="D77" s="172" t="s">
        <v>1568</v>
      </c>
      <c r="E77" s="172">
        <v>45</v>
      </c>
      <c r="F77" s="172">
        <v>10</v>
      </c>
      <c r="G77" s="172">
        <v>10</v>
      </c>
      <c r="H77" s="172">
        <v>10</v>
      </c>
      <c r="I77" s="172" t="s">
        <v>1569</v>
      </c>
      <c r="J77" s="172"/>
      <c r="K77" s="172"/>
      <c r="M77" s="9" t="s">
        <v>1567</v>
      </c>
      <c r="N77" s="9" t="s">
        <v>1568</v>
      </c>
      <c r="O77" s="9">
        <v>45</v>
      </c>
      <c r="P77" s="9">
        <v>10</v>
      </c>
      <c r="Q77" s="9">
        <v>10</v>
      </c>
      <c r="R77" s="9">
        <v>10</v>
      </c>
      <c r="S77" s="9" t="s">
        <v>1569</v>
      </c>
      <c r="Z77" s="9" t="s">
        <v>1922</v>
      </c>
    </row>
    <row r="78" spans="1:26" ht="24" customHeight="1">
      <c r="A78" s="205" t="s">
        <v>1485</v>
      </c>
      <c r="B78" s="206" t="s">
        <v>1538</v>
      </c>
      <c r="C78" s="172" t="s">
        <v>1570</v>
      </c>
      <c r="D78" s="172" t="s">
        <v>1571</v>
      </c>
      <c r="E78" s="172">
        <v>50</v>
      </c>
      <c r="F78" s="172">
        <v>99</v>
      </c>
      <c r="G78" s="172">
        <v>99</v>
      </c>
      <c r="H78" s="172">
        <v>200</v>
      </c>
      <c r="I78" s="172" t="s">
        <v>1572</v>
      </c>
      <c r="J78" s="172"/>
      <c r="K78" s="172"/>
      <c r="M78" s="9" t="s">
        <v>1570</v>
      </c>
      <c r="N78" s="9" t="s">
        <v>1571</v>
      </c>
      <c r="O78" s="9">
        <v>50</v>
      </c>
      <c r="P78" s="9">
        <v>99</v>
      </c>
      <c r="Q78" s="9">
        <v>99</v>
      </c>
      <c r="R78" s="9">
        <v>200</v>
      </c>
      <c r="S78" s="9" t="s">
        <v>1572</v>
      </c>
      <c r="Z78" s="9" t="s">
        <v>1924</v>
      </c>
    </row>
    <row r="79" spans="1:26" ht="24" customHeight="1">
      <c r="A79" s="205" t="s">
        <v>1485</v>
      </c>
      <c r="B79" s="206" t="s">
        <v>1538</v>
      </c>
      <c r="C79" s="172" t="s">
        <v>1573</v>
      </c>
      <c r="D79" s="172" t="s">
        <v>1574</v>
      </c>
      <c r="E79" s="172">
        <v>25</v>
      </c>
      <c r="F79" s="172">
        <v>15</v>
      </c>
      <c r="G79" s="172">
        <v>20</v>
      </c>
      <c r="H79" s="172">
        <v>35</v>
      </c>
      <c r="I79" s="172" t="s">
        <v>1575</v>
      </c>
      <c r="J79" s="172"/>
      <c r="K79" s="172"/>
      <c r="M79" s="9" t="s">
        <v>1573</v>
      </c>
      <c r="N79" s="9" t="s">
        <v>1574</v>
      </c>
      <c r="O79" s="9">
        <v>25</v>
      </c>
      <c r="P79" s="9">
        <v>15</v>
      </c>
      <c r="Q79" s="9">
        <v>20</v>
      </c>
      <c r="R79" s="9">
        <v>35</v>
      </c>
      <c r="S79" s="9" t="s">
        <v>1575</v>
      </c>
      <c r="Z79" s="9" t="s">
        <v>1926</v>
      </c>
    </row>
    <row r="80" spans="1:26" ht="24" customHeight="1">
      <c r="A80" s="205" t="s">
        <v>1485</v>
      </c>
      <c r="B80" s="206" t="s">
        <v>1538</v>
      </c>
      <c r="C80" s="172" t="s">
        <v>1576</v>
      </c>
      <c r="D80" s="172" t="s">
        <v>1577</v>
      </c>
      <c r="E80" s="172">
        <v>25</v>
      </c>
      <c r="F80" s="172">
        <v>15</v>
      </c>
      <c r="G80" s="172">
        <v>15</v>
      </c>
      <c r="H80" s="172">
        <v>35</v>
      </c>
      <c r="I80" s="172" t="s">
        <v>1578</v>
      </c>
      <c r="J80" s="172"/>
      <c r="K80" s="172"/>
      <c r="M80" s="9" t="s">
        <v>1576</v>
      </c>
      <c r="N80" s="9" t="s">
        <v>1577</v>
      </c>
      <c r="O80" s="9">
        <v>25</v>
      </c>
      <c r="P80" s="9">
        <v>15</v>
      </c>
      <c r="Q80" s="9">
        <v>15</v>
      </c>
      <c r="R80" s="9">
        <v>35</v>
      </c>
      <c r="S80" s="9" t="s">
        <v>1578</v>
      </c>
      <c r="Z80" s="9" t="s">
        <v>1928</v>
      </c>
    </row>
    <row r="81" spans="1:26" ht="24" customHeight="1">
      <c r="A81" s="205" t="s">
        <v>1485</v>
      </c>
      <c r="B81" s="206" t="s">
        <v>1538</v>
      </c>
      <c r="C81" s="172" t="s">
        <v>1579</v>
      </c>
      <c r="D81" s="172" t="s">
        <v>1580</v>
      </c>
      <c r="E81" s="172">
        <v>30</v>
      </c>
      <c r="F81" s="172">
        <v>20</v>
      </c>
      <c r="G81" s="172">
        <v>10</v>
      </c>
      <c r="H81" s="172">
        <v>35</v>
      </c>
      <c r="I81" s="172" t="s">
        <v>1547</v>
      </c>
      <c r="J81" s="172"/>
      <c r="K81" s="172"/>
      <c r="M81" s="9" t="s">
        <v>1579</v>
      </c>
      <c r="N81" s="9" t="s">
        <v>1580</v>
      </c>
      <c r="O81" s="9">
        <v>30</v>
      </c>
      <c r="P81" s="9">
        <v>20</v>
      </c>
      <c r="Q81" s="9">
        <v>10</v>
      </c>
      <c r="R81" s="9">
        <v>35</v>
      </c>
      <c r="S81" s="9" t="s">
        <v>1547</v>
      </c>
      <c r="Z81" s="9" t="s">
        <v>1930</v>
      </c>
    </row>
    <row r="82" spans="1:26" ht="24" customHeight="1">
      <c r="A82" s="205" t="s">
        <v>1485</v>
      </c>
      <c r="B82" s="206" t="s">
        <v>1538</v>
      </c>
      <c r="C82" s="172" t="s">
        <v>1581</v>
      </c>
      <c r="D82" s="172" t="s">
        <v>1582</v>
      </c>
      <c r="E82" s="172">
        <v>20</v>
      </c>
      <c r="F82" s="172">
        <v>15</v>
      </c>
      <c r="G82" s="172">
        <v>15</v>
      </c>
      <c r="H82" s="172">
        <v>35</v>
      </c>
      <c r="I82" s="172" t="s">
        <v>1547</v>
      </c>
      <c r="J82" s="172"/>
      <c r="K82" s="172"/>
      <c r="M82" s="9" t="s">
        <v>1581</v>
      </c>
      <c r="N82" s="9" t="s">
        <v>1582</v>
      </c>
      <c r="O82" s="9">
        <v>20</v>
      </c>
      <c r="P82" s="9">
        <v>15</v>
      </c>
      <c r="Q82" s="9">
        <v>15</v>
      </c>
      <c r="R82" s="9">
        <v>35</v>
      </c>
      <c r="S82" s="9" t="s">
        <v>1547</v>
      </c>
      <c r="Z82" s="9" t="s">
        <v>1932</v>
      </c>
    </row>
    <row r="83" spans="1:26" ht="24" customHeight="1">
      <c r="A83" s="205" t="s">
        <v>1485</v>
      </c>
      <c r="B83" s="206" t="s">
        <v>1538</v>
      </c>
      <c r="C83" s="172" t="s">
        <v>1583</v>
      </c>
      <c r="D83" s="172" t="s">
        <v>1584</v>
      </c>
      <c r="E83" s="172">
        <v>20</v>
      </c>
      <c r="F83" s="172">
        <v>30</v>
      </c>
      <c r="G83" s="172">
        <v>10</v>
      </c>
      <c r="H83" s="172">
        <v>80</v>
      </c>
      <c r="I83" s="172" t="s">
        <v>1564</v>
      </c>
      <c r="J83" s="172"/>
      <c r="K83" s="172"/>
      <c r="M83" s="9" t="s">
        <v>1583</v>
      </c>
      <c r="N83" s="9" t="s">
        <v>1584</v>
      </c>
      <c r="O83" s="9">
        <v>20</v>
      </c>
      <c r="P83" s="9">
        <v>30</v>
      </c>
      <c r="Q83" s="9">
        <v>10</v>
      </c>
      <c r="R83" s="9">
        <v>80</v>
      </c>
      <c r="S83" s="9" t="s">
        <v>1564</v>
      </c>
      <c r="Z83" s="9" t="s">
        <v>1934</v>
      </c>
    </row>
    <row r="84" spans="1:26" ht="24" customHeight="1">
      <c r="A84" s="205" t="s">
        <v>1485</v>
      </c>
      <c r="B84" s="206" t="s">
        <v>1538</v>
      </c>
      <c r="C84" s="172" t="s">
        <v>1585</v>
      </c>
      <c r="D84" s="172" t="s">
        <v>1586</v>
      </c>
      <c r="E84" s="172">
        <v>20</v>
      </c>
      <c r="F84" s="172">
        <v>10</v>
      </c>
      <c r="G84" s="172">
        <v>15</v>
      </c>
      <c r="H84" s="172">
        <v>60</v>
      </c>
      <c r="I84" s="172" t="s">
        <v>1541</v>
      </c>
      <c r="J84" s="172"/>
      <c r="K84" s="172"/>
      <c r="M84" s="9" t="s">
        <v>1585</v>
      </c>
      <c r="N84" s="9" t="s">
        <v>1586</v>
      </c>
      <c r="O84" s="9">
        <v>20</v>
      </c>
      <c r="P84" s="9">
        <v>10</v>
      </c>
      <c r="Q84" s="9">
        <v>15</v>
      </c>
      <c r="R84" s="9">
        <v>60</v>
      </c>
      <c r="S84" s="9" t="s">
        <v>1541</v>
      </c>
      <c r="Z84" s="9" t="s">
        <v>1936</v>
      </c>
    </row>
    <row r="85" spans="1:26" ht="24" customHeight="1">
      <c r="A85" s="205" t="s">
        <v>1485</v>
      </c>
      <c r="B85" s="206" t="s">
        <v>1538</v>
      </c>
      <c r="C85" s="172" t="s">
        <v>1587</v>
      </c>
      <c r="D85" s="172" t="s">
        <v>1588</v>
      </c>
      <c r="E85" s="172">
        <v>50</v>
      </c>
      <c r="F85" s="172">
        <v>15</v>
      </c>
      <c r="G85" s="172">
        <v>15</v>
      </c>
      <c r="H85" s="172">
        <v>50</v>
      </c>
      <c r="I85" s="172" t="s">
        <v>1589</v>
      </c>
      <c r="J85" s="172"/>
      <c r="K85" s="172"/>
      <c r="M85" s="9" t="s">
        <v>1587</v>
      </c>
      <c r="N85" s="9" t="s">
        <v>1588</v>
      </c>
      <c r="O85" s="9">
        <v>50</v>
      </c>
      <c r="P85" s="9">
        <v>15</v>
      </c>
      <c r="Q85" s="9">
        <v>15</v>
      </c>
      <c r="R85" s="9">
        <v>50</v>
      </c>
      <c r="S85" s="9" t="s">
        <v>1589</v>
      </c>
      <c r="Z85" s="9" t="s">
        <v>1938</v>
      </c>
    </row>
    <row r="86" spans="1:26" ht="24" customHeight="1">
      <c r="A86" s="205" t="s">
        <v>1485</v>
      </c>
      <c r="B86" s="206" t="s">
        <v>1590</v>
      </c>
      <c r="C86" s="172" t="s">
        <v>1591</v>
      </c>
      <c r="D86" s="172" t="s">
        <v>1592</v>
      </c>
      <c r="E86" s="172">
        <v>20</v>
      </c>
      <c r="F86" s="172">
        <v>0</v>
      </c>
      <c r="G86" s="172">
        <v>10</v>
      </c>
      <c r="H86" s="172">
        <v>30</v>
      </c>
      <c r="I86" s="172" t="s">
        <v>1593</v>
      </c>
      <c r="J86" s="172"/>
      <c r="K86" s="172"/>
      <c r="M86" s="9" t="s">
        <v>1591</v>
      </c>
      <c r="N86" s="9" t="s">
        <v>1592</v>
      </c>
      <c r="O86" s="9">
        <v>20</v>
      </c>
      <c r="P86" s="9">
        <v>0</v>
      </c>
      <c r="Q86" s="9">
        <v>10</v>
      </c>
      <c r="R86" s="9">
        <v>30</v>
      </c>
      <c r="S86" s="9" t="s">
        <v>1593</v>
      </c>
    </row>
    <row r="87" spans="1:26" ht="24" customHeight="1">
      <c r="A87" s="205" t="s">
        <v>1485</v>
      </c>
      <c r="B87" s="206" t="s">
        <v>1590</v>
      </c>
      <c r="C87" s="172" t="s">
        <v>1594</v>
      </c>
      <c r="D87" s="172" t="s">
        <v>1595</v>
      </c>
      <c r="E87" s="172">
        <v>40</v>
      </c>
      <c r="F87" s="172">
        <v>0</v>
      </c>
      <c r="G87" s="172">
        <v>10</v>
      </c>
      <c r="H87" s="172">
        <v>30</v>
      </c>
      <c r="I87" s="172" t="s">
        <v>1596</v>
      </c>
      <c r="J87" s="172"/>
      <c r="K87" s="172"/>
      <c r="M87" s="9" t="s">
        <v>1594</v>
      </c>
      <c r="N87" s="9" t="s">
        <v>1595</v>
      </c>
      <c r="O87" s="9">
        <v>40</v>
      </c>
      <c r="P87" s="9">
        <v>0</v>
      </c>
      <c r="Q87" s="9">
        <v>10</v>
      </c>
      <c r="R87" s="9">
        <v>30</v>
      </c>
      <c r="S87" s="9" t="s">
        <v>1596</v>
      </c>
    </row>
    <row r="88" spans="1:26" ht="24" customHeight="1">
      <c r="A88" s="205" t="s">
        <v>1485</v>
      </c>
      <c r="B88" s="206" t="s">
        <v>1590</v>
      </c>
      <c r="C88" s="172" t="s">
        <v>1597</v>
      </c>
      <c r="D88" s="172" t="s">
        <v>1598</v>
      </c>
      <c r="E88" s="172">
        <v>30</v>
      </c>
      <c r="F88" s="172">
        <v>0</v>
      </c>
      <c r="G88" s="172">
        <v>15</v>
      </c>
      <c r="H88" s="172">
        <v>30</v>
      </c>
      <c r="I88" s="172" t="s">
        <v>1599</v>
      </c>
      <c r="J88" s="172"/>
      <c r="K88" s="172"/>
      <c r="M88" s="9" t="s">
        <v>1597</v>
      </c>
      <c r="N88" s="9" t="s">
        <v>1598</v>
      </c>
      <c r="O88" s="9">
        <v>30</v>
      </c>
      <c r="P88" s="9">
        <v>0</v>
      </c>
      <c r="Q88" s="9">
        <v>15</v>
      </c>
      <c r="R88" s="9">
        <v>30</v>
      </c>
      <c r="S88" s="9" t="s">
        <v>1599</v>
      </c>
    </row>
    <row r="89" spans="1:26" ht="24" customHeight="1">
      <c r="A89" s="205" t="s">
        <v>1485</v>
      </c>
      <c r="B89" s="206" t="s">
        <v>1590</v>
      </c>
      <c r="C89" s="172" t="s">
        <v>1600</v>
      </c>
      <c r="D89" s="172" t="s">
        <v>1601</v>
      </c>
      <c r="E89" s="172">
        <v>25</v>
      </c>
      <c r="F89" s="172">
        <v>0</v>
      </c>
      <c r="G89" s="172">
        <v>13</v>
      </c>
      <c r="H89" s="172">
        <v>30</v>
      </c>
      <c r="I89" s="172" t="s">
        <v>1602</v>
      </c>
      <c r="J89" s="172"/>
      <c r="K89" s="172"/>
      <c r="M89" s="9" t="s">
        <v>1600</v>
      </c>
      <c r="N89" s="9" t="s">
        <v>1601</v>
      </c>
      <c r="O89" s="9">
        <v>25</v>
      </c>
      <c r="P89" s="9">
        <v>0</v>
      </c>
      <c r="Q89" s="9">
        <v>13</v>
      </c>
      <c r="R89" s="9">
        <v>30</v>
      </c>
      <c r="S89" s="9" t="s">
        <v>1602</v>
      </c>
    </row>
    <row r="90" spans="1:26" ht="24" customHeight="1">
      <c r="A90" s="205" t="s">
        <v>1485</v>
      </c>
      <c r="B90" s="206" t="s">
        <v>1590</v>
      </c>
      <c r="C90" s="172" t="s">
        <v>1603</v>
      </c>
      <c r="D90" s="172" t="s">
        <v>1604</v>
      </c>
      <c r="E90" s="172">
        <v>25</v>
      </c>
      <c r="F90" s="172">
        <v>0</v>
      </c>
      <c r="G90" s="172">
        <v>8</v>
      </c>
      <c r="H90" s="172">
        <v>20</v>
      </c>
      <c r="I90" s="172" t="s">
        <v>1605</v>
      </c>
      <c r="J90" s="172"/>
      <c r="K90" s="172"/>
      <c r="M90" s="9" t="s">
        <v>1603</v>
      </c>
      <c r="N90" s="9" t="s">
        <v>1604</v>
      </c>
      <c r="O90" s="9">
        <v>25</v>
      </c>
      <c r="P90" s="9">
        <v>0</v>
      </c>
      <c r="Q90" s="9">
        <v>8</v>
      </c>
      <c r="R90" s="9">
        <v>20</v>
      </c>
      <c r="S90" s="9" t="s">
        <v>1605</v>
      </c>
    </row>
    <row r="91" spans="1:26" ht="24" customHeight="1">
      <c r="A91" s="205" t="s">
        <v>1485</v>
      </c>
      <c r="B91" s="206" t="s">
        <v>1590</v>
      </c>
      <c r="C91" s="172" t="s">
        <v>1606</v>
      </c>
      <c r="D91" s="172" t="s">
        <v>1607</v>
      </c>
      <c r="E91" s="172">
        <v>40</v>
      </c>
      <c r="F91" s="172">
        <v>0</v>
      </c>
      <c r="G91" s="172">
        <v>20</v>
      </c>
      <c r="H91" s="172">
        <v>50</v>
      </c>
      <c r="I91" s="172" t="s">
        <v>1608</v>
      </c>
      <c r="J91" s="172"/>
      <c r="K91" s="172"/>
      <c r="M91" s="9" t="s">
        <v>1606</v>
      </c>
      <c r="N91" s="9" t="s">
        <v>1607</v>
      </c>
      <c r="O91" s="9">
        <v>40</v>
      </c>
      <c r="P91" s="9">
        <v>0</v>
      </c>
      <c r="Q91" s="9">
        <v>20</v>
      </c>
      <c r="R91" s="9">
        <v>50</v>
      </c>
      <c r="S91" s="9" t="s">
        <v>1608</v>
      </c>
    </row>
    <row r="92" spans="1:26" ht="24" customHeight="1">
      <c r="A92" s="205" t="s">
        <v>1485</v>
      </c>
      <c r="B92" s="206" t="s">
        <v>1590</v>
      </c>
      <c r="C92" s="172" t="s">
        <v>1609</v>
      </c>
      <c r="D92" s="172" t="s">
        <v>1610</v>
      </c>
      <c r="E92" s="172">
        <v>30</v>
      </c>
      <c r="F92" s="172">
        <v>0</v>
      </c>
      <c r="G92" s="172">
        <v>10</v>
      </c>
      <c r="H92" s="172">
        <v>30</v>
      </c>
      <c r="I92" s="172" t="s">
        <v>1593</v>
      </c>
      <c r="J92" s="172"/>
      <c r="K92" s="172"/>
      <c r="M92" s="9" t="s">
        <v>1609</v>
      </c>
      <c r="N92" s="9" t="s">
        <v>1610</v>
      </c>
      <c r="O92" s="9">
        <v>30</v>
      </c>
      <c r="P92" s="9">
        <v>0</v>
      </c>
      <c r="Q92" s="9">
        <v>10</v>
      </c>
      <c r="R92" s="9">
        <v>30</v>
      </c>
      <c r="S92" s="9" t="s">
        <v>1593</v>
      </c>
    </row>
    <row r="93" spans="1:26" ht="24" customHeight="1">
      <c r="A93" s="205" t="s">
        <v>1485</v>
      </c>
      <c r="B93" s="206" t="s">
        <v>1590</v>
      </c>
      <c r="C93" s="172" t="s">
        <v>1611</v>
      </c>
      <c r="D93" s="172" t="s">
        <v>1612</v>
      </c>
      <c r="E93" s="172">
        <v>20</v>
      </c>
      <c r="F93" s="172">
        <v>0</v>
      </c>
      <c r="G93" s="172">
        <v>10</v>
      </c>
      <c r="H93" s="172">
        <v>30</v>
      </c>
      <c r="I93" s="172" t="s">
        <v>1602</v>
      </c>
      <c r="J93" s="172"/>
      <c r="K93" s="172"/>
      <c r="M93" s="9" t="s">
        <v>1611</v>
      </c>
      <c r="N93" s="9" t="s">
        <v>1612</v>
      </c>
      <c r="O93" s="9">
        <v>20</v>
      </c>
      <c r="P93" s="9">
        <v>0</v>
      </c>
      <c r="Q93" s="9">
        <v>10</v>
      </c>
      <c r="R93" s="9">
        <v>30</v>
      </c>
      <c r="S93" s="9" t="s">
        <v>1602</v>
      </c>
    </row>
    <row r="94" spans="1:26" ht="24" customHeight="1">
      <c r="A94" s="205" t="s">
        <v>1485</v>
      </c>
      <c r="B94" s="206" t="s">
        <v>1590</v>
      </c>
      <c r="C94" s="172" t="s">
        <v>1613</v>
      </c>
      <c r="D94" s="172" t="s">
        <v>1614</v>
      </c>
      <c r="E94" s="172">
        <v>25</v>
      </c>
      <c r="F94" s="172">
        <v>0</v>
      </c>
      <c r="G94" s="172">
        <v>6</v>
      </c>
      <c r="H94" s="172">
        <v>15</v>
      </c>
      <c r="I94" s="172" t="s">
        <v>1599</v>
      </c>
      <c r="J94" s="172"/>
      <c r="K94" s="172"/>
      <c r="M94" s="9" t="s">
        <v>1613</v>
      </c>
      <c r="N94" s="9" t="s">
        <v>1614</v>
      </c>
      <c r="O94" s="9">
        <v>25</v>
      </c>
      <c r="P94" s="9">
        <v>0</v>
      </c>
      <c r="Q94" s="9">
        <v>6</v>
      </c>
      <c r="R94" s="9">
        <v>15</v>
      </c>
      <c r="S94" s="9" t="s">
        <v>1599</v>
      </c>
    </row>
    <row r="95" spans="1:26" ht="24" customHeight="1">
      <c r="A95" s="205" t="s">
        <v>1485</v>
      </c>
      <c r="B95" s="206" t="s">
        <v>1590</v>
      </c>
      <c r="C95" s="172" t="s">
        <v>1615</v>
      </c>
      <c r="D95" s="172" t="s">
        <v>1616</v>
      </c>
      <c r="E95" s="172">
        <v>15</v>
      </c>
      <c r="F95" s="172">
        <v>0</v>
      </c>
      <c r="G95" s="172">
        <v>10</v>
      </c>
      <c r="H95" s="172">
        <v>20</v>
      </c>
      <c r="I95" s="172" t="s">
        <v>1602</v>
      </c>
      <c r="J95" s="172"/>
      <c r="K95" s="172"/>
      <c r="M95" s="9" t="s">
        <v>1615</v>
      </c>
      <c r="N95" s="9" t="s">
        <v>1616</v>
      </c>
      <c r="O95" s="9">
        <v>15</v>
      </c>
      <c r="P95" s="9">
        <v>0</v>
      </c>
      <c r="Q95" s="9">
        <v>10</v>
      </c>
      <c r="R95" s="9">
        <v>20</v>
      </c>
      <c r="S95" s="9" t="s">
        <v>1602</v>
      </c>
    </row>
    <row r="96" spans="1:26" ht="24" customHeight="1">
      <c r="A96" s="205" t="s">
        <v>1485</v>
      </c>
      <c r="B96" s="206" t="s">
        <v>1590</v>
      </c>
      <c r="C96" s="172" t="s">
        <v>1617</v>
      </c>
      <c r="D96" s="172" t="s">
        <v>1618</v>
      </c>
      <c r="E96" s="172">
        <v>30</v>
      </c>
      <c r="F96" s="172">
        <v>0</v>
      </c>
      <c r="G96" s="172">
        <v>99</v>
      </c>
      <c r="H96" s="172">
        <v>200</v>
      </c>
      <c r="I96" s="172" t="s">
        <v>1619</v>
      </c>
      <c r="J96" s="172"/>
      <c r="K96" s="172"/>
      <c r="M96" s="9" t="s">
        <v>1617</v>
      </c>
      <c r="N96" s="9" t="s">
        <v>1618</v>
      </c>
      <c r="O96" s="9">
        <v>30</v>
      </c>
      <c r="P96" s="9">
        <v>0</v>
      </c>
      <c r="Q96" s="9">
        <v>99</v>
      </c>
      <c r="R96" s="9">
        <v>200</v>
      </c>
      <c r="S96" s="9" t="s">
        <v>1619</v>
      </c>
    </row>
    <row r="97" spans="1:19" ht="24" customHeight="1">
      <c r="A97" s="205" t="s">
        <v>1485</v>
      </c>
      <c r="B97" s="206" t="s">
        <v>1590</v>
      </c>
      <c r="C97" s="172" t="s">
        <v>1620</v>
      </c>
      <c r="D97" s="172" t="s">
        <v>1621</v>
      </c>
      <c r="E97" s="172">
        <v>15</v>
      </c>
      <c r="F97" s="172">
        <v>0</v>
      </c>
      <c r="G97" s="172">
        <v>15</v>
      </c>
      <c r="H97" s="172">
        <v>30</v>
      </c>
      <c r="I97" s="172" t="s">
        <v>1622</v>
      </c>
      <c r="J97" s="172"/>
      <c r="K97" s="172"/>
      <c r="M97" s="9" t="s">
        <v>1620</v>
      </c>
      <c r="N97" s="9" t="s">
        <v>1621</v>
      </c>
      <c r="O97" s="9">
        <v>15</v>
      </c>
      <c r="P97" s="9">
        <v>0</v>
      </c>
      <c r="Q97" s="9">
        <v>15</v>
      </c>
      <c r="R97" s="9">
        <v>30</v>
      </c>
      <c r="S97" s="9" t="s">
        <v>1622</v>
      </c>
    </row>
    <row r="98" spans="1:19" ht="24" customHeight="1">
      <c r="A98" s="205" t="s">
        <v>1485</v>
      </c>
      <c r="B98" s="206" t="s">
        <v>1590</v>
      </c>
      <c r="C98" s="172" t="s">
        <v>1623</v>
      </c>
      <c r="D98" s="172" t="s">
        <v>1624</v>
      </c>
      <c r="E98" s="172">
        <v>15</v>
      </c>
      <c r="F98" s="172">
        <v>0</v>
      </c>
      <c r="G98" s="172">
        <v>15</v>
      </c>
      <c r="H98" s="172">
        <v>30</v>
      </c>
      <c r="I98" s="172" t="s">
        <v>1596</v>
      </c>
      <c r="J98" s="172"/>
      <c r="K98" s="172"/>
      <c r="M98" s="9" t="s">
        <v>1623</v>
      </c>
      <c r="N98" s="9" t="s">
        <v>1624</v>
      </c>
      <c r="O98" s="9">
        <v>15</v>
      </c>
      <c r="P98" s="9">
        <v>0</v>
      </c>
      <c r="Q98" s="9">
        <v>15</v>
      </c>
      <c r="R98" s="9">
        <v>30</v>
      </c>
      <c r="S98" s="9" t="s">
        <v>1596</v>
      </c>
    </row>
    <row r="99" spans="1:19" ht="24" customHeight="1">
      <c r="A99" s="205" t="s">
        <v>1485</v>
      </c>
      <c r="B99" s="206" t="s">
        <v>1590</v>
      </c>
      <c r="C99" s="172" t="s">
        <v>1625</v>
      </c>
      <c r="D99" s="172" t="s">
        <v>1626</v>
      </c>
      <c r="E99" s="172">
        <v>30</v>
      </c>
      <c r="F99" s="172">
        <v>0</v>
      </c>
      <c r="G99" s="172">
        <v>3</v>
      </c>
      <c r="H99" s="172">
        <v>5</v>
      </c>
      <c r="I99" s="172" t="s">
        <v>1627</v>
      </c>
      <c r="J99" s="172"/>
      <c r="K99" s="172"/>
      <c r="M99" s="9" t="s">
        <v>1625</v>
      </c>
      <c r="N99" s="9" t="s">
        <v>1626</v>
      </c>
      <c r="O99" s="9">
        <v>30</v>
      </c>
      <c r="P99" s="9">
        <v>0</v>
      </c>
      <c r="Q99" s="9">
        <v>3</v>
      </c>
      <c r="R99" s="9">
        <v>5</v>
      </c>
      <c r="S99" s="9" t="s">
        <v>1627</v>
      </c>
    </row>
    <row r="100" spans="1:19" ht="24" customHeight="1">
      <c r="A100" s="205" t="s">
        <v>1485</v>
      </c>
      <c r="B100" s="206" t="s">
        <v>1590</v>
      </c>
      <c r="C100" s="172" t="s">
        <v>1628</v>
      </c>
      <c r="D100" s="172" t="s">
        <v>1629</v>
      </c>
      <c r="E100" s="172">
        <v>10</v>
      </c>
      <c r="F100" s="172">
        <v>0</v>
      </c>
      <c r="G100" s="172">
        <v>10</v>
      </c>
      <c r="H100" s="172">
        <v>20</v>
      </c>
      <c r="I100" s="172" t="s">
        <v>1596</v>
      </c>
      <c r="J100" s="172"/>
      <c r="K100" s="172"/>
      <c r="M100" s="9" t="s">
        <v>1628</v>
      </c>
      <c r="N100" s="9" t="s">
        <v>1629</v>
      </c>
      <c r="O100" s="9">
        <v>10</v>
      </c>
      <c r="P100" s="9">
        <v>0</v>
      </c>
      <c r="Q100" s="9">
        <v>10</v>
      </c>
      <c r="R100" s="9">
        <v>20</v>
      </c>
      <c r="S100" s="9" t="s">
        <v>1596</v>
      </c>
    </row>
    <row r="101" spans="1:19" ht="24" customHeight="1">
      <c r="A101" s="205" t="s">
        <v>1485</v>
      </c>
      <c r="B101" s="206" t="s">
        <v>1590</v>
      </c>
      <c r="C101" s="172" t="s">
        <v>1630</v>
      </c>
      <c r="D101" s="172" t="s">
        <v>1631</v>
      </c>
      <c r="E101" s="172">
        <v>20</v>
      </c>
      <c r="F101" s="172">
        <v>0</v>
      </c>
      <c r="G101" s="172">
        <v>10</v>
      </c>
      <c r="H101" s="172">
        <v>30</v>
      </c>
      <c r="I101" s="172" t="s">
        <v>1605</v>
      </c>
      <c r="J101" s="172"/>
      <c r="K101" s="172"/>
      <c r="M101" s="9" t="s">
        <v>1630</v>
      </c>
      <c r="N101" s="9" t="s">
        <v>1631</v>
      </c>
      <c r="O101" s="9">
        <v>20</v>
      </c>
      <c r="P101" s="9">
        <v>0</v>
      </c>
      <c r="Q101" s="9">
        <v>10</v>
      </c>
      <c r="R101" s="9">
        <v>30</v>
      </c>
      <c r="S101" s="9" t="s">
        <v>1605</v>
      </c>
    </row>
    <row r="102" spans="1:19" ht="24" customHeight="1">
      <c r="A102" s="205" t="s">
        <v>1485</v>
      </c>
      <c r="B102" s="206" t="s">
        <v>1590</v>
      </c>
      <c r="C102" s="172" t="s">
        <v>1632</v>
      </c>
      <c r="D102" s="172" t="s">
        <v>1633</v>
      </c>
      <c r="E102" s="172">
        <v>20</v>
      </c>
      <c r="F102" s="172">
        <v>0</v>
      </c>
      <c r="G102" s="172">
        <v>20</v>
      </c>
      <c r="H102" s="172">
        <v>50</v>
      </c>
      <c r="I102" s="172" t="s">
        <v>1605</v>
      </c>
      <c r="J102" s="172"/>
      <c r="K102" s="172"/>
      <c r="M102" s="9" t="s">
        <v>1632</v>
      </c>
      <c r="N102" s="9" t="s">
        <v>1633</v>
      </c>
      <c r="O102" s="9">
        <v>20</v>
      </c>
      <c r="P102" s="9">
        <v>0</v>
      </c>
      <c r="Q102" s="9">
        <v>20</v>
      </c>
      <c r="R102" s="9">
        <v>50</v>
      </c>
      <c r="S102" s="9" t="s">
        <v>1605</v>
      </c>
    </row>
    <row r="103" spans="1:19" ht="24" customHeight="1">
      <c r="A103" s="205" t="s">
        <v>1485</v>
      </c>
      <c r="B103" s="206" t="s">
        <v>1590</v>
      </c>
      <c r="C103" s="172" t="s">
        <v>1634</v>
      </c>
      <c r="D103" s="172" t="s">
        <v>1635</v>
      </c>
      <c r="E103" s="172">
        <v>20</v>
      </c>
      <c r="F103" s="172">
        <v>0</v>
      </c>
      <c r="G103" s="172">
        <v>15</v>
      </c>
      <c r="H103" s="172">
        <v>20</v>
      </c>
      <c r="I103" s="172" t="s">
        <v>1596</v>
      </c>
      <c r="J103" s="172"/>
      <c r="K103" s="172"/>
      <c r="M103" s="9" t="s">
        <v>1634</v>
      </c>
      <c r="N103" s="9" t="s">
        <v>1635</v>
      </c>
      <c r="O103" s="9">
        <v>20</v>
      </c>
      <c r="P103" s="9">
        <v>0</v>
      </c>
      <c r="Q103" s="9">
        <v>15</v>
      </c>
      <c r="R103" s="9">
        <v>20</v>
      </c>
      <c r="S103" s="9" t="s">
        <v>1596</v>
      </c>
    </row>
    <row r="104" spans="1:19" ht="24" customHeight="1">
      <c r="A104" s="205" t="s">
        <v>1485</v>
      </c>
      <c r="B104" s="206" t="s">
        <v>1590</v>
      </c>
      <c r="C104" s="172" t="s">
        <v>1636</v>
      </c>
      <c r="D104" s="172" t="s">
        <v>1637</v>
      </c>
      <c r="E104" s="172">
        <v>15</v>
      </c>
      <c r="F104" s="172">
        <v>0</v>
      </c>
      <c r="G104" s="172">
        <v>5</v>
      </c>
      <c r="H104" s="172">
        <v>5</v>
      </c>
      <c r="I104" s="172" t="s">
        <v>1608</v>
      </c>
      <c r="J104" s="172"/>
      <c r="K104" s="172"/>
      <c r="M104" s="9" t="s">
        <v>1636</v>
      </c>
      <c r="N104" s="9" t="s">
        <v>1637</v>
      </c>
      <c r="O104" s="9">
        <v>15</v>
      </c>
      <c r="P104" s="9">
        <v>0</v>
      </c>
      <c r="Q104" s="9">
        <v>5</v>
      </c>
      <c r="R104" s="9">
        <v>5</v>
      </c>
      <c r="S104" s="9" t="s">
        <v>1608</v>
      </c>
    </row>
    <row r="105" spans="1:19" ht="24" customHeight="1">
      <c r="A105" s="205" t="s">
        <v>1485</v>
      </c>
      <c r="B105" s="206" t="s">
        <v>1590</v>
      </c>
      <c r="C105" s="172" t="s">
        <v>1638</v>
      </c>
      <c r="D105" s="172" t="s">
        <v>1639</v>
      </c>
      <c r="E105" s="172">
        <v>45</v>
      </c>
      <c r="F105" s="172">
        <v>0</v>
      </c>
      <c r="G105" s="172">
        <v>0</v>
      </c>
      <c r="H105" s="172">
        <v>20</v>
      </c>
      <c r="I105" s="172" t="s">
        <v>1599</v>
      </c>
      <c r="J105" s="172"/>
      <c r="K105" s="172"/>
      <c r="M105" s="9" t="s">
        <v>1638</v>
      </c>
      <c r="N105" s="9" t="s">
        <v>1639</v>
      </c>
      <c r="O105" s="9">
        <v>45</v>
      </c>
      <c r="P105" s="9">
        <v>0</v>
      </c>
      <c r="Q105" s="9">
        <v>0</v>
      </c>
      <c r="R105" s="9">
        <v>20</v>
      </c>
      <c r="S105" s="9" t="s">
        <v>1599</v>
      </c>
    </row>
    <row r="106" spans="1:19" ht="24" customHeight="1">
      <c r="A106" s="205" t="s">
        <v>1485</v>
      </c>
      <c r="B106" s="206" t="s">
        <v>1640</v>
      </c>
      <c r="C106" s="172" t="s">
        <v>1641</v>
      </c>
      <c r="D106" s="172" t="s">
        <v>1642</v>
      </c>
      <c r="E106" s="172">
        <v>20</v>
      </c>
      <c r="F106" s="172">
        <v>20</v>
      </c>
      <c r="G106" s="172">
        <v>0</v>
      </c>
      <c r="H106" s="172">
        <v>40</v>
      </c>
      <c r="I106" s="172" t="s">
        <v>1643</v>
      </c>
      <c r="J106" s="172"/>
      <c r="K106" s="172"/>
      <c r="M106" s="9" t="s">
        <v>1641</v>
      </c>
      <c r="N106" s="9" t="s">
        <v>1642</v>
      </c>
      <c r="O106" s="9">
        <v>20</v>
      </c>
      <c r="P106" s="9">
        <v>20</v>
      </c>
      <c r="Q106" s="9">
        <v>0</v>
      </c>
      <c r="R106" s="9">
        <v>40</v>
      </c>
      <c r="S106" s="9" t="s">
        <v>1643</v>
      </c>
    </row>
    <row r="107" spans="1:19" ht="24" customHeight="1">
      <c r="A107" s="205" t="s">
        <v>1485</v>
      </c>
      <c r="B107" s="206" t="s">
        <v>1640</v>
      </c>
      <c r="C107" s="172" t="s">
        <v>1644</v>
      </c>
      <c r="D107" s="172" t="s">
        <v>1645</v>
      </c>
      <c r="E107" s="172">
        <v>10</v>
      </c>
      <c r="F107" s="172">
        <v>15</v>
      </c>
      <c r="G107" s="172">
        <v>0</v>
      </c>
      <c r="H107" s="172">
        <v>20</v>
      </c>
      <c r="I107" s="172" t="s">
        <v>1643</v>
      </c>
      <c r="J107" s="172"/>
      <c r="K107" s="172"/>
      <c r="M107" s="9" t="s">
        <v>1644</v>
      </c>
      <c r="N107" s="9" t="s">
        <v>1645</v>
      </c>
      <c r="O107" s="9">
        <v>10</v>
      </c>
      <c r="P107" s="9">
        <v>15</v>
      </c>
      <c r="Q107" s="9">
        <v>0</v>
      </c>
      <c r="R107" s="9">
        <v>20</v>
      </c>
      <c r="S107" s="9" t="s">
        <v>1643</v>
      </c>
    </row>
    <row r="108" spans="1:19" ht="24" customHeight="1">
      <c r="A108" s="205" t="s">
        <v>1485</v>
      </c>
      <c r="B108" s="206" t="s">
        <v>1640</v>
      </c>
      <c r="C108" s="172" t="s">
        <v>1646</v>
      </c>
      <c r="D108" s="172" t="s">
        <v>1647</v>
      </c>
      <c r="E108" s="172">
        <v>20</v>
      </c>
      <c r="F108" s="172">
        <v>10</v>
      </c>
      <c r="G108" s="172">
        <v>0</v>
      </c>
      <c r="H108" s="172">
        <v>20</v>
      </c>
      <c r="I108" s="172" t="s">
        <v>1648</v>
      </c>
      <c r="J108" s="172"/>
      <c r="K108" s="172"/>
      <c r="M108" s="9" t="s">
        <v>1646</v>
      </c>
      <c r="N108" s="9" t="s">
        <v>1647</v>
      </c>
      <c r="O108" s="9">
        <v>20</v>
      </c>
      <c r="P108" s="9">
        <v>10</v>
      </c>
      <c r="Q108" s="9">
        <v>0</v>
      </c>
      <c r="R108" s="9">
        <v>20</v>
      </c>
      <c r="S108" s="9" t="s">
        <v>1648</v>
      </c>
    </row>
    <row r="109" spans="1:19" ht="24" customHeight="1">
      <c r="A109" s="205" t="s">
        <v>1485</v>
      </c>
      <c r="B109" s="206" t="s">
        <v>1640</v>
      </c>
      <c r="C109" s="172" t="s">
        <v>1649</v>
      </c>
      <c r="D109" s="172" t="s">
        <v>1650</v>
      </c>
      <c r="E109" s="172">
        <v>15</v>
      </c>
      <c r="F109" s="172">
        <v>10</v>
      </c>
      <c r="G109" s="172">
        <v>0</v>
      </c>
      <c r="H109" s="172">
        <v>30</v>
      </c>
      <c r="I109" s="172" t="s">
        <v>1651</v>
      </c>
      <c r="J109" s="172"/>
      <c r="K109" s="172"/>
      <c r="M109" s="9" t="s">
        <v>1649</v>
      </c>
      <c r="N109" s="9" t="s">
        <v>1650</v>
      </c>
      <c r="O109" s="9">
        <v>15</v>
      </c>
      <c r="P109" s="9">
        <v>10</v>
      </c>
      <c r="Q109" s="9">
        <v>0</v>
      </c>
      <c r="R109" s="9">
        <v>30</v>
      </c>
      <c r="S109" s="9" t="s">
        <v>1651</v>
      </c>
    </row>
    <row r="110" spans="1:19" ht="24" customHeight="1">
      <c r="A110" s="205" t="s">
        <v>1485</v>
      </c>
      <c r="B110" s="206" t="s">
        <v>1640</v>
      </c>
      <c r="C110" s="172" t="s">
        <v>1652</v>
      </c>
      <c r="D110" s="172" t="s">
        <v>1653</v>
      </c>
      <c r="E110" s="172">
        <v>30</v>
      </c>
      <c r="F110" s="172">
        <v>99</v>
      </c>
      <c r="G110" s="172">
        <v>0</v>
      </c>
      <c r="H110" s="172">
        <v>200</v>
      </c>
      <c r="I110" s="172" t="s">
        <v>1654</v>
      </c>
      <c r="J110" s="172"/>
      <c r="K110" s="172"/>
      <c r="M110" s="9" t="s">
        <v>1652</v>
      </c>
      <c r="N110" s="9" t="s">
        <v>1653</v>
      </c>
      <c r="O110" s="9">
        <v>30</v>
      </c>
      <c r="P110" s="9">
        <v>99</v>
      </c>
      <c r="Q110" s="9">
        <v>0</v>
      </c>
      <c r="R110" s="9">
        <v>200</v>
      </c>
      <c r="S110" s="9" t="s">
        <v>1654</v>
      </c>
    </row>
    <row r="111" spans="1:19" ht="24" customHeight="1">
      <c r="A111" s="205" t="s">
        <v>1485</v>
      </c>
      <c r="B111" s="206" t="s">
        <v>1640</v>
      </c>
      <c r="C111" s="172" t="s">
        <v>1655</v>
      </c>
      <c r="D111" s="172" t="s">
        <v>1656</v>
      </c>
      <c r="E111" s="172">
        <v>25</v>
      </c>
      <c r="F111" s="172">
        <v>15</v>
      </c>
      <c r="G111" s="172">
        <v>0</v>
      </c>
      <c r="H111" s="172">
        <v>30</v>
      </c>
      <c r="I111" s="172" t="s">
        <v>1648</v>
      </c>
      <c r="J111" s="172"/>
      <c r="K111" s="172"/>
      <c r="M111" s="9" t="s">
        <v>1655</v>
      </c>
      <c r="N111" s="9" t="s">
        <v>1656</v>
      </c>
      <c r="O111" s="9">
        <v>25</v>
      </c>
      <c r="P111" s="9">
        <v>15</v>
      </c>
      <c r="Q111" s="9">
        <v>0</v>
      </c>
      <c r="R111" s="9">
        <v>30</v>
      </c>
      <c r="S111" s="9" t="s">
        <v>1648</v>
      </c>
    </row>
    <row r="112" spans="1:19" ht="24" customHeight="1">
      <c r="A112" s="205" t="s">
        <v>1485</v>
      </c>
      <c r="B112" s="206" t="s">
        <v>1640</v>
      </c>
      <c r="C112" s="172" t="s">
        <v>1657</v>
      </c>
      <c r="D112" s="172" t="s">
        <v>1658</v>
      </c>
      <c r="E112" s="172">
        <v>20</v>
      </c>
      <c r="F112" s="172">
        <v>20</v>
      </c>
      <c r="G112" s="172">
        <v>0</v>
      </c>
      <c r="H112" s="172">
        <v>40</v>
      </c>
      <c r="I112" s="172" t="s">
        <v>1659</v>
      </c>
      <c r="J112" s="172"/>
      <c r="K112" s="172"/>
      <c r="M112" s="9" t="s">
        <v>1657</v>
      </c>
      <c r="N112" s="9" t="s">
        <v>1658</v>
      </c>
      <c r="O112" s="9">
        <v>20</v>
      </c>
      <c r="P112" s="9">
        <v>20</v>
      </c>
      <c r="Q112" s="9">
        <v>0</v>
      </c>
      <c r="R112" s="9">
        <v>40</v>
      </c>
      <c r="S112" s="9" t="s">
        <v>1659</v>
      </c>
    </row>
    <row r="113" spans="1:19" ht="24" customHeight="1">
      <c r="A113" s="205" t="s">
        <v>1485</v>
      </c>
      <c r="B113" s="206" t="s">
        <v>1640</v>
      </c>
      <c r="C113" s="172" t="s">
        <v>1660</v>
      </c>
      <c r="D113" s="172" t="s">
        <v>1661</v>
      </c>
      <c r="E113" s="172">
        <v>20</v>
      </c>
      <c r="F113" s="172">
        <v>20</v>
      </c>
      <c r="G113" s="172">
        <v>0</v>
      </c>
      <c r="H113" s="172">
        <v>40</v>
      </c>
      <c r="I113" s="172" t="s">
        <v>1643</v>
      </c>
      <c r="J113" s="172"/>
      <c r="K113" s="172"/>
      <c r="M113" s="9" t="s">
        <v>1660</v>
      </c>
      <c r="N113" s="9" t="s">
        <v>1661</v>
      </c>
      <c r="O113" s="9">
        <v>20</v>
      </c>
      <c r="P113" s="9">
        <v>20</v>
      </c>
      <c r="Q113" s="9">
        <v>0</v>
      </c>
      <c r="R113" s="9">
        <v>40</v>
      </c>
      <c r="S113" s="9" t="s">
        <v>1643</v>
      </c>
    </row>
    <row r="114" spans="1:19" ht="24" customHeight="1">
      <c r="A114" s="205" t="s">
        <v>1485</v>
      </c>
      <c r="B114" s="206" t="s">
        <v>1640</v>
      </c>
      <c r="C114" s="172" t="s">
        <v>1662</v>
      </c>
      <c r="D114" s="172" t="s">
        <v>1663</v>
      </c>
      <c r="E114" s="172">
        <v>25</v>
      </c>
      <c r="F114" s="172">
        <v>30</v>
      </c>
      <c r="G114" s="172">
        <v>0</v>
      </c>
      <c r="H114" s="172">
        <v>60</v>
      </c>
      <c r="I114" s="172" t="s">
        <v>1643</v>
      </c>
      <c r="J114" s="172"/>
      <c r="K114" s="172"/>
      <c r="M114" s="9" t="s">
        <v>1662</v>
      </c>
      <c r="N114" s="9" t="s">
        <v>1663</v>
      </c>
      <c r="O114" s="9">
        <v>25</v>
      </c>
      <c r="P114" s="9">
        <v>30</v>
      </c>
      <c r="Q114" s="9">
        <v>0</v>
      </c>
      <c r="R114" s="9">
        <v>60</v>
      </c>
      <c r="S114" s="9" t="s">
        <v>1643</v>
      </c>
    </row>
    <row r="115" spans="1:19" ht="24" customHeight="1">
      <c r="A115" s="205" t="s">
        <v>1485</v>
      </c>
      <c r="B115" s="206" t="s">
        <v>1640</v>
      </c>
      <c r="C115" s="172" t="s">
        <v>1664</v>
      </c>
      <c r="D115" s="172" t="s">
        <v>1665</v>
      </c>
      <c r="E115" s="172">
        <v>25</v>
      </c>
      <c r="F115" s="172">
        <v>10</v>
      </c>
      <c r="G115" s="172">
        <v>0</v>
      </c>
      <c r="H115" s="172">
        <v>25</v>
      </c>
      <c r="I115" s="172" t="s">
        <v>1651</v>
      </c>
      <c r="J115" s="172"/>
      <c r="K115" s="172"/>
      <c r="M115" s="9" t="s">
        <v>1664</v>
      </c>
      <c r="N115" s="9" t="s">
        <v>1665</v>
      </c>
      <c r="O115" s="9">
        <v>25</v>
      </c>
      <c r="P115" s="9">
        <v>10</v>
      </c>
      <c r="Q115" s="9">
        <v>0</v>
      </c>
      <c r="R115" s="9">
        <v>25</v>
      </c>
      <c r="S115" s="9" t="s">
        <v>1651</v>
      </c>
    </row>
    <row r="116" spans="1:19" ht="24" customHeight="1">
      <c r="A116" s="205" t="s">
        <v>1485</v>
      </c>
      <c r="B116" s="206" t="s">
        <v>1640</v>
      </c>
      <c r="C116" s="172" t="s">
        <v>1666</v>
      </c>
      <c r="D116" s="172" t="s">
        <v>1667</v>
      </c>
      <c r="E116" s="172">
        <v>25</v>
      </c>
      <c r="F116" s="172">
        <v>15</v>
      </c>
      <c r="G116" s="172">
        <v>0</v>
      </c>
      <c r="H116" s="172">
        <v>25</v>
      </c>
      <c r="I116" s="172" t="s">
        <v>1668</v>
      </c>
      <c r="J116" s="172"/>
      <c r="K116" s="172"/>
      <c r="M116" s="9" t="s">
        <v>1666</v>
      </c>
      <c r="N116" s="9" t="s">
        <v>1667</v>
      </c>
      <c r="O116" s="9">
        <v>25</v>
      </c>
      <c r="P116" s="9">
        <v>15</v>
      </c>
      <c r="Q116" s="9">
        <v>0</v>
      </c>
      <c r="R116" s="9">
        <v>25</v>
      </c>
      <c r="S116" s="9" t="s">
        <v>1668</v>
      </c>
    </row>
    <row r="117" spans="1:19" ht="24" customHeight="1">
      <c r="A117" s="205" t="s">
        <v>1485</v>
      </c>
      <c r="B117" s="206" t="s">
        <v>1640</v>
      </c>
      <c r="C117" s="172" t="s">
        <v>1669</v>
      </c>
      <c r="D117" s="172" t="s">
        <v>1670</v>
      </c>
      <c r="E117" s="172">
        <v>15</v>
      </c>
      <c r="F117" s="172">
        <v>15</v>
      </c>
      <c r="G117" s="172">
        <v>0</v>
      </c>
      <c r="H117" s="172">
        <v>25</v>
      </c>
      <c r="I117" s="172" t="s">
        <v>1648</v>
      </c>
      <c r="J117" s="172"/>
      <c r="K117" s="172"/>
      <c r="M117" s="9" t="s">
        <v>1669</v>
      </c>
      <c r="N117" s="9" t="s">
        <v>1670</v>
      </c>
      <c r="O117" s="9">
        <v>15</v>
      </c>
      <c r="P117" s="9">
        <v>15</v>
      </c>
      <c r="Q117" s="9">
        <v>0</v>
      </c>
      <c r="R117" s="9">
        <v>25</v>
      </c>
      <c r="S117" s="9" t="s">
        <v>1648</v>
      </c>
    </row>
    <row r="118" spans="1:19" ht="24" customHeight="1">
      <c r="A118" s="205" t="s">
        <v>1485</v>
      </c>
      <c r="B118" s="206" t="s">
        <v>1640</v>
      </c>
      <c r="C118" s="172" t="s">
        <v>1671</v>
      </c>
      <c r="D118" s="172" t="s">
        <v>1672</v>
      </c>
      <c r="E118" s="172">
        <v>20</v>
      </c>
      <c r="F118" s="172">
        <v>10</v>
      </c>
      <c r="G118" s="172">
        <v>0</v>
      </c>
      <c r="H118" s="172">
        <v>25</v>
      </c>
      <c r="I118" s="172" t="s">
        <v>1673</v>
      </c>
      <c r="J118" s="172"/>
      <c r="K118" s="172"/>
      <c r="M118" s="9" t="s">
        <v>1671</v>
      </c>
      <c r="N118" s="9" t="s">
        <v>1672</v>
      </c>
      <c r="O118" s="9">
        <v>20</v>
      </c>
      <c r="P118" s="9">
        <v>10</v>
      </c>
      <c r="Q118" s="9">
        <v>0</v>
      </c>
      <c r="R118" s="9">
        <v>25</v>
      </c>
      <c r="S118" s="9" t="s">
        <v>1673</v>
      </c>
    </row>
    <row r="119" spans="1:19" ht="24" customHeight="1">
      <c r="A119" s="205" t="s">
        <v>1485</v>
      </c>
      <c r="B119" s="206" t="s">
        <v>1640</v>
      </c>
      <c r="C119" s="172" t="s">
        <v>1674</v>
      </c>
      <c r="D119" s="172" t="s">
        <v>1675</v>
      </c>
      <c r="E119" s="172">
        <v>20</v>
      </c>
      <c r="F119" s="172">
        <v>15</v>
      </c>
      <c r="G119" s="172">
        <v>0</v>
      </c>
      <c r="H119" s="172">
        <v>30</v>
      </c>
      <c r="I119" s="172" t="s">
        <v>1676</v>
      </c>
      <c r="J119" s="172"/>
      <c r="K119" s="172"/>
      <c r="M119" s="9" t="s">
        <v>1674</v>
      </c>
      <c r="N119" s="9" t="s">
        <v>1675</v>
      </c>
      <c r="O119" s="9">
        <v>20</v>
      </c>
      <c r="P119" s="9">
        <v>15</v>
      </c>
      <c r="Q119" s="9">
        <v>0</v>
      </c>
      <c r="R119" s="9">
        <v>30</v>
      </c>
      <c r="S119" s="9" t="s">
        <v>1676</v>
      </c>
    </row>
    <row r="120" spans="1:19" ht="24" customHeight="1">
      <c r="A120" s="205" t="s">
        <v>1485</v>
      </c>
      <c r="B120" s="206" t="s">
        <v>1640</v>
      </c>
      <c r="C120" s="172" t="s">
        <v>1677</v>
      </c>
      <c r="D120" s="172" t="s">
        <v>1678</v>
      </c>
      <c r="E120" s="172">
        <v>15</v>
      </c>
      <c r="F120" s="172">
        <v>20</v>
      </c>
      <c r="G120" s="172">
        <v>0</v>
      </c>
      <c r="H120" s="172">
        <v>40</v>
      </c>
      <c r="I120" s="172" t="s">
        <v>1648</v>
      </c>
      <c r="J120" s="172"/>
      <c r="K120" s="172"/>
      <c r="M120" s="9" t="s">
        <v>1677</v>
      </c>
      <c r="N120" s="9" t="s">
        <v>1678</v>
      </c>
      <c r="O120" s="9">
        <v>15</v>
      </c>
      <c r="P120" s="9">
        <v>20</v>
      </c>
      <c r="Q120" s="9">
        <v>0</v>
      </c>
      <c r="R120" s="9">
        <v>40</v>
      </c>
      <c r="S120" s="9" t="s">
        <v>1648</v>
      </c>
    </row>
    <row r="121" spans="1:19" ht="24" customHeight="1">
      <c r="A121" s="205" t="s">
        <v>1485</v>
      </c>
      <c r="B121" s="206" t="s">
        <v>1640</v>
      </c>
      <c r="C121" s="172" t="s">
        <v>1679</v>
      </c>
      <c r="D121" s="172" t="s">
        <v>1680</v>
      </c>
      <c r="E121" s="172">
        <v>25</v>
      </c>
      <c r="F121" s="172">
        <v>20</v>
      </c>
      <c r="G121" s="172">
        <v>0</v>
      </c>
      <c r="H121" s="172">
        <v>40</v>
      </c>
      <c r="I121" s="172" t="s">
        <v>1681</v>
      </c>
      <c r="J121" s="172"/>
      <c r="K121" s="172"/>
      <c r="M121" s="9" t="s">
        <v>1679</v>
      </c>
      <c r="N121" s="9" t="s">
        <v>1680</v>
      </c>
      <c r="O121" s="9">
        <v>25</v>
      </c>
      <c r="P121" s="9">
        <v>20</v>
      </c>
      <c r="Q121" s="9">
        <v>0</v>
      </c>
      <c r="R121" s="9">
        <v>40</v>
      </c>
      <c r="S121" s="9" t="s">
        <v>1681</v>
      </c>
    </row>
    <row r="122" spans="1:19" ht="24" customHeight="1">
      <c r="A122" s="205" t="s">
        <v>1485</v>
      </c>
      <c r="B122" s="206" t="s">
        <v>1640</v>
      </c>
      <c r="C122" s="172" t="s">
        <v>1682</v>
      </c>
      <c r="D122" s="172" t="s">
        <v>1683</v>
      </c>
      <c r="E122" s="172">
        <v>20</v>
      </c>
      <c r="F122" s="172">
        <v>20</v>
      </c>
      <c r="G122" s="172">
        <v>0</v>
      </c>
      <c r="H122" s="172">
        <v>40</v>
      </c>
      <c r="I122" s="172" t="s">
        <v>1684</v>
      </c>
      <c r="J122" s="172"/>
      <c r="K122" s="172"/>
      <c r="M122" s="9" t="s">
        <v>1682</v>
      </c>
      <c r="N122" s="9" t="s">
        <v>1683</v>
      </c>
      <c r="O122" s="9">
        <v>20</v>
      </c>
      <c r="P122" s="9">
        <v>20</v>
      </c>
      <c r="Q122" s="9">
        <v>0</v>
      </c>
      <c r="R122" s="9">
        <v>40</v>
      </c>
      <c r="S122" s="9" t="s">
        <v>1684</v>
      </c>
    </row>
    <row r="123" spans="1:19" ht="24" customHeight="1">
      <c r="A123" s="205" t="s">
        <v>1485</v>
      </c>
      <c r="B123" s="206" t="s">
        <v>1640</v>
      </c>
      <c r="C123" s="172" t="s">
        <v>1685</v>
      </c>
      <c r="D123" s="172" t="s">
        <v>1686</v>
      </c>
      <c r="E123" s="172">
        <v>40</v>
      </c>
      <c r="F123" s="172">
        <v>5</v>
      </c>
      <c r="G123" s="172">
        <v>0</v>
      </c>
      <c r="H123" s="172">
        <v>10</v>
      </c>
      <c r="I123" s="172" t="s">
        <v>1687</v>
      </c>
      <c r="J123" s="172"/>
      <c r="K123" s="172"/>
      <c r="M123" s="9" t="s">
        <v>1685</v>
      </c>
      <c r="N123" s="9" t="s">
        <v>1686</v>
      </c>
      <c r="O123" s="9">
        <v>40</v>
      </c>
      <c r="P123" s="9">
        <v>5</v>
      </c>
      <c r="Q123" s="9">
        <v>0</v>
      </c>
      <c r="R123" s="9">
        <v>10</v>
      </c>
      <c r="S123" s="9" t="s">
        <v>1687</v>
      </c>
    </row>
    <row r="124" spans="1:19" ht="24" customHeight="1">
      <c r="A124" s="205" t="s">
        <v>1401</v>
      </c>
      <c r="B124" s="206" t="s">
        <v>1401</v>
      </c>
      <c r="C124" s="172" t="s">
        <v>1688</v>
      </c>
      <c r="D124" s="172" t="s">
        <v>1689</v>
      </c>
      <c r="E124" s="172">
        <v>20</v>
      </c>
      <c r="F124" s="172"/>
      <c r="G124" s="172"/>
      <c r="H124" s="172"/>
      <c r="I124" s="172" t="s">
        <v>1690</v>
      </c>
      <c r="J124" s="172"/>
      <c r="K124" s="172"/>
      <c r="M124" s="9" t="s">
        <v>1688</v>
      </c>
      <c r="N124" s="9" t="s">
        <v>1689</v>
      </c>
      <c r="O124" s="9">
        <v>20</v>
      </c>
      <c r="S124" s="9" t="s">
        <v>1690</v>
      </c>
    </row>
    <row r="125" spans="1:19" ht="24" customHeight="1">
      <c r="A125" s="205" t="s">
        <v>1401</v>
      </c>
      <c r="B125" s="206" t="s">
        <v>1401</v>
      </c>
      <c r="C125" s="172" t="s">
        <v>1691</v>
      </c>
      <c r="D125" s="172" t="s">
        <v>1692</v>
      </c>
      <c r="E125" s="172">
        <v>20</v>
      </c>
      <c r="F125" s="172"/>
      <c r="G125" s="172"/>
      <c r="H125" s="172"/>
      <c r="I125" s="172" t="s">
        <v>1693</v>
      </c>
      <c r="J125" s="172"/>
      <c r="K125" s="172"/>
      <c r="M125" s="9" t="s">
        <v>1691</v>
      </c>
      <c r="N125" s="9" t="s">
        <v>1692</v>
      </c>
      <c r="O125" s="9">
        <v>20</v>
      </c>
      <c r="S125" s="9" t="s">
        <v>1693</v>
      </c>
    </row>
    <row r="126" spans="1:19" ht="24" customHeight="1">
      <c r="A126" s="205" t="s">
        <v>1401</v>
      </c>
      <c r="B126" s="206" t="s">
        <v>1401</v>
      </c>
      <c r="C126" s="172" t="s">
        <v>1694</v>
      </c>
      <c r="D126" s="172" t="s">
        <v>1695</v>
      </c>
      <c r="E126" s="172">
        <v>15</v>
      </c>
      <c r="F126" s="172"/>
      <c r="G126" s="172"/>
      <c r="H126" s="172"/>
      <c r="I126" s="172" t="s">
        <v>1696</v>
      </c>
      <c r="J126" s="172"/>
      <c r="K126" s="172"/>
      <c r="M126" s="9" t="s">
        <v>1694</v>
      </c>
      <c r="N126" s="9" t="s">
        <v>1695</v>
      </c>
      <c r="O126" s="9">
        <v>15</v>
      </c>
      <c r="S126" s="9" t="s">
        <v>1696</v>
      </c>
    </row>
    <row r="127" spans="1:19" ht="24" customHeight="1">
      <c r="A127" s="205" t="s">
        <v>1401</v>
      </c>
      <c r="B127" s="206" t="s">
        <v>1401</v>
      </c>
      <c r="C127" s="172" t="s">
        <v>1697</v>
      </c>
      <c r="D127" s="172" t="s">
        <v>1698</v>
      </c>
      <c r="E127" s="172">
        <v>10</v>
      </c>
      <c r="F127" s="172"/>
      <c r="G127" s="172"/>
      <c r="H127" s="172"/>
      <c r="I127" s="172" t="s">
        <v>1699</v>
      </c>
      <c r="J127" s="172"/>
      <c r="K127" s="172"/>
      <c r="M127" s="9" t="s">
        <v>1697</v>
      </c>
      <c r="N127" s="9" t="s">
        <v>1698</v>
      </c>
      <c r="O127" s="9">
        <v>10</v>
      </c>
      <c r="S127" s="9" t="s">
        <v>1699</v>
      </c>
    </row>
    <row r="128" spans="1:19" ht="24" customHeight="1">
      <c r="A128" s="205" t="s">
        <v>1401</v>
      </c>
      <c r="B128" s="206" t="s">
        <v>1401</v>
      </c>
      <c r="C128" s="172" t="s">
        <v>1700</v>
      </c>
      <c r="D128" s="172" t="s">
        <v>1701</v>
      </c>
      <c r="E128" s="172">
        <v>20</v>
      </c>
      <c r="F128" s="172"/>
      <c r="G128" s="172"/>
      <c r="H128" s="172"/>
      <c r="I128" s="172" t="s">
        <v>1690</v>
      </c>
      <c r="J128" s="172"/>
      <c r="K128" s="172"/>
      <c r="M128" s="9" t="s">
        <v>1700</v>
      </c>
      <c r="N128" s="9" t="s">
        <v>1701</v>
      </c>
      <c r="O128" s="9">
        <v>20</v>
      </c>
      <c r="S128" s="9" t="s">
        <v>1690</v>
      </c>
    </row>
    <row r="129" spans="1:19" ht="24" customHeight="1">
      <c r="A129" s="205" t="s">
        <v>1401</v>
      </c>
      <c r="B129" s="206" t="s">
        <v>1401</v>
      </c>
      <c r="C129" s="172" t="s">
        <v>1702</v>
      </c>
      <c r="D129" s="172" t="s">
        <v>1703</v>
      </c>
      <c r="E129" s="172">
        <v>25</v>
      </c>
      <c r="F129" s="172"/>
      <c r="G129" s="172"/>
      <c r="H129" s="172"/>
      <c r="I129" s="172" t="s">
        <v>1696</v>
      </c>
      <c r="J129" s="172"/>
      <c r="K129" s="172"/>
      <c r="M129" s="9" t="s">
        <v>1702</v>
      </c>
      <c r="N129" s="9" t="s">
        <v>1703</v>
      </c>
      <c r="O129" s="9">
        <v>25</v>
      </c>
      <c r="S129" s="9" t="s">
        <v>1696</v>
      </c>
    </row>
    <row r="130" spans="1:19" ht="24" customHeight="1">
      <c r="A130" s="205" t="s">
        <v>1401</v>
      </c>
      <c r="B130" s="206" t="s">
        <v>1401</v>
      </c>
      <c r="C130" s="172" t="s">
        <v>1704</v>
      </c>
      <c r="D130" s="172" t="s">
        <v>1705</v>
      </c>
      <c r="E130" s="172">
        <v>25</v>
      </c>
      <c r="F130" s="172"/>
      <c r="G130" s="172"/>
      <c r="H130" s="172"/>
      <c r="I130" s="172" t="s">
        <v>1706</v>
      </c>
      <c r="J130" s="172"/>
      <c r="K130" s="172"/>
      <c r="M130" s="9" t="s">
        <v>1704</v>
      </c>
      <c r="N130" s="9" t="s">
        <v>1705</v>
      </c>
      <c r="O130" s="9">
        <v>25</v>
      </c>
      <c r="S130" s="9" t="s">
        <v>1706</v>
      </c>
    </row>
    <row r="131" spans="1:19" ht="24" customHeight="1">
      <c r="A131" s="205" t="s">
        <v>1401</v>
      </c>
      <c r="B131" s="206" t="s">
        <v>1401</v>
      </c>
      <c r="C131" s="172" t="s">
        <v>1707</v>
      </c>
      <c r="D131" s="172" t="s">
        <v>1708</v>
      </c>
      <c r="E131" s="172">
        <v>30</v>
      </c>
      <c r="F131" s="172"/>
      <c r="G131" s="172"/>
      <c r="H131" s="172"/>
      <c r="I131" s="172" t="s">
        <v>1690</v>
      </c>
      <c r="J131" s="172"/>
      <c r="K131" s="172"/>
      <c r="M131" s="9" t="s">
        <v>1707</v>
      </c>
      <c r="N131" s="9" t="s">
        <v>1708</v>
      </c>
      <c r="O131" s="9">
        <v>30</v>
      </c>
      <c r="S131" s="9" t="s">
        <v>1690</v>
      </c>
    </row>
    <row r="132" spans="1:19" ht="24" customHeight="1">
      <c r="A132" s="205" t="s">
        <v>1401</v>
      </c>
      <c r="B132" s="206" t="s">
        <v>1401</v>
      </c>
      <c r="C132" s="172" t="s">
        <v>1709</v>
      </c>
      <c r="D132" s="172" t="s">
        <v>1710</v>
      </c>
      <c r="E132" s="172">
        <v>15</v>
      </c>
      <c r="F132" s="172"/>
      <c r="G132" s="172"/>
      <c r="H132" s="172"/>
      <c r="I132" s="172" t="s">
        <v>1711</v>
      </c>
      <c r="J132" s="172"/>
      <c r="K132" s="172"/>
      <c r="M132" s="9" t="s">
        <v>1709</v>
      </c>
      <c r="N132" s="9" t="s">
        <v>1710</v>
      </c>
      <c r="O132" s="9">
        <v>15</v>
      </c>
      <c r="S132" s="9" t="s">
        <v>1711</v>
      </c>
    </row>
    <row r="133" spans="1:19" ht="24" customHeight="1">
      <c r="A133" s="205" t="s">
        <v>1401</v>
      </c>
      <c r="B133" s="206" t="s">
        <v>1401</v>
      </c>
      <c r="C133" s="172" t="s">
        <v>1712</v>
      </c>
      <c r="D133" s="172" t="s">
        <v>1713</v>
      </c>
      <c r="E133" s="172">
        <v>20</v>
      </c>
      <c r="F133" s="172"/>
      <c r="G133" s="172"/>
      <c r="H133" s="172"/>
      <c r="I133" s="172" t="s">
        <v>1714</v>
      </c>
      <c r="J133" s="172"/>
      <c r="K133" s="172"/>
      <c r="M133" s="9" t="s">
        <v>1712</v>
      </c>
      <c r="N133" s="9" t="s">
        <v>1713</v>
      </c>
      <c r="O133" s="9">
        <v>20</v>
      </c>
      <c r="S133" s="9" t="s">
        <v>1714</v>
      </c>
    </row>
    <row r="134" spans="1:19" ht="24" customHeight="1">
      <c r="A134" s="205" t="s">
        <v>1401</v>
      </c>
      <c r="B134" s="206" t="s">
        <v>1401</v>
      </c>
      <c r="C134" s="172" t="s">
        <v>1715</v>
      </c>
      <c r="D134" s="172" t="s">
        <v>1716</v>
      </c>
      <c r="E134" s="172">
        <v>20</v>
      </c>
      <c r="F134" s="172"/>
      <c r="G134" s="172"/>
      <c r="H134" s="172"/>
      <c r="I134" s="172" t="s">
        <v>1690</v>
      </c>
      <c r="J134" s="172"/>
      <c r="K134" s="172"/>
      <c r="M134" s="9" t="s">
        <v>1715</v>
      </c>
      <c r="N134" s="9" t="s">
        <v>1716</v>
      </c>
      <c r="O134" s="9">
        <v>20</v>
      </c>
      <c r="S134" s="9" t="s">
        <v>1690</v>
      </c>
    </row>
    <row r="135" spans="1:19" ht="24" customHeight="1">
      <c r="A135" s="205" t="s">
        <v>1401</v>
      </c>
      <c r="B135" s="206" t="s">
        <v>1401</v>
      </c>
      <c r="C135" s="172" t="s">
        <v>1717</v>
      </c>
      <c r="D135" s="172" t="s">
        <v>1718</v>
      </c>
      <c r="E135" s="172">
        <v>15</v>
      </c>
      <c r="F135" s="172"/>
      <c r="G135" s="172"/>
      <c r="H135" s="172"/>
      <c r="I135" s="172" t="s">
        <v>1699</v>
      </c>
      <c r="J135" s="172"/>
      <c r="K135" s="172"/>
      <c r="M135" s="9" t="s">
        <v>1717</v>
      </c>
      <c r="N135" s="9" t="s">
        <v>1718</v>
      </c>
      <c r="O135" s="9">
        <v>15</v>
      </c>
      <c r="S135" s="9" t="s">
        <v>1699</v>
      </c>
    </row>
    <row r="136" spans="1:19" ht="24" customHeight="1">
      <c r="A136" s="205" t="s">
        <v>1401</v>
      </c>
      <c r="B136" s="206" t="s">
        <v>1401</v>
      </c>
      <c r="C136" s="172" t="s">
        <v>1719</v>
      </c>
      <c r="D136" s="172" t="s">
        <v>1720</v>
      </c>
      <c r="E136" s="172">
        <v>15</v>
      </c>
      <c r="F136" s="172"/>
      <c r="G136" s="172"/>
      <c r="H136" s="172"/>
      <c r="I136" s="172" t="s">
        <v>1721</v>
      </c>
      <c r="J136" s="172"/>
      <c r="K136" s="172"/>
      <c r="M136" s="9" t="s">
        <v>1719</v>
      </c>
      <c r="N136" s="9" t="s">
        <v>1720</v>
      </c>
      <c r="O136" s="9">
        <v>15</v>
      </c>
      <c r="S136" s="9" t="s">
        <v>1721</v>
      </c>
    </row>
    <row r="137" spans="1:19" ht="24" customHeight="1">
      <c r="A137" s="205" t="s">
        <v>1401</v>
      </c>
      <c r="B137" s="206" t="s">
        <v>1401</v>
      </c>
      <c r="C137" s="172" t="s">
        <v>1722</v>
      </c>
      <c r="D137" s="172" t="s">
        <v>1723</v>
      </c>
      <c r="E137" s="172">
        <v>30</v>
      </c>
      <c r="F137" s="172"/>
      <c r="G137" s="172"/>
      <c r="H137" s="172"/>
      <c r="I137" s="172" t="s">
        <v>1724</v>
      </c>
      <c r="J137" s="172"/>
      <c r="K137" s="172"/>
      <c r="M137" s="9" t="s">
        <v>1722</v>
      </c>
      <c r="N137" s="9" t="s">
        <v>1723</v>
      </c>
      <c r="O137" s="9">
        <v>30</v>
      </c>
      <c r="S137" s="9" t="s">
        <v>1724</v>
      </c>
    </row>
    <row r="138" spans="1:19" ht="24" customHeight="1">
      <c r="A138" s="205" t="s">
        <v>1401</v>
      </c>
      <c r="B138" s="206" t="s">
        <v>1401</v>
      </c>
      <c r="C138" s="172" t="s">
        <v>1725</v>
      </c>
      <c r="D138" s="172" t="s">
        <v>1726</v>
      </c>
      <c r="E138" s="172">
        <v>25</v>
      </c>
      <c r="F138" s="172"/>
      <c r="G138" s="172"/>
      <c r="H138" s="172"/>
      <c r="I138" s="172" t="s">
        <v>1727</v>
      </c>
      <c r="J138" s="172"/>
      <c r="K138" s="172"/>
      <c r="M138" s="9" t="s">
        <v>1725</v>
      </c>
      <c r="N138" s="9" t="s">
        <v>1726</v>
      </c>
      <c r="O138" s="9">
        <v>25</v>
      </c>
      <c r="S138" s="9" t="s">
        <v>1727</v>
      </c>
    </row>
    <row r="139" spans="1:19" ht="24" customHeight="1">
      <c r="A139" s="205" t="s">
        <v>1401</v>
      </c>
      <c r="B139" s="206" t="s">
        <v>1401</v>
      </c>
      <c r="C139" s="172" t="s">
        <v>1728</v>
      </c>
      <c r="D139" s="172" t="s">
        <v>1729</v>
      </c>
      <c r="E139" s="172">
        <v>10</v>
      </c>
      <c r="F139" s="172"/>
      <c r="G139" s="172"/>
      <c r="H139" s="172"/>
      <c r="I139" s="172" t="s">
        <v>1730</v>
      </c>
      <c r="J139" s="172"/>
      <c r="K139" s="172"/>
      <c r="M139" s="9" t="s">
        <v>1728</v>
      </c>
      <c r="N139" s="9" t="s">
        <v>1729</v>
      </c>
      <c r="O139" s="9">
        <v>10</v>
      </c>
      <c r="S139" s="9" t="s">
        <v>1730</v>
      </c>
    </row>
    <row r="140" spans="1:19" ht="24" customHeight="1">
      <c r="A140" s="205" t="s">
        <v>1401</v>
      </c>
      <c r="B140" s="206" t="s">
        <v>1401</v>
      </c>
      <c r="C140" s="172" t="s">
        <v>1731</v>
      </c>
      <c r="D140" s="172" t="s">
        <v>1732</v>
      </c>
      <c r="E140" s="172">
        <v>20</v>
      </c>
      <c r="F140" s="172"/>
      <c r="G140" s="172"/>
      <c r="H140" s="172"/>
      <c r="I140" s="172" t="s">
        <v>1721</v>
      </c>
      <c r="J140" s="172"/>
      <c r="K140" s="172"/>
      <c r="M140" s="9" t="s">
        <v>1731</v>
      </c>
      <c r="N140" s="9" t="s">
        <v>1732</v>
      </c>
      <c r="O140" s="9">
        <v>20</v>
      </c>
      <c r="S140" s="9" t="s">
        <v>1721</v>
      </c>
    </row>
    <row r="141" spans="1:19" ht="24" customHeight="1">
      <c r="A141" s="205" t="s">
        <v>1401</v>
      </c>
      <c r="B141" s="206" t="s">
        <v>1401</v>
      </c>
      <c r="C141" s="172" t="s">
        <v>1733</v>
      </c>
      <c r="D141" s="172" t="s">
        <v>1734</v>
      </c>
      <c r="E141" s="172">
        <v>30</v>
      </c>
      <c r="F141" s="172"/>
      <c r="G141" s="172"/>
      <c r="H141" s="172"/>
      <c r="I141" s="172" t="s">
        <v>1690</v>
      </c>
      <c r="J141" s="172"/>
      <c r="K141" s="172"/>
      <c r="M141" s="9" t="s">
        <v>1733</v>
      </c>
      <c r="N141" s="9" t="s">
        <v>1734</v>
      </c>
      <c r="O141" s="9">
        <v>30</v>
      </c>
      <c r="S141" s="9" t="s">
        <v>1690</v>
      </c>
    </row>
    <row r="142" spans="1:19" ht="24" customHeight="1">
      <c r="A142" s="205" t="s">
        <v>1401</v>
      </c>
      <c r="B142" s="206" t="s">
        <v>1401</v>
      </c>
      <c r="C142" s="172" t="s">
        <v>1735</v>
      </c>
      <c r="D142" s="172" t="s">
        <v>1736</v>
      </c>
      <c r="E142" s="172">
        <v>25</v>
      </c>
      <c r="F142" s="172"/>
      <c r="G142" s="172"/>
      <c r="H142" s="172"/>
      <c r="I142" s="172" t="s">
        <v>1696</v>
      </c>
      <c r="J142" s="172"/>
      <c r="K142" s="172"/>
      <c r="M142" s="9" t="s">
        <v>1735</v>
      </c>
      <c r="N142" s="9" t="s">
        <v>1736</v>
      </c>
      <c r="O142" s="9">
        <v>25</v>
      </c>
      <c r="S142" s="9" t="s">
        <v>1696</v>
      </c>
    </row>
    <row r="143" spans="1:19" ht="24" customHeight="1">
      <c r="A143" s="205" t="s">
        <v>1401</v>
      </c>
      <c r="B143" s="206" t="s">
        <v>1401</v>
      </c>
      <c r="C143" s="172" t="s">
        <v>1737</v>
      </c>
      <c r="D143" s="172" t="s">
        <v>1738</v>
      </c>
      <c r="E143" s="172">
        <v>15</v>
      </c>
      <c r="F143" s="172"/>
      <c r="G143" s="172"/>
      <c r="H143" s="172"/>
      <c r="I143" s="172" t="s">
        <v>1706</v>
      </c>
      <c r="J143" s="172"/>
      <c r="K143" s="172"/>
      <c r="M143" s="9" t="s">
        <v>1737</v>
      </c>
      <c r="N143" s="9" t="s">
        <v>1738</v>
      </c>
      <c r="O143" s="9">
        <v>15</v>
      </c>
      <c r="S143" s="9" t="s">
        <v>1706</v>
      </c>
    </row>
    <row r="144" spans="1:19" ht="24" customHeight="1">
      <c r="A144" s="205" t="s">
        <v>1401</v>
      </c>
      <c r="B144" s="206" t="s">
        <v>1401</v>
      </c>
      <c r="C144" s="172" t="s">
        <v>1739</v>
      </c>
      <c r="D144" s="172" t="s">
        <v>1740</v>
      </c>
      <c r="E144" s="172">
        <v>20</v>
      </c>
      <c r="F144" s="172"/>
      <c r="G144" s="172"/>
      <c r="H144" s="172"/>
      <c r="I144" s="172" t="s">
        <v>1706</v>
      </c>
      <c r="J144" s="172"/>
      <c r="K144" s="172"/>
      <c r="M144" s="9" t="s">
        <v>1739</v>
      </c>
      <c r="N144" s="9" t="s">
        <v>1740</v>
      </c>
      <c r="O144" s="9">
        <v>20</v>
      </c>
      <c r="S144" s="9" t="s">
        <v>1706</v>
      </c>
    </row>
    <row r="145" spans="1:20" ht="24" customHeight="1">
      <c r="A145" s="205" t="s">
        <v>1401</v>
      </c>
      <c r="B145" s="206" t="s">
        <v>1401</v>
      </c>
      <c r="C145" s="172" t="s">
        <v>1741</v>
      </c>
      <c r="D145" s="172" t="s">
        <v>1742</v>
      </c>
      <c r="E145" s="172">
        <v>15</v>
      </c>
      <c r="F145" s="172"/>
      <c r="G145" s="172"/>
      <c r="H145" s="172"/>
      <c r="I145" s="172" t="s">
        <v>1696</v>
      </c>
      <c r="J145" s="172"/>
      <c r="K145" s="172"/>
      <c r="M145" s="9" t="s">
        <v>1741</v>
      </c>
      <c r="N145" s="9" t="s">
        <v>1742</v>
      </c>
      <c r="O145" s="9">
        <v>15</v>
      </c>
      <c r="S145" s="9" t="s">
        <v>1696</v>
      </c>
    </row>
    <row r="146" spans="1:20" ht="24" customHeight="1">
      <c r="A146" s="205" t="s">
        <v>1401</v>
      </c>
      <c r="B146" s="206" t="s">
        <v>1401</v>
      </c>
      <c r="C146" s="172" t="s">
        <v>1743</v>
      </c>
      <c r="D146" s="172" t="s">
        <v>1744</v>
      </c>
      <c r="E146" s="172">
        <v>15</v>
      </c>
      <c r="F146" s="172"/>
      <c r="G146" s="172"/>
      <c r="H146" s="172"/>
      <c r="I146" s="172" t="s">
        <v>1699</v>
      </c>
      <c r="J146" s="172"/>
      <c r="K146" s="172"/>
      <c r="M146" s="9" t="s">
        <v>1743</v>
      </c>
      <c r="N146" s="9" t="s">
        <v>1744</v>
      </c>
      <c r="O146" s="9">
        <v>15</v>
      </c>
      <c r="S146" s="9" t="s">
        <v>1699</v>
      </c>
    </row>
    <row r="147" spans="1:20" ht="24" customHeight="1">
      <c r="A147" s="205" t="s">
        <v>1401</v>
      </c>
      <c r="B147" s="206" t="s">
        <v>1401</v>
      </c>
      <c r="C147" s="172" t="s">
        <v>1745</v>
      </c>
      <c r="D147" s="172" t="s">
        <v>1746</v>
      </c>
      <c r="E147" s="172">
        <v>20</v>
      </c>
      <c r="F147" s="172"/>
      <c r="G147" s="172"/>
      <c r="H147" s="172"/>
      <c r="I147" s="172" t="s">
        <v>1711</v>
      </c>
      <c r="J147" s="172"/>
      <c r="K147" s="172"/>
      <c r="M147" s="9" t="s">
        <v>1745</v>
      </c>
      <c r="N147" s="9" t="s">
        <v>1746</v>
      </c>
      <c r="O147" s="9">
        <v>20</v>
      </c>
      <c r="S147" s="9" t="s">
        <v>1711</v>
      </c>
    </row>
    <row r="148" spans="1:20" ht="24" customHeight="1">
      <c r="A148" s="205" t="s">
        <v>1401</v>
      </c>
      <c r="B148" s="206" t="s">
        <v>1401</v>
      </c>
      <c r="C148" s="172" t="s">
        <v>1747</v>
      </c>
      <c r="D148" s="172" t="s">
        <v>1748</v>
      </c>
      <c r="E148" s="172">
        <v>10</v>
      </c>
      <c r="F148" s="172"/>
      <c r="G148" s="172"/>
      <c r="H148" s="172"/>
      <c r="I148" s="172" t="s">
        <v>1696</v>
      </c>
      <c r="J148" s="172"/>
      <c r="K148" s="172"/>
      <c r="M148" s="9" t="s">
        <v>1747</v>
      </c>
      <c r="N148" s="9" t="s">
        <v>1748</v>
      </c>
      <c r="O148" s="9">
        <v>10</v>
      </c>
      <c r="S148" s="9" t="s">
        <v>1696</v>
      </c>
    </row>
    <row r="149" spans="1:20" ht="24" customHeight="1">
      <c r="A149" s="205" t="s">
        <v>1401</v>
      </c>
      <c r="B149" s="206" t="s">
        <v>1401</v>
      </c>
      <c r="C149" s="172" t="s">
        <v>1749</v>
      </c>
      <c r="D149" s="172" t="s">
        <v>1750</v>
      </c>
      <c r="E149" s="172">
        <v>20</v>
      </c>
      <c r="F149" s="172"/>
      <c r="G149" s="172"/>
      <c r="H149" s="172"/>
      <c r="I149" s="172" t="s">
        <v>1699</v>
      </c>
      <c r="J149" s="172"/>
      <c r="K149" s="172"/>
      <c r="M149" s="9" t="s">
        <v>1749</v>
      </c>
      <c r="N149" s="9" t="s">
        <v>1750</v>
      </c>
      <c r="O149" s="9">
        <v>20</v>
      </c>
      <c r="S149" s="9" t="s">
        <v>1699</v>
      </c>
    </row>
    <row r="150" spans="1:20" ht="24" customHeight="1">
      <c r="A150" s="205" t="s">
        <v>1401</v>
      </c>
      <c r="B150" s="206" t="s">
        <v>1401</v>
      </c>
      <c r="C150" s="172" t="s">
        <v>1751</v>
      </c>
      <c r="D150" s="172" t="s">
        <v>1752</v>
      </c>
      <c r="E150" s="172">
        <v>10</v>
      </c>
      <c r="F150" s="172"/>
      <c r="G150" s="172"/>
      <c r="H150" s="172"/>
      <c r="I150" s="172" t="s">
        <v>1693</v>
      </c>
      <c r="J150" s="172"/>
      <c r="K150" s="172"/>
      <c r="M150" s="9" t="s">
        <v>1751</v>
      </c>
      <c r="N150" s="9" t="s">
        <v>1752</v>
      </c>
      <c r="O150" s="9">
        <v>10</v>
      </c>
      <c r="S150" s="9" t="s">
        <v>1693</v>
      </c>
    </row>
    <row r="151" spans="1:20" ht="24" customHeight="1">
      <c r="A151" s="205" t="s">
        <v>1401</v>
      </c>
      <c r="B151" s="206" t="s">
        <v>1401</v>
      </c>
      <c r="C151" s="172" t="s">
        <v>1753</v>
      </c>
      <c r="D151" s="172" t="s">
        <v>1754</v>
      </c>
      <c r="E151" s="172">
        <v>25</v>
      </c>
      <c r="F151" s="172"/>
      <c r="G151" s="172"/>
      <c r="H151" s="172"/>
      <c r="I151" s="172" t="s">
        <v>1690</v>
      </c>
      <c r="J151" s="172"/>
      <c r="K151" s="172"/>
      <c r="M151" s="9" t="s">
        <v>1753</v>
      </c>
      <c r="N151" s="9" t="s">
        <v>1754</v>
      </c>
      <c r="O151" s="9">
        <v>25</v>
      </c>
      <c r="S151" s="9" t="s">
        <v>1690</v>
      </c>
    </row>
    <row r="152" spans="1:20" ht="24" customHeight="1">
      <c r="A152" s="205" t="s">
        <v>1401</v>
      </c>
      <c r="B152" s="206" t="s">
        <v>1401</v>
      </c>
      <c r="C152" s="172" t="s">
        <v>1755</v>
      </c>
      <c r="D152" s="172" t="s">
        <v>1756</v>
      </c>
      <c r="E152" s="172">
        <v>15</v>
      </c>
      <c r="F152" s="172"/>
      <c r="G152" s="172"/>
      <c r="H152" s="172"/>
      <c r="I152" s="172" t="s">
        <v>1696</v>
      </c>
      <c r="J152" s="172"/>
      <c r="K152" s="172"/>
      <c r="M152" s="9" t="s">
        <v>1755</v>
      </c>
      <c r="N152" s="9" t="s">
        <v>1756</v>
      </c>
      <c r="O152" s="9">
        <v>15</v>
      </c>
      <c r="S152" s="9" t="s">
        <v>1696</v>
      </c>
    </row>
    <row r="153" spans="1:20" ht="24" customHeight="1">
      <c r="A153" s="205" t="s">
        <v>1401</v>
      </c>
      <c r="B153" s="206" t="s">
        <v>1401</v>
      </c>
      <c r="C153" s="172" t="s">
        <v>1757</v>
      </c>
      <c r="D153" s="172" t="s">
        <v>1758</v>
      </c>
      <c r="E153" s="172">
        <v>10</v>
      </c>
      <c r="F153" s="172"/>
      <c r="G153" s="172"/>
      <c r="H153" s="172"/>
      <c r="I153" s="172" t="s">
        <v>1711</v>
      </c>
      <c r="J153" s="172"/>
      <c r="K153" s="172"/>
      <c r="M153" s="9" t="s">
        <v>1757</v>
      </c>
      <c r="N153" s="9" t="s">
        <v>1758</v>
      </c>
      <c r="O153" s="9">
        <v>10</v>
      </c>
      <c r="S153" s="9" t="s">
        <v>1711</v>
      </c>
    </row>
    <row r="154" spans="1:20" ht="24" customHeight="1">
      <c r="A154" s="205" t="s">
        <v>184</v>
      </c>
      <c r="B154" s="206" t="s">
        <v>1759</v>
      </c>
      <c r="C154" s="172" t="s">
        <v>1760</v>
      </c>
      <c r="D154" s="172" t="s">
        <v>1761</v>
      </c>
      <c r="E154" s="172">
        <v>20</v>
      </c>
      <c r="F154" s="172"/>
      <c r="G154" s="172"/>
      <c r="H154" s="172"/>
      <c r="I154" s="172"/>
      <c r="J154" s="172" t="s">
        <v>1762</v>
      </c>
      <c r="K154" s="172"/>
      <c r="M154" s="9" t="s">
        <v>1760</v>
      </c>
      <c r="N154" s="9" t="s">
        <v>1761</v>
      </c>
      <c r="O154" s="9">
        <v>20</v>
      </c>
      <c r="T154" s="9" t="s">
        <v>1762</v>
      </c>
    </row>
    <row r="155" spans="1:20" ht="24" customHeight="1">
      <c r="A155" s="205" t="s">
        <v>184</v>
      </c>
      <c r="B155" s="206" t="s">
        <v>1759</v>
      </c>
      <c r="C155" s="172" t="s">
        <v>1763</v>
      </c>
      <c r="D155" s="172" t="s">
        <v>1764</v>
      </c>
      <c r="E155" s="172">
        <v>20</v>
      </c>
      <c r="F155" s="172"/>
      <c r="G155" s="172"/>
      <c r="H155" s="172"/>
      <c r="I155" s="172"/>
      <c r="J155" s="172" t="s">
        <v>1765</v>
      </c>
      <c r="K155" s="172"/>
      <c r="M155" s="9" t="s">
        <v>1763</v>
      </c>
      <c r="N155" s="9" t="s">
        <v>1764</v>
      </c>
      <c r="O155" s="9">
        <v>20</v>
      </c>
      <c r="T155" s="9" t="s">
        <v>1765</v>
      </c>
    </row>
    <row r="156" spans="1:20" ht="24" customHeight="1">
      <c r="A156" s="205" t="s">
        <v>184</v>
      </c>
      <c r="B156" s="206" t="s">
        <v>1759</v>
      </c>
      <c r="C156" s="172" t="s">
        <v>1010</v>
      </c>
      <c r="D156" s="172" t="s">
        <v>1766</v>
      </c>
      <c r="E156" s="172">
        <v>15</v>
      </c>
      <c r="F156" s="172"/>
      <c r="G156" s="172"/>
      <c r="H156" s="172"/>
      <c r="I156" s="172"/>
      <c r="J156" s="172" t="s">
        <v>1767</v>
      </c>
      <c r="K156" s="172"/>
      <c r="M156" s="9" t="s">
        <v>1010</v>
      </c>
      <c r="N156" s="9" t="s">
        <v>1766</v>
      </c>
      <c r="O156" s="9">
        <v>15</v>
      </c>
      <c r="T156" s="9" t="s">
        <v>1767</v>
      </c>
    </row>
    <row r="157" spans="1:20" ht="24" customHeight="1">
      <c r="A157" s="205" t="s">
        <v>184</v>
      </c>
      <c r="B157" s="206" t="s">
        <v>1759</v>
      </c>
      <c r="C157" s="172" t="s">
        <v>1768</v>
      </c>
      <c r="D157" s="172" t="s">
        <v>1769</v>
      </c>
      <c r="E157" s="172">
        <v>35</v>
      </c>
      <c r="F157" s="172"/>
      <c r="G157" s="172"/>
      <c r="H157" s="172"/>
      <c r="I157" s="172"/>
      <c r="J157" s="172" t="s">
        <v>1762</v>
      </c>
      <c r="K157" s="172"/>
      <c r="M157" s="9" t="s">
        <v>1768</v>
      </c>
      <c r="N157" s="9" t="s">
        <v>1769</v>
      </c>
      <c r="O157" s="9">
        <v>35</v>
      </c>
      <c r="T157" s="9" t="s">
        <v>1762</v>
      </c>
    </row>
    <row r="158" spans="1:20" ht="24" customHeight="1">
      <c r="A158" s="205" t="s">
        <v>184</v>
      </c>
      <c r="B158" s="206" t="s">
        <v>1759</v>
      </c>
      <c r="C158" s="172" t="s">
        <v>1770</v>
      </c>
      <c r="D158" s="172" t="s">
        <v>1771</v>
      </c>
      <c r="E158" s="172">
        <v>20</v>
      </c>
      <c r="F158" s="172"/>
      <c r="G158" s="172"/>
      <c r="H158" s="172"/>
      <c r="I158" s="172"/>
      <c r="J158" s="172" t="s">
        <v>1767</v>
      </c>
      <c r="K158" s="172"/>
      <c r="M158" s="9" t="s">
        <v>1770</v>
      </c>
      <c r="N158" s="9" t="s">
        <v>1771</v>
      </c>
      <c r="O158" s="9">
        <v>20</v>
      </c>
      <c r="T158" s="9" t="s">
        <v>1767</v>
      </c>
    </row>
    <row r="159" spans="1:20" ht="24" customHeight="1">
      <c r="A159" s="205" t="s">
        <v>184</v>
      </c>
      <c r="B159" s="206" t="s">
        <v>1759</v>
      </c>
      <c r="C159" s="172" t="s">
        <v>1772</v>
      </c>
      <c r="D159" s="172" t="s">
        <v>1773</v>
      </c>
      <c r="E159" s="172">
        <v>20</v>
      </c>
      <c r="F159" s="172"/>
      <c r="G159" s="172"/>
      <c r="H159" s="172"/>
      <c r="I159" s="172"/>
      <c r="J159" s="172" t="s">
        <v>1774</v>
      </c>
      <c r="K159" s="172"/>
      <c r="M159" s="9" t="s">
        <v>1772</v>
      </c>
      <c r="N159" s="9" t="s">
        <v>1773</v>
      </c>
      <c r="O159" s="9">
        <v>20</v>
      </c>
      <c r="T159" s="9" t="s">
        <v>1774</v>
      </c>
    </row>
    <row r="160" spans="1:20" ht="24" customHeight="1">
      <c r="A160" s="205" t="s">
        <v>184</v>
      </c>
      <c r="B160" s="206" t="s">
        <v>1759</v>
      </c>
      <c r="C160" s="172" t="s">
        <v>1775</v>
      </c>
      <c r="D160" s="172" t="s">
        <v>1776</v>
      </c>
      <c r="E160" s="172">
        <v>35</v>
      </c>
      <c r="F160" s="172"/>
      <c r="G160" s="172"/>
      <c r="H160" s="172"/>
      <c r="I160" s="172"/>
      <c r="J160" s="172" t="s">
        <v>1777</v>
      </c>
      <c r="K160" s="172"/>
      <c r="M160" s="9" t="s">
        <v>1775</v>
      </c>
      <c r="N160" s="9" t="s">
        <v>1776</v>
      </c>
      <c r="O160" s="9">
        <v>35</v>
      </c>
      <c r="T160" s="9" t="s">
        <v>1777</v>
      </c>
    </row>
    <row r="161" spans="1:20" ht="24" customHeight="1">
      <c r="A161" s="205" t="s">
        <v>184</v>
      </c>
      <c r="B161" s="206" t="s">
        <v>1759</v>
      </c>
      <c r="C161" s="172" t="s">
        <v>1778</v>
      </c>
      <c r="D161" s="172" t="s">
        <v>1779</v>
      </c>
      <c r="E161" s="172">
        <v>35</v>
      </c>
      <c r="F161" s="172"/>
      <c r="G161" s="172"/>
      <c r="H161" s="172"/>
      <c r="I161" s="172"/>
      <c r="J161" s="172" t="s">
        <v>1780</v>
      </c>
      <c r="K161" s="172"/>
      <c r="M161" s="9" t="s">
        <v>1778</v>
      </c>
      <c r="N161" s="9" t="s">
        <v>1779</v>
      </c>
      <c r="O161" s="9">
        <v>35</v>
      </c>
      <c r="T161" s="9" t="s">
        <v>1780</v>
      </c>
    </row>
    <row r="162" spans="1:20" ht="24" customHeight="1">
      <c r="A162" s="205" t="s">
        <v>184</v>
      </c>
      <c r="B162" s="206" t="s">
        <v>1759</v>
      </c>
      <c r="C162" s="172" t="s">
        <v>1781</v>
      </c>
      <c r="D162" s="172" t="s">
        <v>1782</v>
      </c>
      <c r="E162" s="172">
        <v>25</v>
      </c>
      <c r="F162" s="172"/>
      <c r="G162" s="172"/>
      <c r="H162" s="172"/>
      <c r="I162" s="172"/>
      <c r="J162" s="172" t="s">
        <v>1783</v>
      </c>
      <c r="K162" s="172"/>
      <c r="M162" s="9" t="s">
        <v>1781</v>
      </c>
      <c r="N162" s="9" t="s">
        <v>1782</v>
      </c>
      <c r="O162" s="9">
        <v>25</v>
      </c>
      <c r="T162" s="9" t="s">
        <v>1783</v>
      </c>
    </row>
    <row r="163" spans="1:20" ht="24" customHeight="1">
      <c r="A163" s="205" t="s">
        <v>184</v>
      </c>
      <c r="B163" s="206" t="s">
        <v>1759</v>
      </c>
      <c r="C163" s="172" t="s">
        <v>1784</v>
      </c>
      <c r="D163" s="172" t="s">
        <v>1785</v>
      </c>
      <c r="E163" s="172">
        <v>25</v>
      </c>
      <c r="F163" s="172"/>
      <c r="G163" s="172"/>
      <c r="H163" s="172"/>
      <c r="I163" s="172"/>
      <c r="J163" s="172" t="s">
        <v>1762</v>
      </c>
      <c r="K163" s="172"/>
      <c r="M163" s="9" t="s">
        <v>1784</v>
      </c>
      <c r="N163" s="9" t="s">
        <v>1785</v>
      </c>
      <c r="O163" s="9">
        <v>25</v>
      </c>
      <c r="T163" s="9" t="s">
        <v>1762</v>
      </c>
    </row>
    <row r="164" spans="1:20" ht="24" customHeight="1">
      <c r="A164" s="205" t="s">
        <v>184</v>
      </c>
      <c r="B164" s="206" t="s">
        <v>1786</v>
      </c>
      <c r="C164" s="172" t="s">
        <v>1787</v>
      </c>
      <c r="D164" s="172" t="s">
        <v>1788</v>
      </c>
      <c r="E164" s="172" t="s">
        <v>1789</v>
      </c>
      <c r="F164" s="172"/>
      <c r="G164" s="172"/>
      <c r="H164" s="172"/>
      <c r="I164" s="172"/>
      <c r="J164" s="172" t="s">
        <v>1767</v>
      </c>
      <c r="K164" s="172" t="s">
        <v>1790</v>
      </c>
      <c r="M164" s="9" t="s">
        <v>1787</v>
      </c>
      <c r="N164" s="9" t="s">
        <v>1788</v>
      </c>
      <c r="O164" s="9" t="s">
        <v>1789</v>
      </c>
      <c r="T164" s="9" t="s">
        <v>1767</v>
      </c>
    </row>
    <row r="165" spans="1:20" ht="24" customHeight="1">
      <c r="A165" s="205" t="s">
        <v>184</v>
      </c>
      <c r="B165" s="206" t="s">
        <v>1786</v>
      </c>
      <c r="C165" s="172" t="s">
        <v>1791</v>
      </c>
      <c r="D165" s="172" t="s">
        <v>1792</v>
      </c>
      <c r="E165" s="172"/>
      <c r="F165" s="172"/>
      <c r="G165" s="172"/>
      <c r="H165" s="172"/>
      <c r="I165" s="172"/>
      <c r="J165" s="172" t="s">
        <v>1793</v>
      </c>
      <c r="K165" s="172" t="s">
        <v>1790</v>
      </c>
      <c r="M165" s="9" t="s">
        <v>1791</v>
      </c>
      <c r="N165" s="9" t="s">
        <v>1792</v>
      </c>
      <c r="T165" s="9" t="s">
        <v>1793</v>
      </c>
    </row>
    <row r="166" spans="1:20" ht="24" customHeight="1">
      <c r="A166" s="205" t="s">
        <v>184</v>
      </c>
      <c r="B166" s="206" t="s">
        <v>1786</v>
      </c>
      <c r="C166" s="172" t="s">
        <v>1794</v>
      </c>
      <c r="D166" s="172" t="s">
        <v>1795</v>
      </c>
      <c r="E166" s="172"/>
      <c r="F166" s="172"/>
      <c r="G166" s="172"/>
      <c r="H166" s="172"/>
      <c r="I166" s="172"/>
      <c r="J166" s="172" t="s">
        <v>1793</v>
      </c>
      <c r="K166" s="172" t="s">
        <v>1790</v>
      </c>
      <c r="M166" s="9" t="s">
        <v>1794</v>
      </c>
      <c r="N166" s="9" t="s">
        <v>1795</v>
      </c>
      <c r="T166" s="9" t="s">
        <v>1793</v>
      </c>
    </row>
    <row r="167" spans="1:20" ht="24" customHeight="1">
      <c r="A167" s="205" t="s">
        <v>184</v>
      </c>
      <c r="B167" s="206" t="s">
        <v>1786</v>
      </c>
      <c r="C167" s="172" t="s">
        <v>1796</v>
      </c>
      <c r="D167" s="172" t="s">
        <v>1797</v>
      </c>
      <c r="E167" s="172"/>
      <c r="F167" s="172"/>
      <c r="G167" s="172"/>
      <c r="H167" s="172"/>
      <c r="I167" s="172"/>
      <c r="J167" s="172" t="s">
        <v>1793</v>
      </c>
      <c r="K167" s="172" t="s">
        <v>1790</v>
      </c>
      <c r="M167" s="9" t="s">
        <v>1796</v>
      </c>
      <c r="N167" s="9" t="s">
        <v>1797</v>
      </c>
      <c r="T167" s="9" t="s">
        <v>1793</v>
      </c>
    </row>
    <row r="168" spans="1:20" ht="24" customHeight="1">
      <c r="A168" s="205" t="s">
        <v>184</v>
      </c>
      <c r="B168" s="206" t="s">
        <v>1786</v>
      </c>
      <c r="C168" s="172" t="s">
        <v>1798</v>
      </c>
      <c r="D168" s="172" t="s">
        <v>1799</v>
      </c>
      <c r="E168" s="172"/>
      <c r="F168" s="172"/>
      <c r="G168" s="172"/>
      <c r="H168" s="172"/>
      <c r="I168" s="172"/>
      <c r="J168" s="172" t="s">
        <v>1793</v>
      </c>
      <c r="K168" s="172" t="s">
        <v>1790</v>
      </c>
      <c r="M168" s="9" t="s">
        <v>1798</v>
      </c>
      <c r="N168" s="9" t="s">
        <v>1799</v>
      </c>
      <c r="T168" s="9" t="s">
        <v>1793</v>
      </c>
    </row>
    <row r="169" spans="1:20" ht="24" customHeight="1">
      <c r="A169" s="205" t="s">
        <v>184</v>
      </c>
      <c r="B169" s="206" t="s">
        <v>1786</v>
      </c>
      <c r="C169" s="172" t="s">
        <v>1800</v>
      </c>
      <c r="D169" s="172" t="s">
        <v>1801</v>
      </c>
      <c r="E169" s="172"/>
      <c r="F169" s="172"/>
      <c r="G169" s="172"/>
      <c r="H169" s="172"/>
      <c r="I169" s="172"/>
      <c r="J169" s="172" t="s">
        <v>1767</v>
      </c>
      <c r="K169" s="172" t="s">
        <v>1790</v>
      </c>
      <c r="M169" s="9" t="s">
        <v>1800</v>
      </c>
      <c r="N169" s="9" t="s">
        <v>1801</v>
      </c>
      <c r="T169" s="9" t="s">
        <v>1767</v>
      </c>
    </row>
    <row r="170" spans="1:20" ht="24" customHeight="1">
      <c r="A170" s="205" t="s">
        <v>184</v>
      </c>
      <c r="B170" s="206" t="s">
        <v>1786</v>
      </c>
      <c r="C170" s="172" t="s">
        <v>1802</v>
      </c>
      <c r="D170" s="172" t="s">
        <v>1803</v>
      </c>
      <c r="E170" s="172"/>
      <c r="F170" s="172"/>
      <c r="G170" s="172"/>
      <c r="H170" s="172"/>
      <c r="I170" s="172"/>
      <c r="J170" s="172" t="s">
        <v>1762</v>
      </c>
      <c r="K170" s="172" t="s">
        <v>1790</v>
      </c>
      <c r="M170" s="9" t="s">
        <v>1802</v>
      </c>
      <c r="N170" s="9" t="s">
        <v>1803</v>
      </c>
      <c r="T170" s="9" t="s">
        <v>1762</v>
      </c>
    </row>
    <row r="171" spans="1:20" ht="24" customHeight="1">
      <c r="A171" s="205" t="s">
        <v>184</v>
      </c>
      <c r="B171" s="206" t="s">
        <v>1786</v>
      </c>
      <c r="C171" s="172" t="s">
        <v>1804</v>
      </c>
      <c r="D171" s="172" t="s">
        <v>1805</v>
      </c>
      <c r="E171" s="172"/>
      <c r="F171" s="172"/>
      <c r="G171" s="172"/>
      <c r="H171" s="172"/>
      <c r="I171" s="172"/>
      <c r="J171" s="172" t="s">
        <v>1793</v>
      </c>
      <c r="K171" s="172" t="s">
        <v>1790</v>
      </c>
      <c r="M171" s="9" t="s">
        <v>1804</v>
      </c>
      <c r="N171" s="9" t="s">
        <v>1805</v>
      </c>
      <c r="T171" s="9" t="s">
        <v>1793</v>
      </c>
    </row>
    <row r="172" spans="1:20" ht="24" customHeight="1">
      <c r="A172" s="205" t="s">
        <v>184</v>
      </c>
      <c r="B172" s="206" t="s">
        <v>1786</v>
      </c>
      <c r="C172" s="172" t="s">
        <v>1806</v>
      </c>
      <c r="D172" s="172" t="s">
        <v>1807</v>
      </c>
      <c r="E172" s="172"/>
      <c r="F172" s="172"/>
      <c r="G172" s="172"/>
      <c r="H172" s="172"/>
      <c r="I172" s="172"/>
      <c r="J172" s="172" t="s">
        <v>1808</v>
      </c>
      <c r="K172" s="172" t="s">
        <v>1790</v>
      </c>
      <c r="M172" s="9" t="s">
        <v>1806</v>
      </c>
      <c r="N172" s="9" t="s">
        <v>1807</v>
      </c>
      <c r="T172" s="9" t="s">
        <v>1808</v>
      </c>
    </row>
    <row r="173" spans="1:20" ht="24" customHeight="1">
      <c r="A173" s="205" t="s">
        <v>184</v>
      </c>
      <c r="B173" s="206" t="s">
        <v>1786</v>
      </c>
      <c r="C173" s="172" t="s">
        <v>1809</v>
      </c>
      <c r="D173" s="172" t="s">
        <v>1810</v>
      </c>
      <c r="E173" s="172"/>
      <c r="F173" s="172"/>
      <c r="G173" s="172"/>
      <c r="H173" s="172"/>
      <c r="I173" s="172"/>
      <c r="J173" s="172" t="s">
        <v>1811</v>
      </c>
      <c r="K173" s="172" t="s">
        <v>1790</v>
      </c>
      <c r="M173" s="9" t="s">
        <v>1809</v>
      </c>
      <c r="N173" s="9" t="s">
        <v>1810</v>
      </c>
      <c r="T173" s="9" t="s">
        <v>1811</v>
      </c>
    </row>
    <row r="174" spans="1:20" ht="24" customHeight="1">
      <c r="A174" s="205" t="s">
        <v>184</v>
      </c>
      <c r="B174" s="206" t="s">
        <v>1812</v>
      </c>
      <c r="C174" s="172" t="s">
        <v>1813</v>
      </c>
      <c r="D174" s="172" t="s">
        <v>1814</v>
      </c>
      <c r="E174" s="172">
        <v>50</v>
      </c>
      <c r="F174" s="172"/>
      <c r="G174" s="172"/>
      <c r="H174" s="172"/>
      <c r="I174" s="172"/>
      <c r="J174" s="172" t="s">
        <v>1815</v>
      </c>
      <c r="K174" s="172"/>
      <c r="M174" s="9" t="s">
        <v>1813</v>
      </c>
      <c r="N174" s="9" t="s">
        <v>1814</v>
      </c>
      <c r="O174" s="9">
        <v>50</v>
      </c>
      <c r="T174" s="9" t="s">
        <v>1815</v>
      </c>
    </row>
    <row r="175" spans="1:20" ht="24" customHeight="1">
      <c r="A175" s="205" t="s">
        <v>184</v>
      </c>
      <c r="B175" s="206" t="s">
        <v>1812</v>
      </c>
      <c r="C175" s="172" t="s">
        <v>1816</v>
      </c>
      <c r="D175" s="172" t="s">
        <v>1817</v>
      </c>
      <c r="E175" s="172">
        <v>50</v>
      </c>
      <c r="F175" s="172"/>
      <c r="G175" s="172"/>
      <c r="H175" s="172"/>
      <c r="I175" s="172"/>
      <c r="J175" s="172" t="s">
        <v>1815</v>
      </c>
      <c r="K175" s="172"/>
      <c r="M175" s="9" t="s">
        <v>1816</v>
      </c>
      <c r="N175" s="9" t="s">
        <v>1817</v>
      </c>
      <c r="O175" s="9">
        <v>50</v>
      </c>
      <c r="T175" s="9" t="s">
        <v>1815</v>
      </c>
    </row>
    <row r="176" spans="1:20" ht="24" customHeight="1">
      <c r="A176" s="205" t="s">
        <v>184</v>
      </c>
      <c r="B176" s="206" t="s">
        <v>1812</v>
      </c>
      <c r="C176" s="172" t="s">
        <v>1818</v>
      </c>
      <c r="D176" s="172" t="s">
        <v>1819</v>
      </c>
      <c r="E176" s="172">
        <v>50</v>
      </c>
      <c r="F176" s="172"/>
      <c r="G176" s="172"/>
      <c r="H176" s="172"/>
      <c r="I176" s="172"/>
      <c r="J176" s="172" t="s">
        <v>1815</v>
      </c>
      <c r="K176" s="172"/>
      <c r="M176" s="9" t="s">
        <v>1818</v>
      </c>
      <c r="N176" s="9" t="s">
        <v>1819</v>
      </c>
      <c r="O176" s="9">
        <v>50</v>
      </c>
      <c r="T176" s="9" t="s">
        <v>1815</v>
      </c>
    </row>
    <row r="177" spans="1:20" ht="24" customHeight="1">
      <c r="A177" s="205" t="s">
        <v>184</v>
      </c>
      <c r="B177" s="206" t="s">
        <v>1812</v>
      </c>
      <c r="C177" s="172" t="s">
        <v>1820</v>
      </c>
      <c r="D177" s="172" t="s">
        <v>1821</v>
      </c>
      <c r="E177" s="172">
        <v>50</v>
      </c>
      <c r="F177" s="172"/>
      <c r="G177" s="172"/>
      <c r="H177" s="172"/>
      <c r="I177" s="172"/>
      <c r="J177" s="172" t="s">
        <v>1815</v>
      </c>
      <c r="K177" s="172"/>
      <c r="M177" s="9" t="s">
        <v>1820</v>
      </c>
      <c r="N177" s="9" t="s">
        <v>1821</v>
      </c>
      <c r="O177" s="9">
        <v>50</v>
      </c>
      <c r="T177" s="9" t="s">
        <v>1815</v>
      </c>
    </row>
    <row r="178" spans="1:20" ht="24" customHeight="1">
      <c r="A178" s="205" t="s">
        <v>184</v>
      </c>
      <c r="B178" s="206" t="s">
        <v>1812</v>
      </c>
      <c r="C178" s="172" t="s">
        <v>1822</v>
      </c>
      <c r="D178" s="172" t="s">
        <v>1823</v>
      </c>
      <c r="E178" s="172">
        <v>50</v>
      </c>
      <c r="F178" s="172"/>
      <c r="G178" s="172"/>
      <c r="H178" s="172"/>
      <c r="I178" s="172"/>
      <c r="J178" s="172" t="s">
        <v>1815</v>
      </c>
      <c r="K178" s="172"/>
      <c r="M178" s="9" t="s">
        <v>1822</v>
      </c>
      <c r="N178" s="9" t="s">
        <v>1823</v>
      </c>
      <c r="O178" s="9">
        <v>50</v>
      </c>
      <c r="T178" s="9" t="s">
        <v>1815</v>
      </c>
    </row>
    <row r="179" spans="1:20" ht="24" customHeight="1">
      <c r="A179" s="205" t="s">
        <v>184</v>
      </c>
      <c r="B179" s="206" t="s">
        <v>1812</v>
      </c>
      <c r="C179" s="172" t="s">
        <v>1824</v>
      </c>
      <c r="D179" s="172" t="s">
        <v>1825</v>
      </c>
      <c r="E179" s="172">
        <v>40</v>
      </c>
      <c r="F179" s="172"/>
      <c r="G179" s="172"/>
      <c r="H179" s="172"/>
      <c r="I179" s="172"/>
      <c r="J179" s="172" t="s">
        <v>1826</v>
      </c>
      <c r="K179" s="172"/>
      <c r="M179" s="9" t="s">
        <v>1824</v>
      </c>
      <c r="N179" s="9" t="s">
        <v>1825</v>
      </c>
      <c r="O179" s="9">
        <v>40</v>
      </c>
      <c r="T179" s="9" t="s">
        <v>1826</v>
      </c>
    </row>
    <row r="180" spans="1:20" ht="24" customHeight="1">
      <c r="A180" s="205" t="s">
        <v>184</v>
      </c>
      <c r="B180" s="206" t="s">
        <v>1812</v>
      </c>
      <c r="C180" s="172" t="s">
        <v>1827</v>
      </c>
      <c r="D180" s="172" t="s">
        <v>1828</v>
      </c>
      <c r="E180" s="172">
        <v>40</v>
      </c>
      <c r="F180" s="172"/>
      <c r="G180" s="172"/>
      <c r="H180" s="172"/>
      <c r="I180" s="172"/>
      <c r="J180" s="172" t="s">
        <v>1826</v>
      </c>
      <c r="K180" s="172"/>
      <c r="M180" s="9" t="s">
        <v>1827</v>
      </c>
      <c r="N180" s="9" t="s">
        <v>1828</v>
      </c>
      <c r="O180" s="9">
        <v>40</v>
      </c>
      <c r="T180" s="9" t="s">
        <v>1826</v>
      </c>
    </row>
    <row r="181" spans="1:20" ht="24" customHeight="1">
      <c r="A181" s="205" t="s">
        <v>184</v>
      </c>
      <c r="B181" s="206" t="s">
        <v>1812</v>
      </c>
      <c r="C181" s="172" t="s">
        <v>1829</v>
      </c>
      <c r="D181" s="172" t="s">
        <v>1830</v>
      </c>
      <c r="E181" s="172">
        <v>40</v>
      </c>
      <c r="F181" s="172"/>
      <c r="G181" s="172"/>
      <c r="H181" s="172"/>
      <c r="I181" s="172"/>
      <c r="J181" s="172" t="s">
        <v>1826</v>
      </c>
      <c r="K181" s="172"/>
      <c r="M181" s="9" t="s">
        <v>1829</v>
      </c>
      <c r="N181" s="9" t="s">
        <v>1830</v>
      </c>
      <c r="O181" s="9">
        <v>40</v>
      </c>
      <c r="T181" s="9" t="s">
        <v>1826</v>
      </c>
    </row>
    <row r="182" spans="1:20" ht="24" customHeight="1">
      <c r="A182" s="205" t="s">
        <v>184</v>
      </c>
      <c r="B182" s="206" t="s">
        <v>1812</v>
      </c>
      <c r="C182" s="172" t="s">
        <v>1831</v>
      </c>
      <c r="D182" s="172" t="s">
        <v>1832</v>
      </c>
      <c r="E182" s="172">
        <v>40</v>
      </c>
      <c r="F182" s="172"/>
      <c r="G182" s="172"/>
      <c r="H182" s="172"/>
      <c r="I182" s="172"/>
      <c r="J182" s="172" t="s">
        <v>1826</v>
      </c>
      <c r="K182" s="172"/>
      <c r="M182" s="9" t="s">
        <v>1831</v>
      </c>
      <c r="N182" s="9" t="s">
        <v>1832</v>
      </c>
      <c r="O182" s="9">
        <v>40</v>
      </c>
      <c r="T182" s="9" t="s">
        <v>1826</v>
      </c>
    </row>
    <row r="183" spans="1:20" ht="24" customHeight="1">
      <c r="A183" s="205" t="s">
        <v>184</v>
      </c>
      <c r="B183" s="206" t="s">
        <v>1812</v>
      </c>
      <c r="C183" s="172" t="s">
        <v>1833</v>
      </c>
      <c r="D183" s="172" t="s">
        <v>1834</v>
      </c>
      <c r="E183" s="172">
        <v>40</v>
      </c>
      <c r="F183" s="172"/>
      <c r="G183" s="172"/>
      <c r="H183" s="172"/>
      <c r="I183" s="172"/>
      <c r="J183" s="172" t="s">
        <v>1826</v>
      </c>
      <c r="K183" s="172"/>
      <c r="M183" s="9" t="s">
        <v>1833</v>
      </c>
      <c r="N183" s="9" t="s">
        <v>1834</v>
      </c>
      <c r="O183" s="9">
        <v>40</v>
      </c>
      <c r="T183" s="9" t="s">
        <v>1826</v>
      </c>
    </row>
    <row r="184" spans="1:20" ht="24" customHeight="1">
      <c r="A184" s="205" t="s">
        <v>184</v>
      </c>
      <c r="B184" s="206" t="s">
        <v>1812</v>
      </c>
      <c r="C184" s="172" t="s">
        <v>1835</v>
      </c>
      <c r="D184" s="172" t="s">
        <v>1836</v>
      </c>
      <c r="E184" s="172">
        <v>30</v>
      </c>
      <c r="F184" s="172"/>
      <c r="G184" s="172"/>
      <c r="H184" s="172"/>
      <c r="I184" s="172"/>
      <c r="J184" s="172" t="s">
        <v>1780</v>
      </c>
      <c r="K184" s="172"/>
      <c r="M184" s="9" t="s">
        <v>1835</v>
      </c>
      <c r="N184" s="9" t="s">
        <v>1836</v>
      </c>
      <c r="O184" s="9">
        <v>30</v>
      </c>
      <c r="T184" s="9" t="s">
        <v>1780</v>
      </c>
    </row>
    <row r="185" spans="1:20" ht="24" customHeight="1">
      <c r="A185" s="205" t="s">
        <v>184</v>
      </c>
      <c r="B185" s="206" t="s">
        <v>1812</v>
      </c>
      <c r="C185" s="172" t="s">
        <v>1837</v>
      </c>
      <c r="D185" s="172" t="s">
        <v>1838</v>
      </c>
      <c r="E185" s="172">
        <v>30</v>
      </c>
      <c r="F185" s="172"/>
      <c r="G185" s="172"/>
      <c r="H185" s="172"/>
      <c r="I185" s="172"/>
      <c r="J185" s="172" t="s">
        <v>1780</v>
      </c>
      <c r="K185" s="172"/>
      <c r="M185" s="9" t="s">
        <v>1837</v>
      </c>
      <c r="N185" s="9" t="s">
        <v>1838</v>
      </c>
      <c r="O185" s="9">
        <v>30</v>
      </c>
      <c r="T185" s="9" t="s">
        <v>1780</v>
      </c>
    </row>
    <row r="186" spans="1:20" ht="24" customHeight="1">
      <c r="A186" s="205" t="s">
        <v>184</v>
      </c>
      <c r="B186" s="206" t="s">
        <v>1812</v>
      </c>
      <c r="C186" s="172" t="s">
        <v>1839</v>
      </c>
      <c r="D186" s="172" t="s">
        <v>1840</v>
      </c>
      <c r="E186" s="172">
        <v>30</v>
      </c>
      <c r="F186" s="172"/>
      <c r="G186" s="172"/>
      <c r="H186" s="172"/>
      <c r="I186" s="172"/>
      <c r="J186" s="172" t="s">
        <v>1780</v>
      </c>
      <c r="K186" s="172"/>
      <c r="M186" s="9" t="s">
        <v>1839</v>
      </c>
      <c r="N186" s="9" t="s">
        <v>1840</v>
      </c>
      <c r="O186" s="9">
        <v>30</v>
      </c>
      <c r="T186" s="9" t="s">
        <v>1780</v>
      </c>
    </row>
    <row r="187" spans="1:20" ht="24" customHeight="1">
      <c r="A187" s="205" t="s">
        <v>184</v>
      </c>
      <c r="B187" s="206" t="s">
        <v>1812</v>
      </c>
      <c r="C187" s="172" t="s">
        <v>1841</v>
      </c>
      <c r="D187" s="172" t="s">
        <v>1842</v>
      </c>
      <c r="E187" s="172">
        <v>30</v>
      </c>
      <c r="F187" s="172"/>
      <c r="G187" s="172"/>
      <c r="H187" s="172"/>
      <c r="I187" s="172"/>
      <c r="J187" s="172" t="s">
        <v>1780</v>
      </c>
      <c r="K187" s="172"/>
      <c r="M187" s="9" t="s">
        <v>1841</v>
      </c>
      <c r="N187" s="9" t="s">
        <v>1842</v>
      </c>
      <c r="O187" s="9">
        <v>30</v>
      </c>
      <c r="T187" s="9" t="s">
        <v>1780</v>
      </c>
    </row>
    <row r="188" spans="1:20" ht="24" customHeight="1">
      <c r="A188" s="205" t="s">
        <v>184</v>
      </c>
      <c r="B188" s="206" t="s">
        <v>1812</v>
      </c>
      <c r="C188" s="172" t="s">
        <v>1843</v>
      </c>
      <c r="D188" s="172" t="s">
        <v>1844</v>
      </c>
      <c r="E188" s="172">
        <v>30</v>
      </c>
      <c r="F188" s="172"/>
      <c r="G188" s="172"/>
      <c r="H188" s="172"/>
      <c r="I188" s="172"/>
      <c r="J188" s="172" t="s">
        <v>1780</v>
      </c>
      <c r="K188" s="172"/>
      <c r="M188" s="9" t="s">
        <v>1843</v>
      </c>
      <c r="N188" s="9" t="s">
        <v>1844</v>
      </c>
      <c r="O188" s="9">
        <v>30</v>
      </c>
      <c r="T188" s="9" t="s">
        <v>1780</v>
      </c>
    </row>
    <row r="189" spans="1:20" ht="24" customHeight="1">
      <c r="A189" s="205" t="s">
        <v>184</v>
      </c>
      <c r="B189" s="206" t="s">
        <v>1812</v>
      </c>
      <c r="C189" s="172" t="s">
        <v>1845</v>
      </c>
      <c r="D189" s="172" t="s">
        <v>1846</v>
      </c>
      <c r="E189" s="172">
        <v>20</v>
      </c>
      <c r="F189" s="172"/>
      <c r="G189" s="172"/>
      <c r="H189" s="172"/>
      <c r="I189" s="172"/>
      <c r="J189" s="172" t="s">
        <v>1762</v>
      </c>
      <c r="K189" s="172"/>
      <c r="M189" s="9" t="s">
        <v>1845</v>
      </c>
      <c r="N189" s="9" t="s">
        <v>1846</v>
      </c>
      <c r="O189" s="9">
        <v>20</v>
      </c>
      <c r="T189" s="9" t="s">
        <v>1762</v>
      </c>
    </row>
    <row r="190" spans="1:20" ht="24" customHeight="1">
      <c r="A190" s="205" t="s">
        <v>184</v>
      </c>
      <c r="B190" s="206" t="s">
        <v>1812</v>
      </c>
      <c r="C190" s="172" t="s">
        <v>1847</v>
      </c>
      <c r="D190" s="172" t="s">
        <v>1848</v>
      </c>
      <c r="E190" s="172">
        <v>20</v>
      </c>
      <c r="F190" s="172"/>
      <c r="G190" s="172"/>
      <c r="H190" s="172"/>
      <c r="I190" s="172"/>
      <c r="J190" s="172" t="s">
        <v>1762</v>
      </c>
      <c r="K190" s="172"/>
      <c r="M190" s="9" t="s">
        <v>1847</v>
      </c>
      <c r="N190" s="9" t="s">
        <v>1848</v>
      </c>
      <c r="O190" s="9">
        <v>20</v>
      </c>
      <c r="T190" s="9" t="s">
        <v>1762</v>
      </c>
    </row>
    <row r="191" spans="1:20" ht="24" customHeight="1">
      <c r="A191" s="205" t="s">
        <v>184</v>
      </c>
      <c r="B191" s="206" t="s">
        <v>1812</v>
      </c>
      <c r="C191" s="172" t="s">
        <v>1849</v>
      </c>
      <c r="D191" s="172" t="s">
        <v>1850</v>
      </c>
      <c r="E191" s="172">
        <v>20</v>
      </c>
      <c r="F191" s="172"/>
      <c r="G191" s="172"/>
      <c r="H191" s="172"/>
      <c r="I191" s="172"/>
      <c r="J191" s="172" t="s">
        <v>1762</v>
      </c>
      <c r="K191" s="172"/>
      <c r="M191" s="9" t="s">
        <v>1849</v>
      </c>
      <c r="N191" s="9" t="s">
        <v>1850</v>
      </c>
      <c r="O191" s="9">
        <v>20</v>
      </c>
      <c r="T191" s="9" t="s">
        <v>1762</v>
      </c>
    </row>
    <row r="192" spans="1:20" ht="24" customHeight="1">
      <c r="A192" s="205" t="s">
        <v>184</v>
      </c>
      <c r="B192" s="206" t="s">
        <v>1812</v>
      </c>
      <c r="C192" s="172" t="s">
        <v>1851</v>
      </c>
      <c r="D192" s="172" t="s">
        <v>1852</v>
      </c>
      <c r="E192" s="172">
        <v>20</v>
      </c>
      <c r="F192" s="172"/>
      <c r="G192" s="172"/>
      <c r="H192" s="172"/>
      <c r="I192" s="172"/>
      <c r="J192" s="172" t="s">
        <v>1762</v>
      </c>
      <c r="K192" s="172"/>
      <c r="M192" s="9" t="s">
        <v>1851</v>
      </c>
      <c r="N192" s="9" t="s">
        <v>1852</v>
      </c>
      <c r="O192" s="9">
        <v>20</v>
      </c>
      <c r="T192" s="9" t="s">
        <v>1762</v>
      </c>
    </row>
    <row r="193" spans="1:20" ht="24" customHeight="1">
      <c r="A193" s="205" t="s">
        <v>184</v>
      </c>
      <c r="B193" s="206" t="s">
        <v>1812</v>
      </c>
      <c r="C193" s="172" t="s">
        <v>1853</v>
      </c>
      <c r="D193" s="172" t="s">
        <v>1854</v>
      </c>
      <c r="E193" s="172">
        <v>20</v>
      </c>
      <c r="F193" s="172"/>
      <c r="G193" s="172"/>
      <c r="H193" s="172"/>
      <c r="I193" s="172"/>
      <c r="J193" s="172" t="s">
        <v>1762</v>
      </c>
      <c r="K193" s="172"/>
      <c r="M193" s="9" t="s">
        <v>1853</v>
      </c>
      <c r="N193" s="9" t="s">
        <v>1854</v>
      </c>
      <c r="O193" s="9">
        <v>20</v>
      </c>
      <c r="T193" s="9" t="s">
        <v>1762</v>
      </c>
    </row>
    <row r="194" spans="1:20" ht="24" customHeight="1">
      <c r="A194" s="205" t="s">
        <v>184</v>
      </c>
      <c r="B194" s="206" t="s">
        <v>1812</v>
      </c>
      <c r="C194" s="172" t="s">
        <v>1855</v>
      </c>
      <c r="D194" s="172" t="s">
        <v>1856</v>
      </c>
      <c r="E194" s="172">
        <v>5</v>
      </c>
      <c r="F194" s="172"/>
      <c r="G194" s="172"/>
      <c r="H194" s="172"/>
      <c r="I194" s="172"/>
      <c r="J194" s="172" t="s">
        <v>1767</v>
      </c>
      <c r="K194" s="172"/>
      <c r="M194" s="9" t="s">
        <v>1855</v>
      </c>
      <c r="N194" s="9" t="s">
        <v>1856</v>
      </c>
      <c r="O194" s="9">
        <v>5</v>
      </c>
      <c r="T194" s="9" t="s">
        <v>1767</v>
      </c>
    </row>
    <row r="195" spans="1:20" ht="24" customHeight="1">
      <c r="A195" s="205" t="s">
        <v>184</v>
      </c>
      <c r="B195" s="206" t="s">
        <v>1812</v>
      </c>
      <c r="C195" s="172" t="s">
        <v>1857</v>
      </c>
      <c r="D195" s="172" t="s">
        <v>1858</v>
      </c>
      <c r="E195" s="172">
        <v>5</v>
      </c>
      <c r="F195" s="172"/>
      <c r="G195" s="172"/>
      <c r="H195" s="172"/>
      <c r="I195" s="172"/>
      <c r="J195" s="172" t="s">
        <v>1767</v>
      </c>
      <c r="K195" s="172"/>
      <c r="M195" s="9" t="s">
        <v>1857</v>
      </c>
      <c r="N195" s="9" t="s">
        <v>1858</v>
      </c>
      <c r="O195" s="9">
        <v>5</v>
      </c>
      <c r="T195" s="9" t="s">
        <v>1767</v>
      </c>
    </row>
    <row r="196" spans="1:20" ht="24" customHeight="1">
      <c r="A196" s="205" t="s">
        <v>184</v>
      </c>
      <c r="B196" s="206" t="s">
        <v>1812</v>
      </c>
      <c r="C196" s="172" t="s">
        <v>1859</v>
      </c>
      <c r="D196" s="172" t="s">
        <v>1860</v>
      </c>
      <c r="E196" s="172">
        <v>5</v>
      </c>
      <c r="F196" s="172"/>
      <c r="G196" s="172"/>
      <c r="H196" s="172"/>
      <c r="I196" s="172"/>
      <c r="J196" s="172" t="s">
        <v>1767</v>
      </c>
      <c r="K196" s="172"/>
      <c r="M196" s="9" t="s">
        <v>1859</v>
      </c>
      <c r="N196" s="9" t="s">
        <v>1860</v>
      </c>
      <c r="O196" s="9">
        <v>5</v>
      </c>
      <c r="T196" s="9" t="s">
        <v>1767</v>
      </c>
    </row>
    <row r="197" spans="1:20" ht="24" customHeight="1">
      <c r="A197" s="205" t="s">
        <v>184</v>
      </c>
      <c r="B197" s="206" t="s">
        <v>1812</v>
      </c>
      <c r="C197" s="172" t="s">
        <v>1861</v>
      </c>
      <c r="D197" s="172" t="s">
        <v>1862</v>
      </c>
      <c r="E197" s="172">
        <v>5</v>
      </c>
      <c r="F197" s="172"/>
      <c r="G197" s="172"/>
      <c r="H197" s="172"/>
      <c r="I197" s="172"/>
      <c r="J197" s="172" t="s">
        <v>1767</v>
      </c>
      <c r="K197" s="172"/>
      <c r="M197" s="9" t="s">
        <v>1861</v>
      </c>
      <c r="N197" s="9" t="s">
        <v>1862</v>
      </c>
      <c r="O197" s="9">
        <v>5</v>
      </c>
      <c r="T197" s="9" t="s">
        <v>1767</v>
      </c>
    </row>
    <row r="198" spans="1:20" ht="24" customHeight="1">
      <c r="A198" s="205" t="s">
        <v>184</v>
      </c>
      <c r="B198" s="206" t="s">
        <v>1812</v>
      </c>
      <c r="C198" s="172" t="s">
        <v>1863</v>
      </c>
      <c r="D198" s="172" t="s">
        <v>1864</v>
      </c>
      <c r="E198" s="172">
        <v>5</v>
      </c>
      <c r="F198" s="172"/>
      <c r="G198" s="172"/>
      <c r="H198" s="172"/>
      <c r="I198" s="172"/>
      <c r="J198" s="172" t="s">
        <v>1767</v>
      </c>
      <c r="K198" s="172"/>
      <c r="M198" s="9" t="s">
        <v>1863</v>
      </c>
      <c r="N198" s="9" t="s">
        <v>1864</v>
      </c>
      <c r="O198" s="9">
        <v>5</v>
      </c>
      <c r="T198" s="9" t="s">
        <v>1767</v>
      </c>
    </row>
    <row r="199" spans="1:20" ht="24" customHeight="1">
      <c r="A199" s="205" t="s">
        <v>184</v>
      </c>
      <c r="B199" s="206" t="s">
        <v>1812</v>
      </c>
      <c r="C199" s="172" t="s">
        <v>1865</v>
      </c>
      <c r="D199" s="172" t="s">
        <v>1866</v>
      </c>
      <c r="E199" s="172">
        <v>5</v>
      </c>
      <c r="F199" s="172"/>
      <c r="G199" s="172"/>
      <c r="H199" s="172"/>
      <c r="I199" s="172"/>
      <c r="J199" s="172" t="s">
        <v>1767</v>
      </c>
      <c r="K199" s="172"/>
      <c r="M199" s="9" t="s">
        <v>1865</v>
      </c>
      <c r="N199" s="9" t="s">
        <v>1866</v>
      </c>
      <c r="O199" s="9">
        <v>5</v>
      </c>
      <c r="T199" s="9" t="s">
        <v>1767</v>
      </c>
    </row>
    <row r="200" spans="1:20" ht="24" customHeight="1">
      <c r="A200" s="205" t="s">
        <v>184</v>
      </c>
      <c r="B200" s="206" t="s">
        <v>1812</v>
      </c>
      <c r="C200" s="172" t="s">
        <v>1867</v>
      </c>
      <c r="D200" s="172" t="s">
        <v>1868</v>
      </c>
      <c r="E200" s="172">
        <v>5</v>
      </c>
      <c r="F200" s="172"/>
      <c r="G200" s="172"/>
      <c r="H200" s="172"/>
      <c r="I200" s="172"/>
      <c r="J200" s="172" t="s">
        <v>1767</v>
      </c>
      <c r="K200" s="172"/>
      <c r="M200" s="9" t="s">
        <v>1867</v>
      </c>
      <c r="N200" s="9" t="s">
        <v>1868</v>
      </c>
      <c r="O200" s="9">
        <v>5</v>
      </c>
      <c r="T200" s="9" t="s">
        <v>1767</v>
      </c>
    </row>
    <row r="201" spans="1:20" ht="24" customHeight="1">
      <c r="A201" s="205" t="s">
        <v>184</v>
      </c>
      <c r="B201" s="206" t="s">
        <v>1812</v>
      </c>
      <c r="C201" s="172" t="s">
        <v>1869</v>
      </c>
      <c r="D201" s="172" t="s">
        <v>1870</v>
      </c>
      <c r="E201" s="172">
        <v>5</v>
      </c>
      <c r="F201" s="172"/>
      <c r="G201" s="172"/>
      <c r="H201" s="172"/>
      <c r="I201" s="172"/>
      <c r="J201" s="172" t="s">
        <v>1767</v>
      </c>
      <c r="K201" s="172"/>
      <c r="M201" s="9" t="s">
        <v>1869</v>
      </c>
      <c r="N201" s="9" t="s">
        <v>1870</v>
      </c>
      <c r="O201" s="9">
        <v>5</v>
      </c>
      <c r="T201" s="9" t="s">
        <v>1767</v>
      </c>
    </row>
    <row r="202" spans="1:20" ht="24" customHeight="1">
      <c r="A202" s="205" t="s">
        <v>184</v>
      </c>
      <c r="B202" s="206" t="s">
        <v>1812</v>
      </c>
      <c r="C202" s="172" t="s">
        <v>1871</v>
      </c>
      <c r="D202" s="172" t="s">
        <v>1872</v>
      </c>
      <c r="E202" s="172">
        <v>5</v>
      </c>
      <c r="F202" s="172"/>
      <c r="G202" s="172"/>
      <c r="H202" s="172"/>
      <c r="I202" s="172"/>
      <c r="J202" s="172" t="s">
        <v>1767</v>
      </c>
      <c r="K202" s="172"/>
      <c r="M202" s="9" t="s">
        <v>1871</v>
      </c>
      <c r="N202" s="9" t="s">
        <v>1872</v>
      </c>
      <c r="O202" s="9">
        <v>5</v>
      </c>
      <c r="T202" s="9" t="s">
        <v>1767</v>
      </c>
    </row>
    <row r="203" spans="1:20" ht="24" customHeight="1">
      <c r="A203" s="205" t="s">
        <v>184</v>
      </c>
      <c r="B203" s="206" t="s">
        <v>1812</v>
      </c>
      <c r="C203" s="172" t="s">
        <v>1873</v>
      </c>
      <c r="D203" s="172" t="s">
        <v>1874</v>
      </c>
      <c r="E203" s="172">
        <v>5</v>
      </c>
      <c r="F203" s="172"/>
      <c r="G203" s="172"/>
      <c r="H203" s="172"/>
      <c r="I203" s="172"/>
      <c r="J203" s="172" t="s">
        <v>1767</v>
      </c>
      <c r="K203" s="172"/>
      <c r="M203" s="9" t="s">
        <v>1873</v>
      </c>
      <c r="N203" s="9" t="s">
        <v>1874</v>
      </c>
      <c r="O203" s="9">
        <v>5</v>
      </c>
      <c r="T203" s="9" t="s">
        <v>1767</v>
      </c>
    </row>
    <row r="204" spans="1:20" ht="24" customHeight="1">
      <c r="A204" s="205" t="s">
        <v>184</v>
      </c>
      <c r="B204" s="206" t="s">
        <v>1875</v>
      </c>
      <c r="C204" s="172" t="s">
        <v>1876</v>
      </c>
      <c r="D204" s="172" t="s">
        <v>1877</v>
      </c>
      <c r="E204" s="172">
        <v>50</v>
      </c>
      <c r="F204" s="172"/>
      <c r="G204" s="172"/>
      <c r="H204" s="172"/>
      <c r="I204" s="172"/>
      <c r="J204" s="172" t="s">
        <v>1878</v>
      </c>
      <c r="K204" s="172"/>
      <c r="M204" s="9" t="s">
        <v>1876</v>
      </c>
      <c r="N204" s="9" t="s">
        <v>1877</v>
      </c>
      <c r="O204" s="9">
        <v>50</v>
      </c>
      <c r="T204" s="9" t="s">
        <v>1878</v>
      </c>
    </row>
    <row r="205" spans="1:20" ht="24" customHeight="1">
      <c r="A205" s="205" t="s">
        <v>184</v>
      </c>
      <c r="B205" s="206" t="s">
        <v>1875</v>
      </c>
      <c r="C205" s="172" t="s">
        <v>1879</v>
      </c>
      <c r="D205" s="172" t="s">
        <v>1880</v>
      </c>
      <c r="E205" s="172">
        <v>50</v>
      </c>
      <c r="F205" s="172"/>
      <c r="G205" s="172"/>
      <c r="H205" s="172"/>
      <c r="I205" s="172"/>
      <c r="J205" s="172" t="s">
        <v>1878</v>
      </c>
      <c r="K205" s="172"/>
      <c r="M205" s="9" t="s">
        <v>1879</v>
      </c>
      <c r="N205" s="9" t="s">
        <v>1880</v>
      </c>
      <c r="O205" s="9">
        <v>50</v>
      </c>
      <c r="T205" s="9" t="s">
        <v>1878</v>
      </c>
    </row>
    <row r="206" spans="1:20" ht="24" customHeight="1">
      <c r="A206" s="205" t="s">
        <v>184</v>
      </c>
      <c r="B206" s="206" t="s">
        <v>1875</v>
      </c>
      <c r="C206" s="172" t="s">
        <v>1881</v>
      </c>
      <c r="D206" s="172" t="s">
        <v>1882</v>
      </c>
      <c r="E206" s="172">
        <v>50</v>
      </c>
      <c r="F206" s="172"/>
      <c r="G206" s="172"/>
      <c r="H206" s="172"/>
      <c r="I206" s="172"/>
      <c r="J206" s="172" t="s">
        <v>1878</v>
      </c>
      <c r="K206" s="172"/>
      <c r="M206" s="9" t="s">
        <v>1881</v>
      </c>
      <c r="N206" s="9" t="s">
        <v>1882</v>
      </c>
      <c r="O206" s="9">
        <v>50</v>
      </c>
      <c r="T206" s="9" t="s">
        <v>1878</v>
      </c>
    </row>
    <row r="207" spans="1:20" ht="24" customHeight="1">
      <c r="A207" s="205" t="s">
        <v>184</v>
      </c>
      <c r="B207" s="206" t="s">
        <v>1875</v>
      </c>
      <c r="C207" s="172" t="s">
        <v>1883</v>
      </c>
      <c r="D207" s="172" t="s">
        <v>1884</v>
      </c>
      <c r="E207" s="172">
        <v>50</v>
      </c>
      <c r="F207" s="172"/>
      <c r="G207" s="172"/>
      <c r="H207" s="172"/>
      <c r="I207" s="172"/>
      <c r="J207" s="172" t="s">
        <v>1878</v>
      </c>
      <c r="K207" s="172"/>
      <c r="M207" s="9" t="s">
        <v>1883</v>
      </c>
      <c r="N207" s="9" t="s">
        <v>1884</v>
      </c>
      <c r="O207" s="9">
        <v>50</v>
      </c>
      <c r="T207" s="9" t="s">
        <v>1878</v>
      </c>
    </row>
    <row r="208" spans="1:20" ht="24" customHeight="1">
      <c r="A208" s="205" t="s">
        <v>184</v>
      </c>
      <c r="B208" s="206" t="s">
        <v>1875</v>
      </c>
      <c r="C208" s="172" t="s">
        <v>1885</v>
      </c>
      <c r="D208" s="172" t="s">
        <v>1886</v>
      </c>
      <c r="E208" s="172">
        <v>50</v>
      </c>
      <c r="F208" s="172"/>
      <c r="G208" s="172"/>
      <c r="H208" s="172"/>
      <c r="I208" s="172"/>
      <c r="J208" s="172" t="s">
        <v>1878</v>
      </c>
      <c r="K208" s="172"/>
      <c r="M208" s="9" t="s">
        <v>1885</v>
      </c>
      <c r="N208" s="9" t="s">
        <v>1886</v>
      </c>
      <c r="O208" s="9">
        <v>50</v>
      </c>
      <c r="T208" s="9" t="s">
        <v>1878</v>
      </c>
    </row>
    <row r="209" spans="1:20" ht="24" customHeight="1">
      <c r="A209" s="205" t="s">
        <v>184</v>
      </c>
      <c r="B209" s="206" t="s">
        <v>1875</v>
      </c>
      <c r="C209" s="172" t="s">
        <v>1887</v>
      </c>
      <c r="D209" s="172" t="s">
        <v>1888</v>
      </c>
      <c r="E209" s="172">
        <v>40</v>
      </c>
      <c r="F209" s="172"/>
      <c r="G209" s="172"/>
      <c r="H209" s="172"/>
      <c r="I209" s="172"/>
      <c r="J209" s="172" t="s">
        <v>1889</v>
      </c>
      <c r="K209" s="172"/>
      <c r="M209" s="9" t="s">
        <v>1887</v>
      </c>
      <c r="N209" s="9" t="s">
        <v>1888</v>
      </c>
      <c r="O209" s="9">
        <v>40</v>
      </c>
      <c r="T209" s="9" t="s">
        <v>1889</v>
      </c>
    </row>
    <row r="210" spans="1:20" ht="24" customHeight="1">
      <c r="A210" s="205" t="s">
        <v>184</v>
      </c>
      <c r="B210" s="206" t="s">
        <v>1875</v>
      </c>
      <c r="C210" s="172" t="s">
        <v>1890</v>
      </c>
      <c r="D210" s="172" t="s">
        <v>1891</v>
      </c>
      <c r="E210" s="172">
        <v>40</v>
      </c>
      <c r="F210" s="172"/>
      <c r="G210" s="172"/>
      <c r="H210" s="172"/>
      <c r="I210" s="172"/>
      <c r="J210" s="172" t="s">
        <v>1889</v>
      </c>
      <c r="K210" s="172"/>
      <c r="M210" s="9" t="s">
        <v>1890</v>
      </c>
      <c r="N210" s="9" t="s">
        <v>1891</v>
      </c>
      <c r="O210" s="9">
        <v>40</v>
      </c>
      <c r="T210" s="9" t="s">
        <v>1889</v>
      </c>
    </row>
    <row r="211" spans="1:20" ht="24" customHeight="1">
      <c r="A211" s="205" t="s">
        <v>184</v>
      </c>
      <c r="B211" s="206" t="s">
        <v>1875</v>
      </c>
      <c r="C211" s="172" t="s">
        <v>1892</v>
      </c>
      <c r="D211" s="172" t="s">
        <v>1893</v>
      </c>
      <c r="E211" s="172">
        <v>40</v>
      </c>
      <c r="F211" s="172"/>
      <c r="G211" s="172"/>
      <c r="H211" s="172"/>
      <c r="I211" s="172"/>
      <c r="J211" s="172" t="s">
        <v>1889</v>
      </c>
      <c r="K211" s="172"/>
      <c r="M211" s="9" t="s">
        <v>1892</v>
      </c>
      <c r="N211" s="9" t="s">
        <v>1893</v>
      </c>
      <c r="O211" s="9">
        <v>40</v>
      </c>
      <c r="T211" s="9" t="s">
        <v>1889</v>
      </c>
    </row>
    <row r="212" spans="1:20" ht="24" customHeight="1">
      <c r="A212" s="205" t="s">
        <v>184</v>
      </c>
      <c r="B212" s="206" t="s">
        <v>1875</v>
      </c>
      <c r="C212" s="172" t="s">
        <v>1894</v>
      </c>
      <c r="D212" s="172" t="s">
        <v>1895</v>
      </c>
      <c r="E212" s="172">
        <v>40</v>
      </c>
      <c r="F212" s="172"/>
      <c r="G212" s="172"/>
      <c r="H212" s="172"/>
      <c r="I212" s="172"/>
      <c r="J212" s="172" t="s">
        <v>1889</v>
      </c>
      <c r="K212" s="172"/>
      <c r="M212" s="9" t="s">
        <v>1894</v>
      </c>
      <c r="N212" s="9" t="s">
        <v>1895</v>
      </c>
      <c r="O212" s="9">
        <v>40</v>
      </c>
      <c r="T212" s="9" t="s">
        <v>1889</v>
      </c>
    </row>
    <row r="213" spans="1:20" ht="24" customHeight="1">
      <c r="A213" s="205" t="s">
        <v>184</v>
      </c>
      <c r="B213" s="206" t="s">
        <v>1875</v>
      </c>
      <c r="C213" s="172" t="s">
        <v>1896</v>
      </c>
      <c r="D213" s="172" t="s">
        <v>1897</v>
      </c>
      <c r="E213" s="172">
        <v>40</v>
      </c>
      <c r="F213" s="172"/>
      <c r="G213" s="172"/>
      <c r="H213" s="172"/>
      <c r="I213" s="172"/>
      <c r="J213" s="172" t="s">
        <v>1889</v>
      </c>
      <c r="K213" s="172"/>
      <c r="M213" s="9" t="s">
        <v>1896</v>
      </c>
      <c r="N213" s="9" t="s">
        <v>1897</v>
      </c>
      <c r="O213" s="9">
        <v>40</v>
      </c>
      <c r="T213" s="9" t="s">
        <v>1889</v>
      </c>
    </row>
    <row r="214" spans="1:20" ht="24" customHeight="1">
      <c r="A214" s="205" t="s">
        <v>184</v>
      </c>
      <c r="B214" s="206" t="s">
        <v>1875</v>
      </c>
      <c r="C214" s="172" t="s">
        <v>1898</v>
      </c>
      <c r="D214" s="172" t="s">
        <v>1899</v>
      </c>
      <c r="E214" s="172">
        <v>30</v>
      </c>
      <c r="F214" s="172"/>
      <c r="G214" s="172"/>
      <c r="H214" s="172"/>
      <c r="I214" s="172"/>
      <c r="J214" s="172" t="s">
        <v>1900</v>
      </c>
      <c r="K214" s="172"/>
      <c r="M214" s="9" t="s">
        <v>1898</v>
      </c>
      <c r="N214" s="9" t="s">
        <v>1899</v>
      </c>
      <c r="O214" s="9">
        <v>30</v>
      </c>
      <c r="T214" s="9" t="s">
        <v>1900</v>
      </c>
    </row>
    <row r="215" spans="1:20" ht="24" customHeight="1">
      <c r="A215" s="205" t="s">
        <v>184</v>
      </c>
      <c r="B215" s="206" t="s">
        <v>1875</v>
      </c>
      <c r="C215" s="172" t="s">
        <v>1901</v>
      </c>
      <c r="D215" s="172" t="s">
        <v>1902</v>
      </c>
      <c r="E215" s="172">
        <v>30</v>
      </c>
      <c r="F215" s="172"/>
      <c r="G215" s="172"/>
      <c r="H215" s="172"/>
      <c r="I215" s="172"/>
      <c r="J215" s="172" t="s">
        <v>1900</v>
      </c>
      <c r="K215" s="172"/>
      <c r="M215" s="9" t="s">
        <v>1901</v>
      </c>
      <c r="N215" s="9" t="s">
        <v>1902</v>
      </c>
      <c r="O215" s="9">
        <v>30</v>
      </c>
      <c r="T215" s="9" t="s">
        <v>1900</v>
      </c>
    </row>
    <row r="216" spans="1:20" ht="24" customHeight="1">
      <c r="A216" s="205" t="s">
        <v>184</v>
      </c>
      <c r="B216" s="206" t="s">
        <v>1875</v>
      </c>
      <c r="C216" s="172" t="s">
        <v>1903</v>
      </c>
      <c r="D216" s="172" t="s">
        <v>1904</v>
      </c>
      <c r="E216" s="172">
        <v>30</v>
      </c>
      <c r="F216" s="172"/>
      <c r="G216" s="172"/>
      <c r="H216" s="172"/>
      <c r="I216" s="172"/>
      <c r="J216" s="172" t="s">
        <v>1900</v>
      </c>
      <c r="K216" s="172"/>
      <c r="M216" s="9" t="s">
        <v>1903</v>
      </c>
      <c r="N216" s="9" t="s">
        <v>1904</v>
      </c>
      <c r="O216" s="9">
        <v>30</v>
      </c>
      <c r="T216" s="9" t="s">
        <v>1900</v>
      </c>
    </row>
    <row r="217" spans="1:20" ht="24" customHeight="1">
      <c r="A217" s="205" t="s">
        <v>184</v>
      </c>
      <c r="B217" s="206" t="s">
        <v>1875</v>
      </c>
      <c r="C217" s="172" t="s">
        <v>1905</v>
      </c>
      <c r="D217" s="172" t="s">
        <v>1906</v>
      </c>
      <c r="E217" s="172">
        <v>30</v>
      </c>
      <c r="F217" s="172"/>
      <c r="G217" s="172"/>
      <c r="H217" s="172"/>
      <c r="I217" s="172"/>
      <c r="J217" s="172" t="s">
        <v>1900</v>
      </c>
      <c r="K217" s="172"/>
      <c r="M217" s="9" t="s">
        <v>1905</v>
      </c>
      <c r="N217" s="9" t="s">
        <v>1906</v>
      </c>
      <c r="O217" s="9">
        <v>30</v>
      </c>
      <c r="T217" s="9" t="s">
        <v>1900</v>
      </c>
    </row>
    <row r="218" spans="1:20" ht="24" customHeight="1">
      <c r="A218" s="205" t="s">
        <v>184</v>
      </c>
      <c r="B218" s="206" t="s">
        <v>1875</v>
      </c>
      <c r="C218" s="172" t="s">
        <v>1907</v>
      </c>
      <c r="D218" s="172" t="s">
        <v>1908</v>
      </c>
      <c r="E218" s="172">
        <v>30</v>
      </c>
      <c r="F218" s="172"/>
      <c r="G218" s="172"/>
      <c r="H218" s="172"/>
      <c r="I218" s="172"/>
      <c r="J218" s="172" t="s">
        <v>1900</v>
      </c>
      <c r="K218" s="172"/>
      <c r="M218" s="9" t="s">
        <v>1907</v>
      </c>
      <c r="N218" s="9" t="s">
        <v>1908</v>
      </c>
      <c r="O218" s="9">
        <v>30</v>
      </c>
      <c r="T218" s="9" t="s">
        <v>1900</v>
      </c>
    </row>
    <row r="219" spans="1:20" ht="24" customHeight="1">
      <c r="A219" s="205" t="s">
        <v>184</v>
      </c>
      <c r="B219" s="206" t="s">
        <v>1875</v>
      </c>
      <c r="C219" s="172" t="s">
        <v>1909</v>
      </c>
      <c r="D219" s="172" t="s">
        <v>1910</v>
      </c>
      <c r="E219" s="172">
        <v>20</v>
      </c>
      <c r="F219" s="172"/>
      <c r="G219" s="172"/>
      <c r="H219" s="172"/>
      <c r="I219" s="172"/>
      <c r="J219" s="172" t="s">
        <v>161</v>
      </c>
      <c r="K219" s="172"/>
      <c r="M219" s="9" t="s">
        <v>1909</v>
      </c>
      <c r="N219" s="9" t="s">
        <v>1910</v>
      </c>
      <c r="O219" s="9">
        <v>20</v>
      </c>
      <c r="T219" s="9" t="s">
        <v>161</v>
      </c>
    </row>
    <row r="220" spans="1:20" ht="24" customHeight="1">
      <c r="A220" s="205" t="s">
        <v>184</v>
      </c>
      <c r="B220" s="206" t="s">
        <v>1875</v>
      </c>
      <c r="C220" s="172" t="s">
        <v>1911</v>
      </c>
      <c r="D220" s="172" t="s">
        <v>1912</v>
      </c>
      <c r="E220" s="172">
        <v>20</v>
      </c>
      <c r="F220" s="172"/>
      <c r="G220" s="172"/>
      <c r="H220" s="172"/>
      <c r="I220" s="172"/>
      <c r="J220" s="172" t="s">
        <v>161</v>
      </c>
      <c r="K220" s="172"/>
      <c r="M220" s="9" t="s">
        <v>1911</v>
      </c>
      <c r="N220" s="9" t="s">
        <v>1912</v>
      </c>
      <c r="O220" s="9">
        <v>20</v>
      </c>
      <c r="T220" s="9" t="s">
        <v>161</v>
      </c>
    </row>
    <row r="221" spans="1:20" ht="24" customHeight="1">
      <c r="A221" s="205" t="s">
        <v>184</v>
      </c>
      <c r="B221" s="206" t="s">
        <v>1875</v>
      </c>
      <c r="C221" s="172" t="s">
        <v>1913</v>
      </c>
      <c r="D221" s="172" t="s">
        <v>1914</v>
      </c>
      <c r="E221" s="172">
        <v>20</v>
      </c>
      <c r="F221" s="172"/>
      <c r="G221" s="172"/>
      <c r="H221" s="172"/>
      <c r="I221" s="172"/>
      <c r="J221" s="172" t="s">
        <v>161</v>
      </c>
      <c r="K221" s="172"/>
      <c r="M221" s="9" t="s">
        <v>1913</v>
      </c>
      <c r="N221" s="9" t="s">
        <v>1914</v>
      </c>
      <c r="O221" s="9">
        <v>20</v>
      </c>
      <c r="T221" s="9" t="s">
        <v>161</v>
      </c>
    </row>
    <row r="222" spans="1:20" ht="24" customHeight="1">
      <c r="A222" s="205" t="s">
        <v>184</v>
      </c>
      <c r="B222" s="206" t="s">
        <v>1875</v>
      </c>
      <c r="C222" s="172" t="s">
        <v>1915</v>
      </c>
      <c r="D222" s="172" t="s">
        <v>1916</v>
      </c>
      <c r="E222" s="172">
        <v>20</v>
      </c>
      <c r="F222" s="172"/>
      <c r="G222" s="172"/>
      <c r="H222" s="172"/>
      <c r="I222" s="172"/>
      <c r="J222" s="172" t="s">
        <v>161</v>
      </c>
      <c r="K222" s="172"/>
      <c r="M222" s="9" t="s">
        <v>1915</v>
      </c>
      <c r="N222" s="9" t="s">
        <v>1916</v>
      </c>
      <c r="O222" s="9">
        <v>20</v>
      </c>
      <c r="T222" s="9" t="s">
        <v>161</v>
      </c>
    </row>
    <row r="223" spans="1:20" ht="24" customHeight="1">
      <c r="A223" s="205" t="s">
        <v>184</v>
      </c>
      <c r="B223" s="206" t="s">
        <v>1875</v>
      </c>
      <c r="C223" s="172" t="s">
        <v>1917</v>
      </c>
      <c r="D223" s="172" t="s">
        <v>1918</v>
      </c>
      <c r="E223" s="172">
        <v>20</v>
      </c>
      <c r="F223" s="172"/>
      <c r="G223" s="172"/>
      <c r="H223" s="172"/>
      <c r="I223" s="172"/>
      <c r="J223" s="172" t="s">
        <v>161</v>
      </c>
      <c r="K223" s="172"/>
      <c r="M223" s="9" t="s">
        <v>1917</v>
      </c>
      <c r="N223" s="9" t="s">
        <v>1918</v>
      </c>
      <c r="O223" s="9">
        <v>20</v>
      </c>
      <c r="T223" s="9" t="s">
        <v>161</v>
      </c>
    </row>
    <row r="224" spans="1:20" ht="24" customHeight="1">
      <c r="A224" s="205" t="s">
        <v>184</v>
      </c>
      <c r="B224" s="206" t="s">
        <v>1875</v>
      </c>
      <c r="C224" s="172" t="s">
        <v>1919</v>
      </c>
      <c r="D224" s="172" t="s">
        <v>1920</v>
      </c>
      <c r="E224" s="172">
        <v>5</v>
      </c>
      <c r="F224" s="172"/>
      <c r="G224" s="172"/>
      <c r="H224" s="172"/>
      <c r="I224" s="172"/>
      <c r="J224" s="172" t="s">
        <v>1921</v>
      </c>
      <c r="K224" s="172"/>
      <c r="M224" s="9" t="s">
        <v>1919</v>
      </c>
      <c r="N224" s="9" t="s">
        <v>1920</v>
      </c>
      <c r="O224" s="9">
        <v>5</v>
      </c>
      <c r="T224" s="9" t="s">
        <v>1921</v>
      </c>
    </row>
    <row r="225" spans="1:20" ht="24" customHeight="1">
      <c r="A225" s="205" t="s">
        <v>184</v>
      </c>
      <c r="B225" s="206" t="s">
        <v>1875</v>
      </c>
      <c r="C225" s="172" t="s">
        <v>1922</v>
      </c>
      <c r="D225" s="172" t="s">
        <v>1923</v>
      </c>
      <c r="E225" s="172">
        <v>5</v>
      </c>
      <c r="F225" s="172"/>
      <c r="G225" s="172"/>
      <c r="H225" s="172"/>
      <c r="I225" s="172"/>
      <c r="J225" s="172" t="s">
        <v>1921</v>
      </c>
      <c r="K225" s="172"/>
      <c r="M225" s="9" t="s">
        <v>1922</v>
      </c>
      <c r="N225" s="9" t="s">
        <v>1923</v>
      </c>
      <c r="O225" s="9">
        <v>5</v>
      </c>
      <c r="T225" s="9" t="s">
        <v>1921</v>
      </c>
    </row>
    <row r="226" spans="1:20" ht="24" customHeight="1">
      <c r="A226" s="205" t="s">
        <v>184</v>
      </c>
      <c r="B226" s="206" t="s">
        <v>1875</v>
      </c>
      <c r="C226" s="172" t="s">
        <v>1924</v>
      </c>
      <c r="D226" s="172" t="s">
        <v>1925</v>
      </c>
      <c r="E226" s="172">
        <v>5</v>
      </c>
      <c r="F226" s="172"/>
      <c r="G226" s="172"/>
      <c r="H226" s="172"/>
      <c r="I226" s="172"/>
      <c r="J226" s="172" t="s">
        <v>1921</v>
      </c>
      <c r="K226" s="172"/>
      <c r="M226" s="9" t="s">
        <v>1924</v>
      </c>
      <c r="N226" s="9" t="s">
        <v>1925</v>
      </c>
      <c r="O226" s="9">
        <v>5</v>
      </c>
      <c r="T226" s="9" t="s">
        <v>1921</v>
      </c>
    </row>
    <row r="227" spans="1:20" ht="24" customHeight="1">
      <c r="A227" s="205" t="s">
        <v>184</v>
      </c>
      <c r="B227" s="206" t="s">
        <v>1875</v>
      </c>
      <c r="C227" s="172" t="s">
        <v>1926</v>
      </c>
      <c r="D227" s="172" t="s">
        <v>1927</v>
      </c>
      <c r="E227" s="172">
        <v>5</v>
      </c>
      <c r="F227" s="172"/>
      <c r="G227" s="172"/>
      <c r="H227" s="172"/>
      <c r="I227" s="172"/>
      <c r="J227" s="172" t="s">
        <v>1921</v>
      </c>
      <c r="K227" s="172"/>
      <c r="M227" s="9" t="s">
        <v>1926</v>
      </c>
      <c r="N227" s="9" t="s">
        <v>1927</v>
      </c>
      <c r="O227" s="9">
        <v>5</v>
      </c>
      <c r="T227" s="9" t="s">
        <v>1921</v>
      </c>
    </row>
    <row r="228" spans="1:20" ht="24" customHeight="1">
      <c r="A228" s="205" t="s">
        <v>184</v>
      </c>
      <c r="B228" s="206" t="s">
        <v>1875</v>
      </c>
      <c r="C228" s="172" t="s">
        <v>1928</v>
      </c>
      <c r="D228" s="172" t="s">
        <v>1929</v>
      </c>
      <c r="E228" s="172">
        <v>5</v>
      </c>
      <c r="F228" s="172"/>
      <c r="G228" s="172"/>
      <c r="H228" s="172"/>
      <c r="I228" s="172"/>
      <c r="J228" s="172" t="s">
        <v>1921</v>
      </c>
      <c r="K228" s="172"/>
      <c r="M228" s="9" t="s">
        <v>1928</v>
      </c>
      <c r="N228" s="9" t="s">
        <v>1929</v>
      </c>
      <c r="O228" s="9">
        <v>5</v>
      </c>
      <c r="T228" s="9" t="s">
        <v>1921</v>
      </c>
    </row>
    <row r="229" spans="1:20" ht="24" customHeight="1">
      <c r="A229" s="205" t="s">
        <v>184</v>
      </c>
      <c r="B229" s="206" t="s">
        <v>1875</v>
      </c>
      <c r="C229" s="172" t="s">
        <v>1930</v>
      </c>
      <c r="D229" s="172" t="s">
        <v>1931</v>
      </c>
      <c r="E229" s="172">
        <v>5</v>
      </c>
      <c r="F229" s="172"/>
      <c r="G229" s="172"/>
      <c r="H229" s="172"/>
      <c r="I229" s="172"/>
      <c r="J229" s="172" t="s">
        <v>1921</v>
      </c>
      <c r="K229" s="172"/>
      <c r="M229" s="9" t="s">
        <v>1930</v>
      </c>
      <c r="N229" s="9" t="s">
        <v>1931</v>
      </c>
      <c r="O229" s="9">
        <v>5</v>
      </c>
      <c r="T229" s="9" t="s">
        <v>1921</v>
      </c>
    </row>
    <row r="230" spans="1:20" ht="24" customHeight="1">
      <c r="A230" s="205" t="s">
        <v>184</v>
      </c>
      <c r="B230" s="206" t="s">
        <v>1875</v>
      </c>
      <c r="C230" s="172" t="s">
        <v>1932</v>
      </c>
      <c r="D230" s="172" t="s">
        <v>1933</v>
      </c>
      <c r="E230" s="172">
        <v>5</v>
      </c>
      <c r="F230" s="172"/>
      <c r="G230" s="172"/>
      <c r="H230" s="172"/>
      <c r="I230" s="172"/>
      <c r="J230" s="172" t="s">
        <v>1921</v>
      </c>
      <c r="K230" s="172"/>
      <c r="M230" s="9" t="s">
        <v>1932</v>
      </c>
      <c r="N230" s="9" t="s">
        <v>1933</v>
      </c>
      <c r="O230" s="9">
        <v>5</v>
      </c>
      <c r="T230" s="9" t="s">
        <v>1921</v>
      </c>
    </row>
    <row r="231" spans="1:20" ht="24" customHeight="1">
      <c r="A231" s="205" t="s">
        <v>184</v>
      </c>
      <c r="B231" s="206" t="s">
        <v>1875</v>
      </c>
      <c r="C231" s="172" t="s">
        <v>1934</v>
      </c>
      <c r="D231" s="172" t="s">
        <v>1935</v>
      </c>
      <c r="E231" s="172">
        <v>5</v>
      </c>
      <c r="F231" s="172"/>
      <c r="G231" s="172"/>
      <c r="H231" s="172"/>
      <c r="I231" s="172"/>
      <c r="J231" s="172" t="s">
        <v>1921</v>
      </c>
      <c r="K231" s="172"/>
      <c r="M231" s="9" t="s">
        <v>1934</v>
      </c>
      <c r="N231" s="9" t="s">
        <v>1935</v>
      </c>
      <c r="O231" s="9">
        <v>5</v>
      </c>
      <c r="T231" s="9" t="s">
        <v>1921</v>
      </c>
    </row>
    <row r="232" spans="1:20" ht="24" customHeight="1">
      <c r="A232" s="205" t="s">
        <v>184</v>
      </c>
      <c r="B232" s="206" t="s">
        <v>1875</v>
      </c>
      <c r="C232" s="172" t="s">
        <v>1936</v>
      </c>
      <c r="D232" s="172" t="s">
        <v>1937</v>
      </c>
      <c r="E232" s="172">
        <v>5</v>
      </c>
      <c r="F232" s="172"/>
      <c r="G232" s="172"/>
      <c r="H232" s="172"/>
      <c r="I232" s="172"/>
      <c r="J232" s="172" t="s">
        <v>1921</v>
      </c>
      <c r="K232" s="172"/>
      <c r="M232" s="9" t="s">
        <v>1936</v>
      </c>
      <c r="N232" s="9" t="s">
        <v>1937</v>
      </c>
      <c r="O232" s="9">
        <v>5</v>
      </c>
      <c r="T232" s="9" t="s">
        <v>1921</v>
      </c>
    </row>
    <row r="233" spans="1:20" ht="24" customHeight="1">
      <c r="A233" s="205" t="s">
        <v>184</v>
      </c>
      <c r="B233" s="206" t="s">
        <v>1875</v>
      </c>
      <c r="C233" s="172" t="s">
        <v>1938</v>
      </c>
      <c r="D233" s="172" t="s">
        <v>1939</v>
      </c>
      <c r="E233" s="172">
        <v>5</v>
      </c>
      <c r="F233" s="172"/>
      <c r="G233" s="172"/>
      <c r="H233" s="172"/>
      <c r="I233" s="172"/>
      <c r="J233" s="172" t="s">
        <v>1921</v>
      </c>
      <c r="K233" s="172"/>
      <c r="M233" s="9" t="s">
        <v>1938</v>
      </c>
      <c r="N233" s="9" t="s">
        <v>1939</v>
      </c>
      <c r="O233" s="9">
        <v>5</v>
      </c>
      <c r="T233" s="9" t="s">
        <v>1921</v>
      </c>
    </row>
    <row r="234" spans="1:20" ht="24" customHeight="1">
      <c r="A234" s="205" t="s">
        <v>1940</v>
      </c>
      <c r="B234" s="206" t="s">
        <v>1941</v>
      </c>
      <c r="C234" s="172" t="s">
        <v>1942</v>
      </c>
      <c r="D234" s="172" t="s">
        <v>1943</v>
      </c>
      <c r="E234" s="172">
        <v>50</v>
      </c>
      <c r="F234" s="172"/>
      <c r="G234" s="172"/>
      <c r="H234" s="172"/>
      <c r="I234" s="172"/>
      <c r="J234" s="172"/>
      <c r="K234" s="172"/>
      <c r="M234" s="9" t="s">
        <v>1942</v>
      </c>
      <c r="N234" s="9" t="s">
        <v>1943</v>
      </c>
      <c r="O234" s="9">
        <v>50</v>
      </c>
    </row>
    <row r="235" spans="1:20" ht="24" customHeight="1">
      <c r="A235" s="205" t="s">
        <v>1940</v>
      </c>
      <c r="B235" s="206" t="s">
        <v>1941</v>
      </c>
      <c r="C235" s="172" t="s">
        <v>1944</v>
      </c>
      <c r="D235" s="172" t="s">
        <v>1945</v>
      </c>
      <c r="E235" s="172">
        <v>50</v>
      </c>
      <c r="F235" s="172"/>
      <c r="G235" s="172"/>
      <c r="H235" s="172"/>
      <c r="I235" s="172"/>
      <c r="J235" s="172"/>
      <c r="K235" s="172"/>
      <c r="M235" s="9" t="s">
        <v>1944</v>
      </c>
      <c r="N235" s="9" t="s">
        <v>1945</v>
      </c>
      <c r="O235" s="9">
        <v>50</v>
      </c>
    </row>
    <row r="236" spans="1:20" ht="24" customHeight="1">
      <c r="A236" s="205" t="s">
        <v>1940</v>
      </c>
      <c r="B236" s="206" t="s">
        <v>1941</v>
      </c>
      <c r="C236" s="172" t="s">
        <v>1946</v>
      </c>
      <c r="D236" s="172" t="s">
        <v>1947</v>
      </c>
      <c r="E236" s="172">
        <v>50</v>
      </c>
      <c r="F236" s="172"/>
      <c r="G236" s="172"/>
      <c r="H236" s="172"/>
      <c r="I236" s="172"/>
      <c r="J236" s="172"/>
      <c r="K236" s="172"/>
      <c r="M236" s="9" t="s">
        <v>1946</v>
      </c>
      <c r="N236" s="9" t="s">
        <v>1947</v>
      </c>
      <c r="O236" s="9">
        <v>50</v>
      </c>
    </row>
    <row r="237" spans="1:20" ht="24" customHeight="1">
      <c r="A237" s="205" t="s">
        <v>1940</v>
      </c>
      <c r="B237" s="206" t="s">
        <v>1941</v>
      </c>
      <c r="C237" s="172" t="s">
        <v>1948</v>
      </c>
      <c r="D237" s="172" t="s">
        <v>1949</v>
      </c>
      <c r="E237" s="172">
        <v>50</v>
      </c>
      <c r="F237" s="172"/>
      <c r="G237" s="172"/>
      <c r="H237" s="172"/>
      <c r="I237" s="172"/>
      <c r="J237" s="172"/>
      <c r="K237" s="172"/>
      <c r="M237" s="9" t="s">
        <v>1948</v>
      </c>
      <c r="N237" s="9" t="s">
        <v>1949</v>
      </c>
      <c r="O237" s="9">
        <v>50</v>
      </c>
    </row>
    <row r="238" spans="1:20" ht="24" customHeight="1">
      <c r="A238" s="205" t="s">
        <v>1940</v>
      </c>
      <c r="B238" s="206" t="s">
        <v>1941</v>
      </c>
      <c r="C238" s="172" t="s">
        <v>1950</v>
      </c>
      <c r="D238" s="172" t="s">
        <v>1951</v>
      </c>
      <c r="E238" s="172">
        <v>50</v>
      </c>
      <c r="F238" s="172"/>
      <c r="G238" s="172"/>
      <c r="H238" s="172"/>
      <c r="I238" s="172"/>
      <c r="J238" s="172"/>
      <c r="K238" s="172"/>
      <c r="M238" s="9" t="s">
        <v>1950</v>
      </c>
      <c r="N238" s="9" t="s">
        <v>1951</v>
      </c>
      <c r="O238" s="9">
        <v>50</v>
      </c>
    </row>
    <row r="239" spans="1:20" ht="24" customHeight="1">
      <c r="A239" s="205" t="s">
        <v>1940</v>
      </c>
      <c r="B239" s="206" t="s">
        <v>1941</v>
      </c>
      <c r="C239" s="172" t="s">
        <v>1952</v>
      </c>
      <c r="D239" s="172" t="s">
        <v>1953</v>
      </c>
      <c r="E239" s="172">
        <v>40</v>
      </c>
      <c r="F239" s="172"/>
      <c r="G239" s="172"/>
      <c r="H239" s="172"/>
      <c r="I239" s="172"/>
      <c r="J239" s="172"/>
      <c r="K239" s="172"/>
      <c r="M239" s="9" t="s">
        <v>1952</v>
      </c>
      <c r="N239" s="9" t="s">
        <v>1953</v>
      </c>
      <c r="O239" s="9">
        <v>40</v>
      </c>
    </row>
    <row r="240" spans="1:20" ht="24" customHeight="1">
      <c r="A240" s="205" t="s">
        <v>1940</v>
      </c>
      <c r="B240" s="206" t="s">
        <v>1941</v>
      </c>
      <c r="C240" s="172" t="s">
        <v>1954</v>
      </c>
      <c r="D240" s="172" t="s">
        <v>1955</v>
      </c>
      <c r="E240" s="172">
        <v>40</v>
      </c>
      <c r="F240" s="172"/>
      <c r="G240" s="172"/>
      <c r="H240" s="172"/>
      <c r="I240" s="172"/>
      <c r="J240" s="172"/>
      <c r="K240" s="172"/>
      <c r="M240" s="9" t="s">
        <v>1954</v>
      </c>
      <c r="N240" s="9" t="s">
        <v>1955</v>
      </c>
      <c r="O240" s="9">
        <v>40</v>
      </c>
    </row>
    <row r="241" spans="1:15" ht="24" customHeight="1">
      <c r="A241" s="205" t="s">
        <v>1940</v>
      </c>
      <c r="B241" s="206" t="s">
        <v>1941</v>
      </c>
      <c r="C241" s="172" t="s">
        <v>1956</v>
      </c>
      <c r="D241" s="172" t="s">
        <v>1957</v>
      </c>
      <c r="E241" s="172">
        <v>40</v>
      </c>
      <c r="F241" s="172"/>
      <c r="G241" s="172"/>
      <c r="H241" s="172"/>
      <c r="I241" s="172"/>
      <c r="J241" s="172"/>
      <c r="K241" s="172"/>
      <c r="M241" s="9" t="s">
        <v>1956</v>
      </c>
      <c r="N241" s="9" t="s">
        <v>1957</v>
      </c>
      <c r="O241" s="9">
        <v>40</v>
      </c>
    </row>
    <row r="242" spans="1:15" ht="24" customHeight="1">
      <c r="A242" s="205" t="s">
        <v>1940</v>
      </c>
      <c r="B242" s="206" t="s">
        <v>1941</v>
      </c>
      <c r="C242" s="172" t="s">
        <v>1958</v>
      </c>
      <c r="D242" s="172" t="s">
        <v>1959</v>
      </c>
      <c r="E242" s="172">
        <v>40</v>
      </c>
      <c r="F242" s="172"/>
      <c r="G242" s="172"/>
      <c r="H242" s="172"/>
      <c r="I242" s="172"/>
      <c r="J242" s="172"/>
      <c r="K242" s="172"/>
      <c r="M242" s="9" t="s">
        <v>1958</v>
      </c>
      <c r="N242" s="9" t="s">
        <v>1959</v>
      </c>
      <c r="O242" s="9">
        <v>40</v>
      </c>
    </row>
    <row r="243" spans="1:15" ht="24" customHeight="1">
      <c r="A243" s="205" t="s">
        <v>1940</v>
      </c>
      <c r="B243" s="206" t="s">
        <v>1941</v>
      </c>
      <c r="C243" s="172" t="s">
        <v>1960</v>
      </c>
      <c r="D243" s="172" t="s">
        <v>1961</v>
      </c>
      <c r="E243" s="172">
        <v>40</v>
      </c>
      <c r="F243" s="172"/>
      <c r="G243" s="172"/>
      <c r="H243" s="172"/>
      <c r="I243" s="172"/>
      <c r="J243" s="172"/>
      <c r="K243" s="172"/>
      <c r="M243" s="9" t="s">
        <v>1960</v>
      </c>
      <c r="N243" s="9" t="s">
        <v>1961</v>
      </c>
      <c r="O243" s="9">
        <v>40</v>
      </c>
    </row>
    <row r="244" spans="1:15" ht="24" customHeight="1">
      <c r="A244" s="205" t="s">
        <v>1940</v>
      </c>
      <c r="B244" s="206" t="s">
        <v>1941</v>
      </c>
      <c r="C244" s="172" t="s">
        <v>1962</v>
      </c>
      <c r="D244" s="172" t="s">
        <v>1963</v>
      </c>
      <c r="E244" s="172">
        <v>30</v>
      </c>
      <c r="F244" s="172"/>
      <c r="G244" s="172"/>
      <c r="H244" s="172"/>
      <c r="I244" s="172"/>
      <c r="J244" s="172"/>
      <c r="K244" s="172"/>
      <c r="M244" s="9" t="s">
        <v>1962</v>
      </c>
      <c r="N244" s="9" t="s">
        <v>1963</v>
      </c>
      <c r="O244" s="9">
        <v>30</v>
      </c>
    </row>
    <row r="245" spans="1:15" ht="24" customHeight="1">
      <c r="A245" s="205" t="s">
        <v>1940</v>
      </c>
      <c r="B245" s="206" t="s">
        <v>1941</v>
      </c>
      <c r="C245" s="172" t="s">
        <v>1964</v>
      </c>
      <c r="D245" s="172" t="s">
        <v>1965</v>
      </c>
      <c r="E245" s="172">
        <v>30</v>
      </c>
      <c r="F245" s="172"/>
      <c r="G245" s="172"/>
      <c r="H245" s="172"/>
      <c r="I245" s="172"/>
      <c r="J245" s="172"/>
      <c r="K245" s="172"/>
      <c r="M245" s="9" t="s">
        <v>1964</v>
      </c>
      <c r="N245" s="9" t="s">
        <v>1965</v>
      </c>
      <c r="O245" s="9">
        <v>30</v>
      </c>
    </row>
    <row r="246" spans="1:15" ht="24" customHeight="1">
      <c r="A246" s="205" t="s">
        <v>1940</v>
      </c>
      <c r="B246" s="206" t="s">
        <v>1941</v>
      </c>
      <c r="C246" s="172" t="s">
        <v>1966</v>
      </c>
      <c r="D246" s="172" t="s">
        <v>1967</v>
      </c>
      <c r="E246" s="172">
        <v>30</v>
      </c>
      <c r="F246" s="172"/>
      <c r="G246" s="172"/>
      <c r="H246" s="172"/>
      <c r="I246" s="172"/>
      <c r="J246" s="172"/>
      <c r="K246" s="172"/>
      <c r="M246" s="9" t="s">
        <v>1966</v>
      </c>
      <c r="N246" s="9" t="s">
        <v>1967</v>
      </c>
      <c r="O246" s="9">
        <v>30</v>
      </c>
    </row>
    <row r="247" spans="1:15" ht="24" customHeight="1">
      <c r="A247" s="205" t="s">
        <v>1940</v>
      </c>
      <c r="B247" s="206" t="s">
        <v>1941</v>
      </c>
      <c r="C247" s="172" t="s">
        <v>1968</v>
      </c>
      <c r="D247" s="172" t="s">
        <v>1969</v>
      </c>
      <c r="E247" s="172">
        <v>30</v>
      </c>
      <c r="F247" s="172"/>
      <c r="G247" s="172"/>
      <c r="H247" s="172"/>
      <c r="I247" s="172"/>
      <c r="J247" s="172"/>
      <c r="K247" s="172"/>
      <c r="M247" s="9" t="s">
        <v>1968</v>
      </c>
      <c r="N247" s="9" t="s">
        <v>1969</v>
      </c>
      <c r="O247" s="9">
        <v>30</v>
      </c>
    </row>
    <row r="248" spans="1:15" ht="24" customHeight="1">
      <c r="A248" s="205" t="s">
        <v>1940</v>
      </c>
      <c r="B248" s="206" t="s">
        <v>1941</v>
      </c>
      <c r="C248" s="172" t="s">
        <v>1970</v>
      </c>
      <c r="D248" s="172" t="s">
        <v>1971</v>
      </c>
      <c r="E248" s="172">
        <v>30</v>
      </c>
      <c r="F248" s="172"/>
      <c r="G248" s="172"/>
      <c r="H248" s="172"/>
      <c r="I248" s="172"/>
      <c r="J248" s="172"/>
      <c r="K248" s="172"/>
      <c r="M248" s="9" t="s">
        <v>1970</v>
      </c>
      <c r="N248" s="9" t="s">
        <v>1971</v>
      </c>
      <c r="O248" s="9">
        <v>30</v>
      </c>
    </row>
    <row r="249" spans="1:15" ht="24" customHeight="1">
      <c r="A249" s="205" t="s">
        <v>1940</v>
      </c>
      <c r="B249" s="206" t="s">
        <v>1941</v>
      </c>
      <c r="C249" s="172" t="s">
        <v>1972</v>
      </c>
      <c r="D249" s="172" t="s">
        <v>1973</v>
      </c>
      <c r="E249" s="172">
        <v>20</v>
      </c>
      <c r="F249" s="172"/>
      <c r="G249" s="172"/>
      <c r="H249" s="172"/>
      <c r="I249" s="172"/>
      <c r="J249" s="172"/>
      <c r="K249" s="172"/>
      <c r="M249" s="9" t="s">
        <v>1972</v>
      </c>
      <c r="N249" s="9" t="s">
        <v>1973</v>
      </c>
      <c r="O249" s="9">
        <v>20</v>
      </c>
    </row>
    <row r="250" spans="1:15" ht="24" customHeight="1">
      <c r="A250" s="205" t="s">
        <v>1940</v>
      </c>
      <c r="B250" s="206" t="s">
        <v>1941</v>
      </c>
      <c r="C250" s="172" t="s">
        <v>1974</v>
      </c>
      <c r="D250" s="172" t="s">
        <v>1975</v>
      </c>
      <c r="E250" s="172">
        <v>20</v>
      </c>
      <c r="F250" s="172"/>
      <c r="G250" s="172"/>
      <c r="H250" s="172"/>
      <c r="I250" s="172"/>
      <c r="J250" s="172"/>
      <c r="K250" s="172"/>
      <c r="M250" s="9" t="s">
        <v>1974</v>
      </c>
      <c r="N250" s="9" t="s">
        <v>1975</v>
      </c>
      <c r="O250" s="9">
        <v>20</v>
      </c>
    </row>
    <row r="251" spans="1:15" ht="24" customHeight="1">
      <c r="A251" s="205" t="s">
        <v>1940</v>
      </c>
      <c r="B251" s="206" t="s">
        <v>1941</v>
      </c>
      <c r="C251" s="172" t="s">
        <v>1976</v>
      </c>
      <c r="D251" s="172" t="s">
        <v>1977</v>
      </c>
      <c r="E251" s="172">
        <v>20</v>
      </c>
      <c r="F251" s="172"/>
      <c r="G251" s="172"/>
      <c r="H251" s="172"/>
      <c r="I251" s="172"/>
      <c r="J251" s="172"/>
      <c r="K251" s="172"/>
      <c r="M251" s="9" t="s">
        <v>1976</v>
      </c>
      <c r="N251" s="9" t="s">
        <v>1977</v>
      </c>
      <c r="O251" s="9">
        <v>20</v>
      </c>
    </row>
    <row r="252" spans="1:15" ht="24" customHeight="1">
      <c r="A252" s="205" t="s">
        <v>1940</v>
      </c>
      <c r="B252" s="206" t="s">
        <v>1941</v>
      </c>
      <c r="C252" s="172" t="s">
        <v>1978</v>
      </c>
      <c r="D252" s="172" t="s">
        <v>1979</v>
      </c>
      <c r="E252" s="172">
        <v>20</v>
      </c>
      <c r="F252" s="172"/>
      <c r="G252" s="172"/>
      <c r="H252" s="172"/>
      <c r="I252" s="172"/>
      <c r="J252" s="172"/>
      <c r="K252" s="172"/>
      <c r="M252" s="9" t="s">
        <v>1978</v>
      </c>
      <c r="N252" s="9" t="s">
        <v>1979</v>
      </c>
      <c r="O252" s="9">
        <v>20</v>
      </c>
    </row>
    <row r="253" spans="1:15" ht="24" customHeight="1">
      <c r="A253" s="205" t="s">
        <v>1940</v>
      </c>
      <c r="B253" s="206" t="s">
        <v>1941</v>
      </c>
      <c r="C253" s="172" t="s">
        <v>1980</v>
      </c>
      <c r="D253" s="172" t="s">
        <v>1981</v>
      </c>
      <c r="E253" s="172">
        <v>20</v>
      </c>
      <c r="F253" s="172"/>
      <c r="G253" s="172"/>
      <c r="H253" s="172"/>
      <c r="I253" s="172"/>
      <c r="J253" s="172"/>
      <c r="K253" s="172"/>
      <c r="M253" s="9" t="s">
        <v>1980</v>
      </c>
      <c r="N253" s="9" t="s">
        <v>1981</v>
      </c>
      <c r="O253" s="9">
        <v>20</v>
      </c>
    </row>
    <row r="254" spans="1:15" ht="24" customHeight="1">
      <c r="A254" s="205" t="s">
        <v>1940</v>
      </c>
      <c r="B254" s="206" t="s">
        <v>1941</v>
      </c>
      <c r="C254" s="172" t="s">
        <v>1982</v>
      </c>
      <c r="D254" s="172" t="s">
        <v>1983</v>
      </c>
      <c r="E254" s="172">
        <v>5</v>
      </c>
      <c r="F254" s="172"/>
      <c r="G254" s="172"/>
      <c r="H254" s="172"/>
      <c r="I254" s="172"/>
      <c r="J254" s="172"/>
      <c r="K254" s="172"/>
      <c r="M254" s="9" t="s">
        <v>1982</v>
      </c>
      <c r="N254" s="9" t="s">
        <v>1983</v>
      </c>
      <c r="O254" s="9">
        <v>5</v>
      </c>
    </row>
    <row r="255" spans="1:15" ht="24" customHeight="1">
      <c r="A255" s="205" t="s">
        <v>1940</v>
      </c>
      <c r="B255" s="206" t="s">
        <v>1941</v>
      </c>
      <c r="C255" s="172" t="s">
        <v>1984</v>
      </c>
      <c r="D255" s="172" t="s">
        <v>1985</v>
      </c>
      <c r="E255" s="172">
        <v>5</v>
      </c>
      <c r="F255" s="172"/>
      <c r="G255" s="172"/>
      <c r="H255" s="172"/>
      <c r="I255" s="172"/>
      <c r="J255" s="172"/>
      <c r="K255" s="172"/>
      <c r="M255" s="9" t="s">
        <v>1984</v>
      </c>
      <c r="N255" s="9" t="s">
        <v>1985</v>
      </c>
      <c r="O255" s="9">
        <v>5</v>
      </c>
    </row>
    <row r="256" spans="1:15" ht="24" customHeight="1">
      <c r="A256" s="205" t="s">
        <v>1940</v>
      </c>
      <c r="B256" s="206" t="s">
        <v>1986</v>
      </c>
      <c r="C256" s="172" t="s">
        <v>1987</v>
      </c>
      <c r="D256" s="172" t="s">
        <v>1988</v>
      </c>
      <c r="E256" s="172">
        <v>50</v>
      </c>
      <c r="F256" s="172"/>
      <c r="G256" s="172"/>
      <c r="H256" s="172"/>
      <c r="I256" s="172"/>
      <c r="J256" s="172"/>
      <c r="K256" s="172"/>
      <c r="M256" s="9" t="s">
        <v>1987</v>
      </c>
      <c r="N256" s="9" t="s">
        <v>1988</v>
      </c>
      <c r="O256" s="9">
        <v>50</v>
      </c>
    </row>
    <row r="257" spans="1:15" ht="24" customHeight="1">
      <c r="A257" s="205" t="s">
        <v>1940</v>
      </c>
      <c r="B257" s="206" t="s">
        <v>1986</v>
      </c>
      <c r="C257" s="172" t="s">
        <v>1989</v>
      </c>
      <c r="D257" s="172" t="s">
        <v>1990</v>
      </c>
      <c r="E257" s="172">
        <v>50</v>
      </c>
      <c r="F257" s="172"/>
      <c r="G257" s="172"/>
      <c r="H257" s="172"/>
      <c r="I257" s="172"/>
      <c r="J257" s="172"/>
      <c r="K257" s="172"/>
      <c r="M257" s="9" t="s">
        <v>1989</v>
      </c>
      <c r="N257" s="9" t="s">
        <v>1990</v>
      </c>
      <c r="O257" s="9">
        <v>50</v>
      </c>
    </row>
    <row r="258" spans="1:15" ht="24" customHeight="1">
      <c r="A258" s="205" t="s">
        <v>1940</v>
      </c>
      <c r="B258" s="206" t="s">
        <v>1986</v>
      </c>
      <c r="C258" s="172" t="s">
        <v>1991</v>
      </c>
      <c r="D258" s="172" t="s">
        <v>1992</v>
      </c>
      <c r="E258" s="172">
        <v>50</v>
      </c>
      <c r="F258" s="172"/>
      <c r="G258" s="172"/>
      <c r="H258" s="172"/>
      <c r="I258" s="172"/>
      <c r="J258" s="172"/>
      <c r="K258" s="172"/>
      <c r="M258" s="9" t="s">
        <v>1991</v>
      </c>
      <c r="N258" s="9" t="s">
        <v>1992</v>
      </c>
      <c r="O258" s="9">
        <v>50</v>
      </c>
    </row>
    <row r="259" spans="1:15" ht="24" customHeight="1">
      <c r="A259" s="205" t="s">
        <v>1940</v>
      </c>
      <c r="B259" s="206" t="s">
        <v>1986</v>
      </c>
      <c r="C259" s="172" t="s">
        <v>1993</v>
      </c>
      <c r="D259" s="172" t="s">
        <v>1994</v>
      </c>
      <c r="E259" s="172">
        <v>50</v>
      </c>
      <c r="F259" s="172"/>
      <c r="G259" s="172"/>
      <c r="H259" s="172"/>
      <c r="I259" s="172"/>
      <c r="J259" s="172"/>
      <c r="K259" s="172"/>
      <c r="M259" s="9" t="s">
        <v>1993</v>
      </c>
      <c r="N259" s="9" t="s">
        <v>1994</v>
      </c>
      <c r="O259" s="9">
        <v>50</v>
      </c>
    </row>
    <row r="260" spans="1:15" ht="24" customHeight="1">
      <c r="A260" s="205" t="s">
        <v>1940</v>
      </c>
      <c r="B260" s="206" t="s">
        <v>1986</v>
      </c>
      <c r="C260" s="172" t="s">
        <v>1995</v>
      </c>
      <c r="D260" s="172" t="s">
        <v>1996</v>
      </c>
      <c r="E260" s="172">
        <v>50</v>
      </c>
      <c r="F260" s="172"/>
      <c r="G260" s="172"/>
      <c r="H260" s="172"/>
      <c r="I260" s="172"/>
      <c r="J260" s="172"/>
      <c r="K260" s="172"/>
      <c r="M260" s="9" t="s">
        <v>1995</v>
      </c>
      <c r="N260" s="9" t="s">
        <v>1996</v>
      </c>
      <c r="O260" s="9">
        <v>50</v>
      </c>
    </row>
    <row r="261" spans="1:15" ht="24" customHeight="1">
      <c r="A261" s="205" t="s">
        <v>1940</v>
      </c>
      <c r="B261" s="206" t="s">
        <v>1986</v>
      </c>
      <c r="C261" s="172" t="s">
        <v>1997</v>
      </c>
      <c r="D261" s="172" t="s">
        <v>1998</v>
      </c>
      <c r="E261" s="172">
        <v>40</v>
      </c>
      <c r="F261" s="172"/>
      <c r="G261" s="172"/>
      <c r="H261" s="172"/>
      <c r="I261" s="172"/>
      <c r="J261" s="172"/>
      <c r="K261" s="172"/>
      <c r="M261" s="9" t="s">
        <v>1997</v>
      </c>
      <c r="N261" s="9" t="s">
        <v>1998</v>
      </c>
      <c r="O261" s="9">
        <v>40</v>
      </c>
    </row>
    <row r="262" spans="1:15" ht="24" customHeight="1">
      <c r="A262" s="205" t="s">
        <v>1940</v>
      </c>
      <c r="B262" s="206" t="s">
        <v>1986</v>
      </c>
      <c r="C262" s="172" t="s">
        <v>1999</v>
      </c>
      <c r="D262" s="172" t="s">
        <v>2000</v>
      </c>
      <c r="E262" s="172">
        <v>40</v>
      </c>
      <c r="F262" s="172"/>
      <c r="G262" s="172"/>
      <c r="H262" s="172"/>
      <c r="I262" s="172"/>
      <c r="J262" s="172"/>
      <c r="K262" s="172"/>
      <c r="M262" s="9" t="s">
        <v>1999</v>
      </c>
      <c r="N262" s="9" t="s">
        <v>2000</v>
      </c>
      <c r="O262" s="9">
        <v>40</v>
      </c>
    </row>
    <row r="263" spans="1:15" ht="24" customHeight="1">
      <c r="A263" s="205" t="s">
        <v>1940</v>
      </c>
      <c r="B263" s="206" t="s">
        <v>1986</v>
      </c>
      <c r="C263" s="172" t="s">
        <v>2001</v>
      </c>
      <c r="D263" s="172" t="s">
        <v>2002</v>
      </c>
      <c r="E263" s="172">
        <v>40</v>
      </c>
      <c r="F263" s="172"/>
      <c r="G263" s="172"/>
      <c r="H263" s="172"/>
      <c r="I263" s="172"/>
      <c r="J263" s="172"/>
      <c r="K263" s="172"/>
      <c r="M263" s="9" t="s">
        <v>2001</v>
      </c>
      <c r="N263" s="9" t="s">
        <v>2002</v>
      </c>
      <c r="O263" s="9">
        <v>40</v>
      </c>
    </row>
    <row r="264" spans="1:15" ht="24" customHeight="1">
      <c r="A264" s="205" t="s">
        <v>1940</v>
      </c>
      <c r="B264" s="206" t="s">
        <v>1986</v>
      </c>
      <c r="C264" s="172" t="s">
        <v>2003</v>
      </c>
      <c r="D264" s="172" t="s">
        <v>2004</v>
      </c>
      <c r="E264" s="172">
        <v>40</v>
      </c>
      <c r="F264" s="172"/>
      <c r="G264" s="172"/>
      <c r="H264" s="172"/>
      <c r="I264" s="172"/>
      <c r="J264" s="172"/>
      <c r="K264" s="172"/>
      <c r="M264" s="9" t="s">
        <v>2003</v>
      </c>
      <c r="N264" s="9" t="s">
        <v>2004</v>
      </c>
      <c r="O264" s="9">
        <v>40</v>
      </c>
    </row>
    <row r="265" spans="1:15" ht="24" customHeight="1">
      <c r="A265" s="205" t="s">
        <v>1940</v>
      </c>
      <c r="B265" s="206" t="s">
        <v>1986</v>
      </c>
      <c r="C265" s="172" t="s">
        <v>2005</v>
      </c>
      <c r="D265" s="172" t="s">
        <v>2006</v>
      </c>
      <c r="E265" s="172">
        <v>40</v>
      </c>
      <c r="F265" s="172"/>
      <c r="G265" s="172"/>
      <c r="H265" s="172"/>
      <c r="I265" s="172"/>
      <c r="J265" s="172"/>
      <c r="K265" s="172"/>
      <c r="M265" s="9" t="s">
        <v>2005</v>
      </c>
      <c r="N265" s="9" t="s">
        <v>2006</v>
      </c>
      <c r="O265" s="9">
        <v>40</v>
      </c>
    </row>
    <row r="266" spans="1:15" ht="24" customHeight="1">
      <c r="A266" s="205" t="s">
        <v>1940</v>
      </c>
      <c r="B266" s="206" t="s">
        <v>1986</v>
      </c>
      <c r="C266" s="172" t="s">
        <v>2007</v>
      </c>
      <c r="D266" s="172" t="s">
        <v>2008</v>
      </c>
      <c r="E266" s="172">
        <v>30</v>
      </c>
      <c r="F266" s="172"/>
      <c r="G266" s="172"/>
      <c r="H266" s="172"/>
      <c r="I266" s="172"/>
      <c r="J266" s="172"/>
      <c r="K266" s="172"/>
      <c r="M266" s="9" t="s">
        <v>2007</v>
      </c>
      <c r="N266" s="9" t="s">
        <v>2008</v>
      </c>
      <c r="O266" s="9">
        <v>30</v>
      </c>
    </row>
    <row r="267" spans="1:15" ht="24" customHeight="1">
      <c r="A267" s="205" t="s">
        <v>1940</v>
      </c>
      <c r="B267" s="206" t="s">
        <v>1986</v>
      </c>
      <c r="C267" s="172" t="s">
        <v>2009</v>
      </c>
      <c r="D267" s="172" t="s">
        <v>2010</v>
      </c>
      <c r="E267" s="172">
        <v>30</v>
      </c>
      <c r="F267" s="172"/>
      <c r="G267" s="172"/>
      <c r="H267" s="172"/>
      <c r="I267" s="172"/>
      <c r="J267" s="172"/>
      <c r="K267" s="172"/>
      <c r="M267" s="9" t="s">
        <v>2009</v>
      </c>
      <c r="N267" s="9" t="s">
        <v>2010</v>
      </c>
      <c r="O267" s="9">
        <v>30</v>
      </c>
    </row>
    <row r="268" spans="1:15" ht="24" customHeight="1">
      <c r="A268" s="205" t="s">
        <v>1940</v>
      </c>
      <c r="B268" s="206" t="s">
        <v>1986</v>
      </c>
      <c r="C268" s="172" t="s">
        <v>2011</v>
      </c>
      <c r="D268" s="172" t="s">
        <v>2012</v>
      </c>
      <c r="E268" s="172">
        <v>30</v>
      </c>
      <c r="F268" s="172"/>
      <c r="G268" s="172"/>
      <c r="H268" s="172"/>
      <c r="I268" s="172"/>
      <c r="J268" s="172"/>
      <c r="K268" s="172"/>
      <c r="M268" s="9" t="s">
        <v>2011</v>
      </c>
      <c r="N268" s="9" t="s">
        <v>2012</v>
      </c>
      <c r="O268" s="9">
        <v>30</v>
      </c>
    </row>
    <row r="269" spans="1:15" ht="24" customHeight="1">
      <c r="A269" s="205" t="s">
        <v>1940</v>
      </c>
      <c r="B269" s="206" t="s">
        <v>1986</v>
      </c>
      <c r="C269" s="172" t="s">
        <v>2013</v>
      </c>
      <c r="D269" s="172" t="s">
        <v>2014</v>
      </c>
      <c r="E269" s="172">
        <v>30</v>
      </c>
      <c r="F269" s="172"/>
      <c r="G269" s="172"/>
      <c r="H269" s="172"/>
      <c r="I269" s="172"/>
      <c r="J269" s="172"/>
      <c r="K269" s="172"/>
      <c r="M269" s="9" t="s">
        <v>2013</v>
      </c>
      <c r="N269" s="9" t="s">
        <v>2014</v>
      </c>
      <c r="O269" s="9">
        <v>30</v>
      </c>
    </row>
    <row r="270" spans="1:15" ht="24" customHeight="1">
      <c r="A270" s="205" t="s">
        <v>1940</v>
      </c>
      <c r="B270" s="206" t="s">
        <v>1986</v>
      </c>
      <c r="C270" s="172" t="s">
        <v>2015</v>
      </c>
      <c r="D270" s="172" t="s">
        <v>2016</v>
      </c>
      <c r="E270" s="172">
        <v>30</v>
      </c>
      <c r="F270" s="172"/>
      <c r="G270" s="172"/>
      <c r="H270" s="172"/>
      <c r="I270" s="172"/>
      <c r="J270" s="172"/>
      <c r="K270" s="172"/>
      <c r="M270" s="9" t="s">
        <v>2015</v>
      </c>
      <c r="N270" s="9" t="s">
        <v>2016</v>
      </c>
      <c r="O270" s="9">
        <v>30</v>
      </c>
    </row>
    <row r="271" spans="1:15" ht="24" customHeight="1">
      <c r="A271" s="205" t="s">
        <v>1940</v>
      </c>
      <c r="B271" s="206" t="s">
        <v>1986</v>
      </c>
      <c r="C271" s="172" t="s">
        <v>2017</v>
      </c>
      <c r="D271" s="172" t="s">
        <v>2018</v>
      </c>
      <c r="E271" s="172">
        <v>20</v>
      </c>
      <c r="F271" s="172"/>
      <c r="G271" s="172"/>
      <c r="H271" s="172"/>
      <c r="I271" s="172"/>
      <c r="J271" s="172"/>
      <c r="K271" s="172"/>
      <c r="M271" s="9" t="s">
        <v>2017</v>
      </c>
      <c r="N271" s="9" t="s">
        <v>2018</v>
      </c>
      <c r="O271" s="9">
        <v>20</v>
      </c>
    </row>
    <row r="272" spans="1:15" ht="24" customHeight="1">
      <c r="A272" s="205" t="s">
        <v>1940</v>
      </c>
      <c r="B272" s="206" t="s">
        <v>1986</v>
      </c>
      <c r="C272" s="172" t="s">
        <v>2019</v>
      </c>
      <c r="D272" s="172" t="s">
        <v>2020</v>
      </c>
      <c r="E272" s="172">
        <v>20</v>
      </c>
      <c r="F272" s="172"/>
      <c r="G272" s="172"/>
      <c r="H272" s="172"/>
      <c r="I272" s="172"/>
      <c r="J272" s="172"/>
      <c r="K272" s="172"/>
      <c r="M272" s="9" t="s">
        <v>2019</v>
      </c>
      <c r="N272" s="9" t="s">
        <v>2020</v>
      </c>
      <c r="O272" s="9">
        <v>20</v>
      </c>
    </row>
    <row r="273" spans="1:15" ht="24" customHeight="1">
      <c r="A273" s="205" t="s">
        <v>1940</v>
      </c>
      <c r="B273" s="206" t="s">
        <v>1986</v>
      </c>
      <c r="C273" s="172" t="s">
        <v>2021</v>
      </c>
      <c r="D273" s="172" t="s">
        <v>2022</v>
      </c>
      <c r="E273" s="172">
        <v>20</v>
      </c>
      <c r="F273" s="172"/>
      <c r="G273" s="172"/>
      <c r="H273" s="172"/>
      <c r="I273" s="172"/>
      <c r="J273" s="172"/>
      <c r="K273" s="172"/>
      <c r="M273" s="9" t="s">
        <v>2021</v>
      </c>
      <c r="N273" s="9" t="s">
        <v>2022</v>
      </c>
      <c r="O273" s="9">
        <v>20</v>
      </c>
    </row>
    <row r="274" spans="1:15" ht="24" customHeight="1">
      <c r="A274" s="205" t="s">
        <v>1940</v>
      </c>
      <c r="B274" s="206" t="s">
        <v>1986</v>
      </c>
      <c r="C274" s="172" t="s">
        <v>2023</v>
      </c>
      <c r="D274" s="172" t="s">
        <v>2024</v>
      </c>
      <c r="E274" s="172">
        <v>20</v>
      </c>
      <c r="F274" s="172"/>
      <c r="G274" s="172"/>
      <c r="H274" s="172"/>
      <c r="I274" s="172"/>
      <c r="J274" s="172"/>
      <c r="K274" s="172"/>
      <c r="M274" s="9" t="s">
        <v>2023</v>
      </c>
      <c r="N274" s="9" t="s">
        <v>2024</v>
      </c>
      <c r="O274" s="9">
        <v>20</v>
      </c>
    </row>
    <row r="275" spans="1:15" ht="24" customHeight="1">
      <c r="A275" s="205" t="s">
        <v>1940</v>
      </c>
      <c r="B275" s="206" t="s">
        <v>1986</v>
      </c>
      <c r="C275" s="172" t="s">
        <v>2025</v>
      </c>
      <c r="D275" s="172" t="s">
        <v>2026</v>
      </c>
      <c r="E275" s="172">
        <v>20</v>
      </c>
      <c r="F275" s="172"/>
      <c r="G275" s="172"/>
      <c r="H275" s="172"/>
      <c r="I275" s="172"/>
      <c r="J275" s="172"/>
      <c r="K275" s="172"/>
      <c r="M275" s="9" t="s">
        <v>2025</v>
      </c>
      <c r="N275" s="9" t="s">
        <v>2026</v>
      </c>
      <c r="O275" s="9">
        <v>20</v>
      </c>
    </row>
    <row r="276" spans="1:15" ht="24" customHeight="1">
      <c r="A276" s="205" t="s">
        <v>1940</v>
      </c>
      <c r="B276" s="206" t="s">
        <v>1986</v>
      </c>
      <c r="C276" s="172" t="s">
        <v>2027</v>
      </c>
      <c r="D276" s="172" t="s">
        <v>2028</v>
      </c>
      <c r="E276" s="172">
        <v>5</v>
      </c>
      <c r="F276" s="172"/>
      <c r="G276" s="172"/>
      <c r="H276" s="172"/>
      <c r="I276" s="172"/>
      <c r="J276" s="172"/>
      <c r="K276" s="172"/>
      <c r="M276" s="9" t="s">
        <v>2027</v>
      </c>
      <c r="N276" s="9" t="s">
        <v>2028</v>
      </c>
      <c r="O276" s="9">
        <v>5</v>
      </c>
    </row>
    <row r="277" spans="1:15" ht="24" customHeight="1">
      <c r="A277" s="205" t="s">
        <v>1940</v>
      </c>
      <c r="B277" s="206" t="s">
        <v>1986</v>
      </c>
      <c r="C277" s="172" t="s">
        <v>2029</v>
      </c>
      <c r="D277" s="172" t="s">
        <v>2030</v>
      </c>
      <c r="E277" s="172">
        <v>5</v>
      </c>
      <c r="F277" s="172"/>
      <c r="G277" s="172"/>
      <c r="H277" s="172"/>
      <c r="I277" s="172"/>
      <c r="J277" s="172"/>
      <c r="K277" s="172"/>
      <c r="M277" s="9" t="s">
        <v>2029</v>
      </c>
      <c r="N277" s="9" t="s">
        <v>2030</v>
      </c>
      <c r="O277" s="9">
        <v>5</v>
      </c>
    </row>
    <row r="278" spans="1:15" ht="24" customHeight="1">
      <c r="A278" s="205" t="s">
        <v>1940</v>
      </c>
      <c r="B278" s="206" t="s">
        <v>2031</v>
      </c>
      <c r="C278" s="172" t="s">
        <v>2032</v>
      </c>
      <c r="D278" s="172" t="s">
        <v>2033</v>
      </c>
      <c r="E278" s="172">
        <v>50</v>
      </c>
      <c r="F278" s="172"/>
      <c r="G278" s="172"/>
      <c r="H278" s="172"/>
      <c r="I278" s="172"/>
      <c r="J278" s="172"/>
      <c r="K278" s="172"/>
      <c r="M278" s="9" t="s">
        <v>2032</v>
      </c>
      <c r="N278" s="9" t="s">
        <v>2033</v>
      </c>
      <c r="O278" s="9">
        <v>50</v>
      </c>
    </row>
    <row r="279" spans="1:15" ht="24" customHeight="1">
      <c r="A279" s="205" t="s">
        <v>1940</v>
      </c>
      <c r="B279" s="206" t="s">
        <v>2031</v>
      </c>
      <c r="C279" s="172" t="s">
        <v>2034</v>
      </c>
      <c r="D279" s="172" t="s">
        <v>2035</v>
      </c>
      <c r="E279" s="172">
        <v>50</v>
      </c>
      <c r="F279" s="172"/>
      <c r="G279" s="172"/>
      <c r="H279" s="172"/>
      <c r="I279" s="172"/>
      <c r="J279" s="172"/>
      <c r="K279" s="172"/>
      <c r="M279" s="9" t="s">
        <v>2034</v>
      </c>
      <c r="N279" s="9" t="s">
        <v>2035</v>
      </c>
      <c r="O279" s="9">
        <v>50</v>
      </c>
    </row>
    <row r="280" spans="1:15" ht="24" customHeight="1">
      <c r="A280" s="205" t="s">
        <v>1940</v>
      </c>
      <c r="B280" s="206" t="s">
        <v>2031</v>
      </c>
      <c r="C280" s="172" t="s">
        <v>2036</v>
      </c>
      <c r="D280" s="172" t="s">
        <v>2037</v>
      </c>
      <c r="E280" s="172">
        <v>50</v>
      </c>
      <c r="F280" s="172"/>
      <c r="G280" s="172"/>
      <c r="H280" s="172"/>
      <c r="I280" s="172"/>
      <c r="J280" s="172"/>
      <c r="K280" s="172"/>
      <c r="M280" s="9" t="s">
        <v>2036</v>
      </c>
      <c r="N280" s="9" t="s">
        <v>2037</v>
      </c>
      <c r="O280" s="9">
        <v>50</v>
      </c>
    </row>
    <row r="281" spans="1:15" ht="24" customHeight="1">
      <c r="A281" s="205" t="s">
        <v>1940</v>
      </c>
      <c r="B281" s="206" t="s">
        <v>2031</v>
      </c>
      <c r="C281" s="172" t="s">
        <v>2038</v>
      </c>
      <c r="D281" s="172" t="s">
        <v>2039</v>
      </c>
      <c r="E281" s="172">
        <v>50</v>
      </c>
      <c r="F281" s="172"/>
      <c r="G281" s="172"/>
      <c r="H281" s="172"/>
      <c r="I281" s="172"/>
      <c r="J281" s="172"/>
      <c r="K281" s="172"/>
      <c r="M281" s="9" t="s">
        <v>2038</v>
      </c>
      <c r="N281" s="9" t="s">
        <v>2039</v>
      </c>
      <c r="O281" s="9">
        <v>50</v>
      </c>
    </row>
    <row r="282" spans="1:15" ht="24" customHeight="1">
      <c r="A282" s="205" t="s">
        <v>1940</v>
      </c>
      <c r="B282" s="206" t="s">
        <v>2031</v>
      </c>
      <c r="C282" s="172" t="s">
        <v>2040</v>
      </c>
      <c r="D282" s="172" t="s">
        <v>2041</v>
      </c>
      <c r="E282" s="172">
        <v>50</v>
      </c>
      <c r="F282" s="172"/>
      <c r="G282" s="172"/>
      <c r="H282" s="172"/>
      <c r="I282" s="172"/>
      <c r="J282" s="172"/>
      <c r="K282" s="172"/>
      <c r="M282" s="9" t="s">
        <v>2040</v>
      </c>
      <c r="N282" s="9" t="s">
        <v>2041</v>
      </c>
      <c r="O282" s="9">
        <v>50</v>
      </c>
    </row>
    <row r="283" spans="1:15" ht="24" customHeight="1">
      <c r="A283" s="205" t="s">
        <v>1940</v>
      </c>
      <c r="B283" s="206" t="s">
        <v>2031</v>
      </c>
      <c r="C283" s="172" t="s">
        <v>2042</v>
      </c>
      <c r="D283" s="172" t="s">
        <v>2043</v>
      </c>
      <c r="E283" s="172">
        <v>40</v>
      </c>
      <c r="F283" s="172"/>
      <c r="G283" s="172"/>
      <c r="H283" s="172"/>
      <c r="I283" s="172"/>
      <c r="J283" s="172"/>
      <c r="K283" s="172"/>
      <c r="M283" s="9" t="s">
        <v>2042</v>
      </c>
      <c r="N283" s="9" t="s">
        <v>2043</v>
      </c>
      <c r="O283" s="9">
        <v>40</v>
      </c>
    </row>
    <row r="284" spans="1:15" ht="24" customHeight="1">
      <c r="A284" s="205" t="s">
        <v>1940</v>
      </c>
      <c r="B284" s="206" t="s">
        <v>2031</v>
      </c>
      <c r="C284" s="172" t="s">
        <v>2044</v>
      </c>
      <c r="D284" s="172" t="s">
        <v>2045</v>
      </c>
      <c r="E284" s="172">
        <v>40</v>
      </c>
      <c r="F284" s="172"/>
      <c r="G284" s="172"/>
      <c r="H284" s="172"/>
      <c r="I284" s="172"/>
      <c r="J284" s="172"/>
      <c r="K284" s="172"/>
      <c r="M284" s="9" t="s">
        <v>2044</v>
      </c>
      <c r="N284" s="9" t="s">
        <v>2045</v>
      </c>
      <c r="O284" s="9">
        <v>40</v>
      </c>
    </row>
    <row r="285" spans="1:15" ht="24" customHeight="1">
      <c r="A285" s="205" t="s">
        <v>1940</v>
      </c>
      <c r="B285" s="206" t="s">
        <v>2031</v>
      </c>
      <c r="C285" s="172" t="s">
        <v>2046</v>
      </c>
      <c r="D285" s="172" t="s">
        <v>2047</v>
      </c>
      <c r="E285" s="172">
        <v>40</v>
      </c>
      <c r="F285" s="172"/>
      <c r="G285" s="172"/>
      <c r="H285" s="172"/>
      <c r="I285" s="172"/>
      <c r="J285" s="172"/>
      <c r="K285" s="172"/>
      <c r="M285" s="9" t="s">
        <v>2046</v>
      </c>
      <c r="N285" s="9" t="s">
        <v>2047</v>
      </c>
      <c r="O285" s="9">
        <v>40</v>
      </c>
    </row>
    <row r="286" spans="1:15" ht="24" customHeight="1">
      <c r="A286" s="205" t="s">
        <v>1940</v>
      </c>
      <c r="B286" s="206" t="s">
        <v>2031</v>
      </c>
      <c r="C286" s="172" t="s">
        <v>2048</v>
      </c>
      <c r="D286" s="172" t="s">
        <v>2049</v>
      </c>
      <c r="E286" s="172">
        <v>40</v>
      </c>
      <c r="F286" s="172"/>
      <c r="G286" s="172"/>
      <c r="H286" s="172"/>
      <c r="I286" s="172"/>
      <c r="J286" s="172"/>
      <c r="K286" s="172"/>
      <c r="M286" s="9" t="s">
        <v>2048</v>
      </c>
      <c r="N286" s="9" t="s">
        <v>2049</v>
      </c>
      <c r="O286" s="9">
        <v>40</v>
      </c>
    </row>
    <row r="287" spans="1:15" ht="24" customHeight="1">
      <c r="A287" s="205" t="s">
        <v>1940</v>
      </c>
      <c r="B287" s="206" t="s">
        <v>2031</v>
      </c>
      <c r="C287" s="172" t="s">
        <v>2050</v>
      </c>
      <c r="D287" s="172" t="s">
        <v>2051</v>
      </c>
      <c r="E287" s="172">
        <v>40</v>
      </c>
      <c r="F287" s="172"/>
      <c r="G287" s="172"/>
      <c r="H287" s="172"/>
      <c r="I287" s="172"/>
      <c r="J287" s="172"/>
      <c r="K287" s="172"/>
      <c r="M287" s="9" t="s">
        <v>2050</v>
      </c>
      <c r="N287" s="9" t="s">
        <v>2051</v>
      </c>
      <c r="O287" s="9">
        <v>40</v>
      </c>
    </row>
    <row r="288" spans="1:15" ht="24" customHeight="1">
      <c r="A288" s="205" t="s">
        <v>1940</v>
      </c>
      <c r="B288" s="206" t="s">
        <v>2031</v>
      </c>
      <c r="C288" s="172" t="s">
        <v>2052</v>
      </c>
      <c r="D288" s="172" t="s">
        <v>2053</v>
      </c>
      <c r="E288" s="172">
        <v>30</v>
      </c>
      <c r="F288" s="172"/>
      <c r="G288" s="172"/>
      <c r="H288" s="172"/>
      <c r="I288" s="172"/>
      <c r="J288" s="172"/>
      <c r="K288" s="172"/>
      <c r="M288" s="9" t="s">
        <v>2052</v>
      </c>
      <c r="N288" s="9" t="s">
        <v>2053</v>
      </c>
      <c r="O288" s="9">
        <v>30</v>
      </c>
    </row>
    <row r="289" spans="1:15" ht="24" customHeight="1">
      <c r="A289" s="205" t="s">
        <v>1940</v>
      </c>
      <c r="B289" s="206" t="s">
        <v>2031</v>
      </c>
      <c r="C289" s="172" t="s">
        <v>2054</v>
      </c>
      <c r="D289" s="172" t="s">
        <v>2055</v>
      </c>
      <c r="E289" s="172">
        <v>30</v>
      </c>
      <c r="F289" s="172"/>
      <c r="G289" s="172"/>
      <c r="H289" s="172"/>
      <c r="I289" s="172"/>
      <c r="J289" s="172"/>
      <c r="K289" s="172"/>
      <c r="M289" s="9" t="s">
        <v>2054</v>
      </c>
      <c r="N289" s="9" t="s">
        <v>2055</v>
      </c>
      <c r="O289" s="9">
        <v>30</v>
      </c>
    </row>
    <row r="290" spans="1:15" ht="24" customHeight="1">
      <c r="A290" s="205" t="s">
        <v>1940</v>
      </c>
      <c r="B290" s="206" t="s">
        <v>2031</v>
      </c>
      <c r="C290" s="172" t="s">
        <v>2056</v>
      </c>
      <c r="D290" s="172" t="s">
        <v>2057</v>
      </c>
      <c r="E290" s="172">
        <v>30</v>
      </c>
      <c r="F290" s="172"/>
      <c r="G290" s="172"/>
      <c r="H290" s="172"/>
      <c r="I290" s="172"/>
      <c r="J290" s="172"/>
      <c r="K290" s="172"/>
      <c r="M290" s="9" t="s">
        <v>2056</v>
      </c>
      <c r="N290" s="9" t="s">
        <v>2057</v>
      </c>
      <c r="O290" s="9">
        <v>30</v>
      </c>
    </row>
    <row r="291" spans="1:15" ht="24" customHeight="1">
      <c r="A291" s="205" t="s">
        <v>1940</v>
      </c>
      <c r="B291" s="206" t="s">
        <v>2031</v>
      </c>
      <c r="C291" s="172" t="s">
        <v>2058</v>
      </c>
      <c r="D291" s="172" t="s">
        <v>2059</v>
      </c>
      <c r="E291" s="172">
        <v>30</v>
      </c>
      <c r="F291" s="172"/>
      <c r="G291" s="172"/>
      <c r="H291" s="172"/>
      <c r="I291" s="172"/>
      <c r="J291" s="172"/>
      <c r="K291" s="172"/>
      <c r="M291" s="9" t="s">
        <v>2058</v>
      </c>
      <c r="N291" s="9" t="s">
        <v>2059</v>
      </c>
      <c r="O291" s="9">
        <v>30</v>
      </c>
    </row>
    <row r="292" spans="1:15" ht="24" customHeight="1">
      <c r="A292" s="205" t="s">
        <v>1940</v>
      </c>
      <c r="B292" s="206" t="s">
        <v>2031</v>
      </c>
      <c r="C292" s="172" t="s">
        <v>2060</v>
      </c>
      <c r="D292" s="172" t="s">
        <v>2061</v>
      </c>
      <c r="E292" s="172">
        <v>30</v>
      </c>
      <c r="F292" s="172"/>
      <c r="G292" s="172"/>
      <c r="H292" s="172"/>
      <c r="I292" s="172"/>
      <c r="J292" s="172"/>
      <c r="K292" s="172"/>
      <c r="M292" s="9" t="s">
        <v>2060</v>
      </c>
      <c r="N292" s="9" t="s">
        <v>2061</v>
      </c>
      <c r="O292" s="9">
        <v>30</v>
      </c>
    </row>
    <row r="293" spans="1:15" ht="24" customHeight="1">
      <c r="A293" s="205" t="s">
        <v>1940</v>
      </c>
      <c r="B293" s="206" t="s">
        <v>2031</v>
      </c>
      <c r="C293" s="172" t="s">
        <v>2062</v>
      </c>
      <c r="D293" s="172" t="s">
        <v>2063</v>
      </c>
      <c r="E293" s="172">
        <v>20</v>
      </c>
      <c r="F293" s="172"/>
      <c r="G293" s="172"/>
      <c r="H293" s="172"/>
      <c r="I293" s="172"/>
      <c r="J293" s="172"/>
      <c r="K293" s="172"/>
      <c r="M293" s="9" t="s">
        <v>2062</v>
      </c>
      <c r="N293" s="9" t="s">
        <v>2063</v>
      </c>
      <c r="O293" s="9">
        <v>20</v>
      </c>
    </row>
    <row r="294" spans="1:15" ht="24" customHeight="1">
      <c r="A294" s="205" t="s">
        <v>1940</v>
      </c>
      <c r="B294" s="206" t="s">
        <v>2031</v>
      </c>
      <c r="C294" s="172" t="s">
        <v>2064</v>
      </c>
      <c r="D294" s="172" t="s">
        <v>2065</v>
      </c>
      <c r="E294" s="172">
        <v>20</v>
      </c>
      <c r="F294" s="172"/>
      <c r="G294" s="172"/>
      <c r="H294" s="172"/>
      <c r="I294" s="172"/>
      <c r="J294" s="172"/>
      <c r="K294" s="172"/>
      <c r="M294" s="9" t="s">
        <v>2064</v>
      </c>
      <c r="N294" s="9" t="s">
        <v>2065</v>
      </c>
      <c r="O294" s="9">
        <v>20</v>
      </c>
    </row>
    <row r="295" spans="1:15" ht="24" customHeight="1">
      <c r="A295" s="205" t="s">
        <v>1940</v>
      </c>
      <c r="B295" s="206" t="s">
        <v>2031</v>
      </c>
      <c r="C295" s="172" t="s">
        <v>2066</v>
      </c>
      <c r="D295" s="172" t="s">
        <v>2067</v>
      </c>
      <c r="E295" s="172">
        <v>20</v>
      </c>
      <c r="F295" s="172"/>
      <c r="G295" s="172"/>
      <c r="H295" s="172"/>
      <c r="I295" s="172"/>
      <c r="J295" s="172"/>
      <c r="K295" s="172"/>
      <c r="M295" s="9" t="s">
        <v>2066</v>
      </c>
      <c r="N295" s="9" t="s">
        <v>2067</v>
      </c>
      <c r="O295" s="9">
        <v>20</v>
      </c>
    </row>
    <row r="296" spans="1:15" ht="24" customHeight="1">
      <c r="A296" s="205" t="s">
        <v>1940</v>
      </c>
      <c r="B296" s="206" t="s">
        <v>2031</v>
      </c>
      <c r="C296" s="172" t="s">
        <v>2068</v>
      </c>
      <c r="D296" s="172" t="s">
        <v>2069</v>
      </c>
      <c r="E296" s="172">
        <v>20</v>
      </c>
      <c r="F296" s="172"/>
      <c r="G296" s="172"/>
      <c r="H296" s="172"/>
      <c r="I296" s="172"/>
      <c r="J296" s="172"/>
      <c r="K296" s="172"/>
      <c r="M296" s="9" t="s">
        <v>2068</v>
      </c>
      <c r="N296" s="9" t="s">
        <v>2069</v>
      </c>
      <c r="O296" s="9">
        <v>20</v>
      </c>
    </row>
    <row r="297" spans="1:15" ht="24" customHeight="1">
      <c r="A297" s="205" t="s">
        <v>1940</v>
      </c>
      <c r="B297" s="206" t="s">
        <v>2031</v>
      </c>
      <c r="C297" s="172" t="s">
        <v>2070</v>
      </c>
      <c r="D297" s="172" t="s">
        <v>2071</v>
      </c>
      <c r="E297" s="172">
        <v>20</v>
      </c>
      <c r="F297" s="172"/>
      <c r="G297" s="172"/>
      <c r="H297" s="172"/>
      <c r="I297" s="172"/>
      <c r="J297" s="172"/>
      <c r="K297" s="172"/>
      <c r="M297" s="9" t="s">
        <v>2070</v>
      </c>
      <c r="N297" s="9" t="s">
        <v>2071</v>
      </c>
      <c r="O297" s="9">
        <v>20</v>
      </c>
    </row>
    <row r="298" spans="1:15" ht="24" customHeight="1">
      <c r="A298" s="205" t="s">
        <v>1940</v>
      </c>
      <c r="B298" s="206" t="s">
        <v>2031</v>
      </c>
      <c r="C298" s="172" t="s">
        <v>2072</v>
      </c>
      <c r="D298" s="172" t="s">
        <v>2073</v>
      </c>
      <c r="E298" s="172">
        <v>5</v>
      </c>
      <c r="F298" s="172"/>
      <c r="G298" s="172"/>
      <c r="H298" s="172"/>
      <c r="I298" s="172"/>
      <c r="J298" s="172"/>
      <c r="K298" s="172"/>
      <c r="M298" s="9" t="s">
        <v>2072</v>
      </c>
      <c r="N298" s="9" t="s">
        <v>2073</v>
      </c>
      <c r="O298" s="9">
        <v>5</v>
      </c>
    </row>
    <row r="299" spans="1:15" ht="24" customHeight="1">
      <c r="A299" s="205" t="s">
        <v>1940</v>
      </c>
      <c r="B299" s="206" t="s">
        <v>2031</v>
      </c>
      <c r="C299" s="172" t="s">
        <v>2074</v>
      </c>
      <c r="D299" s="172" t="s">
        <v>2075</v>
      </c>
      <c r="E299" s="172">
        <v>5</v>
      </c>
      <c r="F299" s="172"/>
      <c r="G299" s="172"/>
      <c r="H299" s="172"/>
      <c r="I299" s="172"/>
      <c r="J299" s="172"/>
      <c r="K299" s="172"/>
      <c r="M299" s="9" t="s">
        <v>2074</v>
      </c>
      <c r="N299" s="9" t="s">
        <v>2075</v>
      </c>
      <c r="O299" s="9">
        <v>5</v>
      </c>
    </row>
    <row r="300" spans="1:15" ht="24" customHeight="1">
      <c r="A300" s="205" t="s">
        <v>1940</v>
      </c>
      <c r="B300" s="206" t="s">
        <v>2076</v>
      </c>
      <c r="C300" s="172" t="s">
        <v>2077</v>
      </c>
      <c r="D300" s="172" t="s">
        <v>2078</v>
      </c>
      <c r="E300" s="172">
        <v>50</v>
      </c>
      <c r="F300" s="172"/>
      <c r="G300" s="172"/>
      <c r="H300" s="172"/>
      <c r="I300" s="172"/>
      <c r="J300" s="172"/>
      <c r="K300" s="172"/>
      <c r="M300" s="9" t="s">
        <v>2077</v>
      </c>
      <c r="N300" s="9" t="s">
        <v>2078</v>
      </c>
      <c r="O300" s="9">
        <v>50</v>
      </c>
    </row>
    <row r="301" spans="1:15" ht="24" customHeight="1">
      <c r="A301" s="205" t="s">
        <v>1940</v>
      </c>
      <c r="B301" s="206" t="s">
        <v>2076</v>
      </c>
      <c r="C301" s="172" t="s">
        <v>2079</v>
      </c>
      <c r="D301" s="172" t="s">
        <v>2080</v>
      </c>
      <c r="E301" s="172">
        <v>50</v>
      </c>
      <c r="F301" s="172"/>
      <c r="G301" s="172"/>
      <c r="H301" s="172"/>
      <c r="I301" s="172"/>
      <c r="J301" s="172"/>
      <c r="K301" s="172"/>
      <c r="M301" s="9" t="s">
        <v>2079</v>
      </c>
      <c r="N301" s="9" t="s">
        <v>2080</v>
      </c>
      <c r="O301" s="9">
        <v>50</v>
      </c>
    </row>
    <row r="302" spans="1:15" ht="24" customHeight="1">
      <c r="A302" s="205" t="s">
        <v>1940</v>
      </c>
      <c r="B302" s="206" t="s">
        <v>2076</v>
      </c>
      <c r="C302" s="172" t="s">
        <v>2081</v>
      </c>
      <c r="D302" s="172" t="s">
        <v>2082</v>
      </c>
      <c r="E302" s="172">
        <v>50</v>
      </c>
      <c r="F302" s="172"/>
      <c r="G302" s="172"/>
      <c r="H302" s="172"/>
      <c r="I302" s="172"/>
      <c r="J302" s="172"/>
      <c r="K302" s="172"/>
      <c r="M302" s="9" t="s">
        <v>2081</v>
      </c>
      <c r="N302" s="9" t="s">
        <v>2082</v>
      </c>
      <c r="O302" s="9">
        <v>50</v>
      </c>
    </row>
    <row r="303" spans="1:15" ht="24" customHeight="1">
      <c r="A303" s="205" t="s">
        <v>1940</v>
      </c>
      <c r="B303" s="206" t="s">
        <v>2076</v>
      </c>
      <c r="C303" s="172" t="s">
        <v>2083</v>
      </c>
      <c r="D303" s="172" t="s">
        <v>2084</v>
      </c>
      <c r="E303" s="172">
        <v>50</v>
      </c>
      <c r="F303" s="172"/>
      <c r="G303" s="172"/>
      <c r="H303" s="172"/>
      <c r="I303" s="172"/>
      <c r="J303" s="172"/>
      <c r="K303" s="172"/>
      <c r="M303" s="9" t="s">
        <v>2083</v>
      </c>
      <c r="N303" s="9" t="s">
        <v>2084</v>
      </c>
      <c r="O303" s="9">
        <v>50</v>
      </c>
    </row>
    <row r="304" spans="1:15" ht="24" customHeight="1">
      <c r="A304" s="205" t="s">
        <v>1940</v>
      </c>
      <c r="B304" s="206" t="s">
        <v>2076</v>
      </c>
      <c r="C304" s="172" t="s">
        <v>2085</v>
      </c>
      <c r="D304" s="172" t="s">
        <v>2086</v>
      </c>
      <c r="E304" s="172">
        <v>50</v>
      </c>
      <c r="F304" s="172"/>
      <c r="G304" s="172"/>
      <c r="H304" s="172"/>
      <c r="I304" s="172"/>
      <c r="J304" s="172"/>
      <c r="K304" s="172"/>
      <c r="M304" s="9" t="s">
        <v>2085</v>
      </c>
      <c r="N304" s="9" t="s">
        <v>2086</v>
      </c>
      <c r="O304" s="9">
        <v>50</v>
      </c>
    </row>
    <row r="305" spans="1:15" ht="24" customHeight="1">
      <c r="A305" s="205" t="s">
        <v>1940</v>
      </c>
      <c r="B305" s="206" t="s">
        <v>2076</v>
      </c>
      <c r="C305" s="172" t="s">
        <v>2087</v>
      </c>
      <c r="D305" s="172" t="s">
        <v>2088</v>
      </c>
      <c r="E305" s="172">
        <v>40</v>
      </c>
      <c r="F305" s="172"/>
      <c r="G305" s="172"/>
      <c r="H305" s="172"/>
      <c r="I305" s="172"/>
      <c r="J305" s="172"/>
      <c r="K305" s="172"/>
      <c r="M305" s="9" t="s">
        <v>2087</v>
      </c>
      <c r="N305" s="9" t="s">
        <v>2088</v>
      </c>
      <c r="O305" s="9">
        <v>40</v>
      </c>
    </row>
    <row r="306" spans="1:15" ht="24" customHeight="1">
      <c r="A306" s="205" t="s">
        <v>1940</v>
      </c>
      <c r="B306" s="206" t="s">
        <v>2076</v>
      </c>
      <c r="C306" s="172" t="s">
        <v>2089</v>
      </c>
      <c r="D306" s="172" t="s">
        <v>2090</v>
      </c>
      <c r="E306" s="172">
        <v>40</v>
      </c>
      <c r="F306" s="172"/>
      <c r="G306" s="172"/>
      <c r="H306" s="172"/>
      <c r="I306" s="172"/>
      <c r="J306" s="172"/>
      <c r="K306" s="172"/>
      <c r="M306" s="9" t="s">
        <v>2089</v>
      </c>
      <c r="N306" s="9" t="s">
        <v>2090</v>
      </c>
      <c r="O306" s="9">
        <v>40</v>
      </c>
    </row>
    <row r="307" spans="1:15" ht="24" customHeight="1">
      <c r="A307" s="205" t="s">
        <v>1940</v>
      </c>
      <c r="B307" s="206" t="s">
        <v>2076</v>
      </c>
      <c r="C307" s="172" t="s">
        <v>2091</v>
      </c>
      <c r="D307" s="172" t="s">
        <v>2092</v>
      </c>
      <c r="E307" s="172">
        <v>40</v>
      </c>
      <c r="F307" s="172"/>
      <c r="G307" s="172"/>
      <c r="H307" s="172"/>
      <c r="I307" s="172"/>
      <c r="J307" s="172"/>
      <c r="K307" s="172"/>
      <c r="M307" s="9" t="s">
        <v>2091</v>
      </c>
      <c r="N307" s="9" t="s">
        <v>2092</v>
      </c>
      <c r="O307" s="9">
        <v>40</v>
      </c>
    </row>
    <row r="308" spans="1:15" ht="24" customHeight="1">
      <c r="A308" s="205" t="s">
        <v>1940</v>
      </c>
      <c r="B308" s="206" t="s">
        <v>2076</v>
      </c>
      <c r="C308" s="172" t="s">
        <v>2093</v>
      </c>
      <c r="D308" s="172" t="s">
        <v>2094</v>
      </c>
      <c r="E308" s="172">
        <v>40</v>
      </c>
      <c r="F308" s="172"/>
      <c r="G308" s="172"/>
      <c r="H308" s="172"/>
      <c r="I308" s="172"/>
      <c r="J308" s="172"/>
      <c r="K308" s="172"/>
      <c r="M308" s="9" t="s">
        <v>2093</v>
      </c>
      <c r="N308" s="9" t="s">
        <v>2094</v>
      </c>
      <c r="O308" s="9">
        <v>40</v>
      </c>
    </row>
    <row r="309" spans="1:15" ht="24" customHeight="1">
      <c r="A309" s="205" t="s">
        <v>1940</v>
      </c>
      <c r="B309" s="206" t="s">
        <v>2076</v>
      </c>
      <c r="C309" s="172" t="s">
        <v>2095</v>
      </c>
      <c r="D309" s="172" t="s">
        <v>2096</v>
      </c>
      <c r="E309" s="172">
        <v>40</v>
      </c>
      <c r="F309" s="172"/>
      <c r="G309" s="172"/>
      <c r="H309" s="172"/>
      <c r="I309" s="172"/>
      <c r="J309" s="172"/>
      <c r="K309" s="172"/>
      <c r="M309" s="9" t="s">
        <v>2095</v>
      </c>
      <c r="N309" s="9" t="s">
        <v>2096</v>
      </c>
      <c r="O309" s="9">
        <v>40</v>
      </c>
    </row>
    <row r="310" spans="1:15" ht="24" customHeight="1">
      <c r="A310" s="205" t="s">
        <v>1940</v>
      </c>
      <c r="B310" s="206" t="s">
        <v>2076</v>
      </c>
      <c r="C310" s="172" t="s">
        <v>2097</v>
      </c>
      <c r="D310" s="172" t="s">
        <v>2098</v>
      </c>
      <c r="E310" s="172">
        <v>30</v>
      </c>
      <c r="F310" s="172"/>
      <c r="G310" s="172"/>
      <c r="H310" s="172"/>
      <c r="I310" s="172"/>
      <c r="J310" s="172"/>
      <c r="K310" s="172"/>
      <c r="M310" s="9" t="s">
        <v>2097</v>
      </c>
      <c r="N310" s="9" t="s">
        <v>2098</v>
      </c>
      <c r="O310" s="9">
        <v>30</v>
      </c>
    </row>
    <row r="311" spans="1:15" ht="24" customHeight="1">
      <c r="A311" s="205" t="s">
        <v>1940</v>
      </c>
      <c r="B311" s="206" t="s">
        <v>2076</v>
      </c>
      <c r="C311" s="172" t="s">
        <v>2099</v>
      </c>
      <c r="D311" s="172" t="s">
        <v>2100</v>
      </c>
      <c r="E311" s="172">
        <v>30</v>
      </c>
      <c r="F311" s="172"/>
      <c r="G311" s="172"/>
      <c r="H311" s="172"/>
      <c r="I311" s="172"/>
      <c r="J311" s="172"/>
      <c r="K311" s="172"/>
      <c r="M311" s="9" t="s">
        <v>2099</v>
      </c>
      <c r="N311" s="9" t="s">
        <v>2100</v>
      </c>
      <c r="O311" s="9">
        <v>30</v>
      </c>
    </row>
    <row r="312" spans="1:15" ht="24" customHeight="1">
      <c r="A312" s="205" t="s">
        <v>1940</v>
      </c>
      <c r="B312" s="206" t="s">
        <v>2076</v>
      </c>
      <c r="C312" s="172" t="s">
        <v>2101</v>
      </c>
      <c r="D312" s="172" t="s">
        <v>2102</v>
      </c>
      <c r="E312" s="172">
        <v>30</v>
      </c>
      <c r="F312" s="172"/>
      <c r="G312" s="172"/>
      <c r="H312" s="172"/>
      <c r="I312" s="172"/>
      <c r="J312" s="172"/>
      <c r="K312" s="172"/>
      <c r="M312" s="9" t="s">
        <v>2101</v>
      </c>
      <c r="N312" s="9" t="s">
        <v>2102</v>
      </c>
      <c r="O312" s="9">
        <v>30</v>
      </c>
    </row>
    <row r="313" spans="1:15" ht="24" customHeight="1">
      <c r="A313" s="205" t="s">
        <v>1940</v>
      </c>
      <c r="B313" s="206" t="s">
        <v>2076</v>
      </c>
      <c r="C313" s="172" t="s">
        <v>2103</v>
      </c>
      <c r="D313" s="172" t="s">
        <v>2104</v>
      </c>
      <c r="E313" s="172">
        <v>30</v>
      </c>
      <c r="F313" s="172"/>
      <c r="G313" s="172"/>
      <c r="H313" s="172"/>
      <c r="I313" s="172"/>
      <c r="J313" s="172"/>
      <c r="K313" s="172"/>
      <c r="M313" s="9" t="s">
        <v>2103</v>
      </c>
      <c r="N313" s="9" t="s">
        <v>2104</v>
      </c>
      <c r="O313" s="9">
        <v>30</v>
      </c>
    </row>
    <row r="314" spans="1:15" ht="24" customHeight="1">
      <c r="A314" s="205" t="s">
        <v>1940</v>
      </c>
      <c r="B314" s="206" t="s">
        <v>2076</v>
      </c>
      <c r="C314" s="172" t="s">
        <v>2105</v>
      </c>
      <c r="D314" s="172" t="s">
        <v>2106</v>
      </c>
      <c r="E314" s="172">
        <v>30</v>
      </c>
      <c r="F314" s="172"/>
      <c r="G314" s="172"/>
      <c r="H314" s="172"/>
      <c r="I314" s="172"/>
      <c r="J314" s="172"/>
      <c r="K314" s="172"/>
      <c r="M314" s="9" t="s">
        <v>2105</v>
      </c>
      <c r="N314" s="9" t="s">
        <v>2106</v>
      </c>
      <c r="O314" s="9">
        <v>30</v>
      </c>
    </row>
    <row r="315" spans="1:15" ht="24" customHeight="1">
      <c r="A315" s="205" t="s">
        <v>1940</v>
      </c>
      <c r="B315" s="206" t="s">
        <v>2076</v>
      </c>
      <c r="C315" s="172" t="s">
        <v>2107</v>
      </c>
      <c r="D315" s="172" t="s">
        <v>2108</v>
      </c>
      <c r="E315" s="172">
        <v>20</v>
      </c>
      <c r="F315" s="172"/>
      <c r="G315" s="172"/>
      <c r="H315" s="172"/>
      <c r="I315" s="172"/>
      <c r="J315" s="172"/>
      <c r="K315" s="172"/>
      <c r="M315" s="9" t="s">
        <v>2107</v>
      </c>
      <c r="N315" s="9" t="s">
        <v>2108</v>
      </c>
      <c r="O315" s="9">
        <v>20</v>
      </c>
    </row>
    <row r="316" spans="1:15" ht="24" customHeight="1">
      <c r="A316" s="205" t="s">
        <v>1940</v>
      </c>
      <c r="B316" s="206" t="s">
        <v>2076</v>
      </c>
      <c r="C316" s="172" t="s">
        <v>2109</v>
      </c>
      <c r="D316" s="172" t="s">
        <v>2110</v>
      </c>
      <c r="E316" s="172">
        <v>20</v>
      </c>
      <c r="F316" s="172"/>
      <c r="G316" s="172"/>
      <c r="H316" s="172"/>
      <c r="I316" s="172"/>
      <c r="J316" s="172"/>
      <c r="K316" s="172"/>
      <c r="M316" s="9" t="s">
        <v>2109</v>
      </c>
      <c r="N316" s="9" t="s">
        <v>2110</v>
      </c>
      <c r="O316" s="9">
        <v>20</v>
      </c>
    </row>
    <row r="317" spans="1:15" ht="24" customHeight="1">
      <c r="A317" s="205" t="s">
        <v>1940</v>
      </c>
      <c r="B317" s="206" t="s">
        <v>2076</v>
      </c>
      <c r="C317" s="172" t="s">
        <v>2111</v>
      </c>
      <c r="D317" s="172" t="s">
        <v>2112</v>
      </c>
      <c r="E317" s="172">
        <v>20</v>
      </c>
      <c r="F317" s="172"/>
      <c r="G317" s="172"/>
      <c r="H317" s="172"/>
      <c r="I317" s="172"/>
      <c r="J317" s="172"/>
      <c r="K317" s="172"/>
      <c r="M317" s="9" t="s">
        <v>2111</v>
      </c>
      <c r="N317" s="9" t="s">
        <v>2112</v>
      </c>
      <c r="O317" s="9">
        <v>20</v>
      </c>
    </row>
    <row r="318" spans="1:15" ht="24" customHeight="1">
      <c r="A318" s="205" t="s">
        <v>1940</v>
      </c>
      <c r="B318" s="206" t="s">
        <v>2076</v>
      </c>
      <c r="C318" s="172" t="s">
        <v>2113</v>
      </c>
      <c r="D318" s="172" t="s">
        <v>2114</v>
      </c>
      <c r="E318" s="172">
        <v>20</v>
      </c>
      <c r="F318" s="172"/>
      <c r="G318" s="172"/>
      <c r="H318" s="172"/>
      <c r="I318" s="172"/>
      <c r="J318" s="172"/>
      <c r="K318" s="172"/>
      <c r="M318" s="9" t="s">
        <v>2113</v>
      </c>
      <c r="N318" s="9" t="s">
        <v>2114</v>
      </c>
      <c r="O318" s="9">
        <v>20</v>
      </c>
    </row>
    <row r="319" spans="1:15" ht="24" customHeight="1">
      <c r="A319" s="205" t="s">
        <v>1940</v>
      </c>
      <c r="B319" s="206" t="s">
        <v>2076</v>
      </c>
      <c r="C319" s="172" t="s">
        <v>2115</v>
      </c>
      <c r="D319" s="172" t="s">
        <v>2116</v>
      </c>
      <c r="E319" s="172">
        <v>20</v>
      </c>
      <c r="F319" s="172"/>
      <c r="G319" s="172"/>
      <c r="H319" s="172"/>
      <c r="I319" s="172"/>
      <c r="J319" s="172"/>
      <c r="K319" s="172"/>
      <c r="M319" s="9" t="s">
        <v>2115</v>
      </c>
      <c r="N319" s="9" t="s">
        <v>2116</v>
      </c>
      <c r="O319" s="9">
        <v>20</v>
      </c>
    </row>
    <row r="320" spans="1:15" ht="24" customHeight="1">
      <c r="A320" s="205" t="s">
        <v>1940</v>
      </c>
      <c r="B320" s="206" t="s">
        <v>2076</v>
      </c>
      <c r="C320" s="172" t="s">
        <v>2117</v>
      </c>
      <c r="D320" s="172" t="s">
        <v>2118</v>
      </c>
      <c r="E320" s="172">
        <v>5</v>
      </c>
      <c r="F320" s="172"/>
      <c r="G320" s="172"/>
      <c r="H320" s="172"/>
      <c r="I320" s="172"/>
      <c r="J320" s="172"/>
      <c r="K320" s="172"/>
      <c r="M320" s="9" t="s">
        <v>2117</v>
      </c>
      <c r="N320" s="9" t="s">
        <v>2118</v>
      </c>
      <c r="O320" s="9">
        <v>5</v>
      </c>
    </row>
    <row r="321" spans="1:15" ht="24" customHeight="1">
      <c r="A321" s="205" t="s">
        <v>1940</v>
      </c>
      <c r="B321" s="206" t="s">
        <v>2076</v>
      </c>
      <c r="C321" s="172" t="s">
        <v>2119</v>
      </c>
      <c r="D321" s="172" t="s">
        <v>2120</v>
      </c>
      <c r="E321" s="172">
        <v>5</v>
      </c>
      <c r="F321" s="172"/>
      <c r="G321" s="172"/>
      <c r="H321" s="172"/>
      <c r="I321" s="172"/>
      <c r="J321" s="172"/>
      <c r="K321" s="172"/>
      <c r="M321" s="9" t="s">
        <v>2119</v>
      </c>
      <c r="N321" s="9" t="s">
        <v>2120</v>
      </c>
      <c r="O321" s="9">
        <v>5</v>
      </c>
    </row>
    <row r="322" spans="1:15" ht="24" customHeight="1">
      <c r="A322" s="205" t="s">
        <v>1940</v>
      </c>
      <c r="B322" s="206" t="s">
        <v>2121</v>
      </c>
      <c r="C322" s="172" t="s">
        <v>2122</v>
      </c>
      <c r="D322" s="172" t="s">
        <v>2123</v>
      </c>
      <c r="E322" s="172">
        <v>50</v>
      </c>
      <c r="F322" s="172"/>
      <c r="G322" s="172"/>
      <c r="H322" s="172"/>
      <c r="I322" s="172"/>
      <c r="J322" s="172"/>
      <c r="K322" s="172"/>
      <c r="M322" s="9" t="s">
        <v>2122</v>
      </c>
      <c r="N322" s="9" t="s">
        <v>2123</v>
      </c>
      <c r="O322" s="9">
        <v>50</v>
      </c>
    </row>
    <row r="323" spans="1:15" ht="24" customHeight="1">
      <c r="A323" s="205" t="s">
        <v>1940</v>
      </c>
      <c r="B323" s="206" t="s">
        <v>2121</v>
      </c>
      <c r="C323" s="172" t="s">
        <v>2124</v>
      </c>
      <c r="D323" s="172" t="s">
        <v>2125</v>
      </c>
      <c r="E323" s="172">
        <v>50</v>
      </c>
      <c r="F323" s="172"/>
      <c r="G323" s="172"/>
      <c r="H323" s="172"/>
      <c r="I323" s="172"/>
      <c r="J323" s="172"/>
      <c r="K323" s="172"/>
      <c r="M323" s="9" t="s">
        <v>2124</v>
      </c>
      <c r="N323" s="9" t="s">
        <v>2125</v>
      </c>
      <c r="O323" s="9">
        <v>50</v>
      </c>
    </row>
    <row r="324" spans="1:15" ht="24" customHeight="1">
      <c r="A324" s="205" t="s">
        <v>1940</v>
      </c>
      <c r="B324" s="206" t="s">
        <v>2121</v>
      </c>
      <c r="C324" s="172" t="s">
        <v>2126</v>
      </c>
      <c r="D324" s="172" t="s">
        <v>2127</v>
      </c>
      <c r="E324" s="172">
        <v>50</v>
      </c>
      <c r="F324" s="172"/>
      <c r="G324" s="172"/>
      <c r="H324" s="172"/>
      <c r="I324" s="172"/>
      <c r="J324" s="172"/>
      <c r="K324" s="172"/>
      <c r="M324" s="9" t="s">
        <v>2126</v>
      </c>
      <c r="N324" s="9" t="s">
        <v>2127</v>
      </c>
      <c r="O324" s="9">
        <v>50</v>
      </c>
    </row>
    <row r="325" spans="1:15" ht="24" customHeight="1">
      <c r="A325" s="205" t="s">
        <v>1940</v>
      </c>
      <c r="B325" s="206" t="s">
        <v>2121</v>
      </c>
      <c r="C325" s="172" t="s">
        <v>2128</v>
      </c>
      <c r="D325" s="172" t="s">
        <v>2129</v>
      </c>
      <c r="E325" s="172">
        <v>50</v>
      </c>
      <c r="F325" s="172"/>
      <c r="G325" s="172"/>
      <c r="H325" s="172"/>
      <c r="I325" s="172"/>
      <c r="J325" s="172"/>
      <c r="K325" s="172"/>
      <c r="M325" s="9" t="s">
        <v>2128</v>
      </c>
      <c r="N325" s="9" t="s">
        <v>2129</v>
      </c>
      <c r="O325" s="9">
        <v>50</v>
      </c>
    </row>
    <row r="326" spans="1:15" ht="24" customHeight="1">
      <c r="A326" s="205" t="s">
        <v>1940</v>
      </c>
      <c r="B326" s="206" t="s">
        <v>2121</v>
      </c>
      <c r="C326" s="172" t="s">
        <v>2130</v>
      </c>
      <c r="D326" s="172" t="s">
        <v>2131</v>
      </c>
      <c r="E326" s="172">
        <v>50</v>
      </c>
      <c r="F326" s="172"/>
      <c r="G326" s="172"/>
      <c r="H326" s="172"/>
      <c r="I326" s="172"/>
      <c r="J326" s="172"/>
      <c r="K326" s="172"/>
      <c r="M326" s="9" t="s">
        <v>2130</v>
      </c>
      <c r="N326" s="9" t="s">
        <v>2131</v>
      </c>
      <c r="O326" s="9">
        <v>50</v>
      </c>
    </row>
    <row r="327" spans="1:15" ht="24" customHeight="1">
      <c r="A327" s="205" t="s">
        <v>1940</v>
      </c>
      <c r="B327" s="206" t="s">
        <v>2121</v>
      </c>
      <c r="C327" s="172" t="s">
        <v>2132</v>
      </c>
      <c r="D327" s="172" t="s">
        <v>2133</v>
      </c>
      <c r="E327" s="172">
        <v>40</v>
      </c>
      <c r="F327" s="172"/>
      <c r="G327" s="172"/>
      <c r="H327" s="172"/>
      <c r="I327" s="172"/>
      <c r="J327" s="172"/>
      <c r="K327" s="172"/>
      <c r="M327" s="9" t="s">
        <v>2132</v>
      </c>
      <c r="N327" s="9" t="s">
        <v>2133</v>
      </c>
      <c r="O327" s="9">
        <v>40</v>
      </c>
    </row>
    <row r="328" spans="1:15" ht="24" customHeight="1">
      <c r="A328" s="205" t="s">
        <v>1940</v>
      </c>
      <c r="B328" s="206" t="s">
        <v>2121</v>
      </c>
      <c r="C328" s="172" t="s">
        <v>2134</v>
      </c>
      <c r="D328" s="172" t="s">
        <v>2135</v>
      </c>
      <c r="E328" s="172">
        <v>40</v>
      </c>
      <c r="F328" s="172"/>
      <c r="G328" s="172"/>
      <c r="H328" s="172"/>
      <c r="I328" s="172"/>
      <c r="J328" s="172"/>
      <c r="K328" s="172"/>
      <c r="M328" s="9" t="s">
        <v>2134</v>
      </c>
      <c r="N328" s="9" t="s">
        <v>2135</v>
      </c>
      <c r="O328" s="9">
        <v>40</v>
      </c>
    </row>
    <row r="329" spans="1:15" ht="24" customHeight="1">
      <c r="A329" s="205" t="s">
        <v>1940</v>
      </c>
      <c r="B329" s="206" t="s">
        <v>2121</v>
      </c>
      <c r="C329" s="172" t="s">
        <v>2136</v>
      </c>
      <c r="D329" s="172" t="s">
        <v>2137</v>
      </c>
      <c r="E329" s="172">
        <v>40</v>
      </c>
      <c r="F329" s="172"/>
      <c r="G329" s="172"/>
      <c r="H329" s="172"/>
      <c r="I329" s="172"/>
      <c r="J329" s="172"/>
      <c r="K329" s="172"/>
      <c r="M329" s="9" t="s">
        <v>2136</v>
      </c>
      <c r="N329" s="9" t="s">
        <v>2137</v>
      </c>
      <c r="O329" s="9">
        <v>40</v>
      </c>
    </row>
    <row r="330" spans="1:15" ht="24" customHeight="1">
      <c r="A330" s="205" t="s">
        <v>1940</v>
      </c>
      <c r="B330" s="206" t="s">
        <v>2121</v>
      </c>
      <c r="C330" s="172" t="s">
        <v>2138</v>
      </c>
      <c r="D330" s="172" t="s">
        <v>2139</v>
      </c>
      <c r="E330" s="172">
        <v>40</v>
      </c>
      <c r="F330" s="172"/>
      <c r="G330" s="172"/>
      <c r="H330" s="172"/>
      <c r="I330" s="172"/>
      <c r="J330" s="172"/>
      <c r="K330" s="172"/>
      <c r="M330" s="9" t="s">
        <v>2138</v>
      </c>
      <c r="N330" s="9" t="s">
        <v>2139</v>
      </c>
      <c r="O330" s="9">
        <v>40</v>
      </c>
    </row>
    <row r="331" spans="1:15" ht="24" customHeight="1">
      <c r="A331" s="205" t="s">
        <v>1940</v>
      </c>
      <c r="B331" s="206" t="s">
        <v>2121</v>
      </c>
      <c r="C331" s="172" t="s">
        <v>2140</v>
      </c>
      <c r="D331" s="172" t="s">
        <v>2141</v>
      </c>
      <c r="E331" s="172">
        <v>40</v>
      </c>
      <c r="F331" s="172"/>
      <c r="G331" s="172"/>
      <c r="H331" s="172"/>
      <c r="I331" s="172"/>
      <c r="J331" s="172"/>
      <c r="K331" s="172"/>
      <c r="M331" s="9" t="s">
        <v>2140</v>
      </c>
      <c r="N331" s="9" t="s">
        <v>2141</v>
      </c>
      <c r="O331" s="9">
        <v>40</v>
      </c>
    </row>
    <row r="332" spans="1:15" ht="24" customHeight="1">
      <c r="A332" s="205" t="s">
        <v>1940</v>
      </c>
      <c r="B332" s="206" t="s">
        <v>2121</v>
      </c>
      <c r="C332" s="172" t="s">
        <v>2142</v>
      </c>
      <c r="D332" s="172" t="s">
        <v>2143</v>
      </c>
      <c r="E332" s="172">
        <v>30</v>
      </c>
      <c r="F332" s="172"/>
      <c r="G332" s="172"/>
      <c r="H332" s="172"/>
      <c r="I332" s="172"/>
      <c r="J332" s="172"/>
      <c r="K332" s="172"/>
      <c r="M332" s="9" t="s">
        <v>2142</v>
      </c>
      <c r="N332" s="9" t="s">
        <v>2143</v>
      </c>
      <c r="O332" s="9">
        <v>30</v>
      </c>
    </row>
    <row r="333" spans="1:15" ht="24" customHeight="1">
      <c r="A333" s="205" t="s">
        <v>1940</v>
      </c>
      <c r="B333" s="206" t="s">
        <v>2121</v>
      </c>
      <c r="C333" s="172" t="s">
        <v>2144</v>
      </c>
      <c r="D333" s="172" t="s">
        <v>2145</v>
      </c>
      <c r="E333" s="172">
        <v>30</v>
      </c>
      <c r="F333" s="172"/>
      <c r="G333" s="172"/>
      <c r="H333" s="172"/>
      <c r="I333" s="172"/>
      <c r="J333" s="172"/>
      <c r="K333" s="172"/>
      <c r="M333" s="9" t="s">
        <v>2144</v>
      </c>
      <c r="N333" s="9" t="s">
        <v>2145</v>
      </c>
      <c r="O333" s="9">
        <v>30</v>
      </c>
    </row>
    <row r="334" spans="1:15" ht="24" customHeight="1">
      <c r="A334" s="205" t="s">
        <v>1940</v>
      </c>
      <c r="B334" s="206" t="s">
        <v>2121</v>
      </c>
      <c r="C334" s="172" t="s">
        <v>2146</v>
      </c>
      <c r="D334" s="172" t="s">
        <v>2147</v>
      </c>
      <c r="E334" s="172">
        <v>30</v>
      </c>
      <c r="F334" s="172"/>
      <c r="G334" s="172"/>
      <c r="H334" s="172"/>
      <c r="I334" s="172"/>
      <c r="J334" s="172"/>
      <c r="K334" s="172"/>
      <c r="M334" s="9" t="s">
        <v>2146</v>
      </c>
      <c r="N334" s="9" t="s">
        <v>2147</v>
      </c>
      <c r="O334" s="9">
        <v>30</v>
      </c>
    </row>
    <row r="335" spans="1:15" ht="24" customHeight="1">
      <c r="A335" s="205" t="s">
        <v>1940</v>
      </c>
      <c r="B335" s="206" t="s">
        <v>2121</v>
      </c>
      <c r="C335" s="172" t="s">
        <v>2148</v>
      </c>
      <c r="D335" s="172" t="s">
        <v>2149</v>
      </c>
      <c r="E335" s="172">
        <v>30</v>
      </c>
      <c r="F335" s="172"/>
      <c r="G335" s="172"/>
      <c r="H335" s="172"/>
      <c r="I335" s="172"/>
      <c r="J335" s="172"/>
      <c r="K335" s="172"/>
      <c r="M335" s="9" t="s">
        <v>2148</v>
      </c>
      <c r="N335" s="9" t="s">
        <v>2149</v>
      </c>
      <c r="O335" s="9">
        <v>30</v>
      </c>
    </row>
    <row r="336" spans="1:15" ht="24" customHeight="1">
      <c r="A336" s="205" t="s">
        <v>1940</v>
      </c>
      <c r="B336" s="206" t="s">
        <v>2121</v>
      </c>
      <c r="C336" s="172" t="s">
        <v>2150</v>
      </c>
      <c r="D336" s="172" t="s">
        <v>2151</v>
      </c>
      <c r="E336" s="172">
        <v>30</v>
      </c>
      <c r="F336" s="172"/>
      <c r="G336" s="172"/>
      <c r="H336" s="172"/>
      <c r="I336" s="172"/>
      <c r="J336" s="172"/>
      <c r="K336" s="172"/>
      <c r="M336" s="9" t="s">
        <v>2150</v>
      </c>
      <c r="N336" s="9" t="s">
        <v>2151</v>
      </c>
      <c r="O336" s="9">
        <v>30</v>
      </c>
    </row>
    <row r="337" spans="1:15" ht="24" customHeight="1">
      <c r="A337" s="205" t="s">
        <v>1940</v>
      </c>
      <c r="B337" s="206" t="s">
        <v>2121</v>
      </c>
      <c r="C337" s="172" t="s">
        <v>2152</v>
      </c>
      <c r="D337" s="172" t="s">
        <v>1846</v>
      </c>
      <c r="E337" s="172">
        <v>20</v>
      </c>
      <c r="F337" s="172"/>
      <c r="G337" s="172"/>
      <c r="H337" s="172"/>
      <c r="I337" s="172"/>
      <c r="J337" s="172"/>
      <c r="K337" s="172"/>
      <c r="M337" s="9" t="s">
        <v>2152</v>
      </c>
      <c r="N337" s="9" t="s">
        <v>1846</v>
      </c>
      <c r="O337" s="9">
        <v>20</v>
      </c>
    </row>
    <row r="338" spans="1:15" ht="24" customHeight="1">
      <c r="A338" s="205" t="s">
        <v>1940</v>
      </c>
      <c r="B338" s="206" t="s">
        <v>2121</v>
      </c>
      <c r="C338" s="172" t="s">
        <v>2153</v>
      </c>
      <c r="D338" s="172" t="s">
        <v>2154</v>
      </c>
      <c r="E338" s="172">
        <v>20</v>
      </c>
      <c r="F338" s="172"/>
      <c r="G338" s="172"/>
      <c r="H338" s="172"/>
      <c r="I338" s="172"/>
      <c r="J338" s="172"/>
      <c r="K338" s="172"/>
      <c r="M338" s="9" t="s">
        <v>2153</v>
      </c>
      <c r="N338" s="9" t="s">
        <v>2154</v>
      </c>
      <c r="O338" s="9">
        <v>20</v>
      </c>
    </row>
    <row r="339" spans="1:15" ht="24" customHeight="1">
      <c r="A339" s="205" t="s">
        <v>1940</v>
      </c>
      <c r="B339" s="206" t="s">
        <v>2121</v>
      </c>
      <c r="C339" s="172" t="s">
        <v>2155</v>
      </c>
      <c r="D339" s="172" t="s">
        <v>2156</v>
      </c>
      <c r="E339" s="172">
        <v>20</v>
      </c>
      <c r="F339" s="172"/>
      <c r="G339" s="172"/>
      <c r="H339" s="172"/>
      <c r="I339" s="172"/>
      <c r="J339" s="172"/>
      <c r="K339" s="172"/>
      <c r="M339" s="9" t="s">
        <v>2155</v>
      </c>
      <c r="N339" s="9" t="s">
        <v>2156</v>
      </c>
      <c r="O339" s="9">
        <v>20</v>
      </c>
    </row>
    <row r="340" spans="1:15" ht="24" customHeight="1">
      <c r="A340" s="205" t="s">
        <v>1940</v>
      </c>
      <c r="B340" s="206" t="s">
        <v>2121</v>
      </c>
      <c r="C340" s="172" t="s">
        <v>2157</v>
      </c>
      <c r="D340" s="172" t="s">
        <v>2158</v>
      </c>
      <c r="E340" s="172">
        <v>20</v>
      </c>
      <c r="F340" s="172"/>
      <c r="G340" s="172"/>
      <c r="H340" s="172"/>
      <c r="I340" s="172"/>
      <c r="J340" s="172"/>
      <c r="K340" s="172"/>
      <c r="M340" s="9" t="s">
        <v>2157</v>
      </c>
      <c r="N340" s="9" t="s">
        <v>2158</v>
      </c>
      <c r="O340" s="9">
        <v>20</v>
      </c>
    </row>
    <row r="341" spans="1:15" ht="24" customHeight="1">
      <c r="A341" s="205" t="s">
        <v>1940</v>
      </c>
      <c r="B341" s="206" t="s">
        <v>2121</v>
      </c>
      <c r="C341" s="172" t="s">
        <v>2159</v>
      </c>
      <c r="D341" s="172" t="s">
        <v>2160</v>
      </c>
      <c r="E341" s="172">
        <v>20</v>
      </c>
      <c r="F341" s="172"/>
      <c r="G341" s="172"/>
      <c r="H341" s="172"/>
      <c r="I341" s="172"/>
      <c r="J341" s="172"/>
      <c r="K341" s="172"/>
      <c r="M341" s="9" t="s">
        <v>2159</v>
      </c>
      <c r="N341" s="9" t="s">
        <v>2160</v>
      </c>
      <c r="O341" s="9">
        <v>20</v>
      </c>
    </row>
    <row r="342" spans="1:15" ht="24" customHeight="1">
      <c r="A342" s="205" t="s">
        <v>1940</v>
      </c>
      <c r="B342" s="206" t="s">
        <v>2121</v>
      </c>
      <c r="C342" s="172" t="s">
        <v>2161</v>
      </c>
      <c r="D342" s="172" t="s">
        <v>2162</v>
      </c>
      <c r="E342" s="172">
        <v>5</v>
      </c>
      <c r="F342" s="172"/>
      <c r="G342" s="172"/>
      <c r="H342" s="172"/>
      <c r="I342" s="172"/>
      <c r="J342" s="172"/>
      <c r="K342" s="172"/>
      <c r="M342" s="9" t="s">
        <v>2161</v>
      </c>
      <c r="N342" s="9" t="s">
        <v>2162</v>
      </c>
      <c r="O342" s="9">
        <v>5</v>
      </c>
    </row>
    <row r="343" spans="1:15" ht="24" customHeight="1">
      <c r="A343" s="205" t="s">
        <v>1940</v>
      </c>
      <c r="B343" s="206" t="s">
        <v>2121</v>
      </c>
      <c r="C343" s="172" t="s">
        <v>2163</v>
      </c>
      <c r="D343" s="172" t="s">
        <v>2164</v>
      </c>
      <c r="E343" s="172">
        <v>5</v>
      </c>
      <c r="F343" s="172"/>
      <c r="G343" s="172"/>
      <c r="H343" s="172"/>
      <c r="I343" s="172"/>
      <c r="J343" s="172"/>
      <c r="K343" s="172"/>
      <c r="M343" s="9" t="s">
        <v>2163</v>
      </c>
      <c r="N343" s="9" t="s">
        <v>2164</v>
      </c>
      <c r="O343" s="9">
        <v>5</v>
      </c>
    </row>
  </sheetData>
  <mergeCells count="2">
    <mergeCell ref="A1:K1"/>
    <mergeCell ref="A2:K2"/>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B1889-84FC-4ABF-A4F9-98E174C7B076}">
  <sheetPr codeName="Sheet11">
    <tabColor rgb="FF866828"/>
  </sheetPr>
  <dimension ref="A1:E93"/>
  <sheetViews>
    <sheetView workbookViewId="0"/>
  </sheetViews>
  <sheetFormatPr defaultRowHeight="14.4"/>
  <cols>
    <col min="1" max="1" width="12.77734375" style="9" customWidth="1"/>
    <col min="2" max="3" width="18.77734375" style="9" customWidth="1"/>
    <col min="4" max="4" width="78.77734375" style="9" customWidth="1"/>
    <col min="5" max="5" width="22.77734375" style="9" customWidth="1"/>
    <col min="6" max="16384" width="8.88671875" style="9"/>
  </cols>
  <sheetData>
    <row r="1" spans="1:5" ht="24" customHeight="1">
      <c r="A1" s="192" t="s">
        <v>2167</v>
      </c>
      <c r="B1" s="192"/>
      <c r="C1" s="192"/>
      <c r="D1" s="192"/>
      <c r="E1" s="192"/>
    </row>
    <row r="2" spans="1:5" ht="24" customHeight="1">
      <c r="A2" s="203" t="s">
        <v>2168</v>
      </c>
      <c r="B2" s="203"/>
      <c r="C2" s="203"/>
      <c r="D2" s="203"/>
      <c r="E2" s="203"/>
    </row>
    <row r="3" spans="1:5" ht="24" customHeight="1">
      <c r="A3" s="204"/>
      <c r="B3" s="204"/>
      <c r="C3" s="204"/>
      <c r="D3" s="204"/>
      <c r="E3" s="204"/>
    </row>
    <row r="4" spans="1:5" ht="24" customHeight="1">
      <c r="A4" s="171" t="s">
        <v>2169</v>
      </c>
      <c r="B4" s="171" t="s">
        <v>2170</v>
      </c>
      <c r="C4" s="171" t="s">
        <v>1394</v>
      </c>
      <c r="D4" s="171" t="s">
        <v>206</v>
      </c>
      <c r="E4" s="171" t="s">
        <v>136</v>
      </c>
    </row>
    <row r="5" spans="1:5" ht="24" customHeight="1">
      <c r="A5" s="205" t="s">
        <v>2171</v>
      </c>
      <c r="B5" s="206" t="s">
        <v>2172</v>
      </c>
      <c r="C5" s="172" t="s">
        <v>2173</v>
      </c>
      <c r="D5" s="172" t="s">
        <v>2174</v>
      </c>
      <c r="E5" s="172"/>
    </row>
    <row r="6" spans="1:5" ht="24" customHeight="1">
      <c r="A6" s="205" t="s">
        <v>2171</v>
      </c>
      <c r="B6" s="206" t="s">
        <v>2172</v>
      </c>
      <c r="C6" s="172" t="s">
        <v>2175</v>
      </c>
      <c r="D6" s="172" t="s">
        <v>2176</v>
      </c>
      <c r="E6" s="172"/>
    </row>
    <row r="7" spans="1:5" ht="24" customHeight="1">
      <c r="A7" s="205" t="s">
        <v>2171</v>
      </c>
      <c r="B7" s="206" t="s">
        <v>2172</v>
      </c>
      <c r="C7" s="172" t="s">
        <v>2177</v>
      </c>
      <c r="D7" s="172" t="s">
        <v>2178</v>
      </c>
      <c r="E7" s="172"/>
    </row>
    <row r="8" spans="1:5" ht="24" customHeight="1">
      <c r="A8" s="205" t="s">
        <v>2171</v>
      </c>
      <c r="B8" s="206" t="s">
        <v>2172</v>
      </c>
      <c r="C8" s="172" t="s">
        <v>2179</v>
      </c>
      <c r="D8" s="172" t="s">
        <v>2180</v>
      </c>
      <c r="E8" s="172"/>
    </row>
    <row r="9" spans="1:5" ht="24" customHeight="1">
      <c r="A9" s="205" t="s">
        <v>2171</v>
      </c>
      <c r="B9" s="206" t="s">
        <v>2172</v>
      </c>
      <c r="C9" s="172" t="s">
        <v>2181</v>
      </c>
      <c r="D9" s="172" t="s">
        <v>2182</v>
      </c>
      <c r="E9" s="172"/>
    </row>
    <row r="10" spans="1:5" ht="24" customHeight="1">
      <c r="A10" s="205" t="s">
        <v>2171</v>
      </c>
      <c r="B10" s="206" t="s">
        <v>2172</v>
      </c>
      <c r="C10" s="172" t="s">
        <v>2183</v>
      </c>
      <c r="D10" s="172" t="s">
        <v>2184</v>
      </c>
      <c r="E10" s="172"/>
    </row>
    <row r="11" spans="1:5" ht="24" customHeight="1">
      <c r="A11" s="205" t="s">
        <v>2171</v>
      </c>
      <c r="B11" s="206" t="s">
        <v>2172</v>
      </c>
      <c r="C11" s="172" t="s">
        <v>2185</v>
      </c>
      <c r="D11" s="172" t="s">
        <v>2186</v>
      </c>
      <c r="E11" s="172"/>
    </row>
    <row r="12" spans="1:5" ht="24" customHeight="1">
      <c r="A12" s="205" t="s">
        <v>2171</v>
      </c>
      <c r="B12" s="206" t="s">
        <v>2172</v>
      </c>
      <c r="C12" s="172" t="s">
        <v>2187</v>
      </c>
      <c r="D12" s="172" t="s">
        <v>2188</v>
      </c>
      <c r="E12" s="172"/>
    </row>
    <row r="13" spans="1:5" ht="24" customHeight="1">
      <c r="A13" s="205" t="s">
        <v>2171</v>
      </c>
      <c r="B13" s="206" t="s">
        <v>2172</v>
      </c>
      <c r="C13" s="172" t="s">
        <v>2189</v>
      </c>
      <c r="D13" s="172" t="s">
        <v>2190</v>
      </c>
      <c r="E13" s="172"/>
    </row>
    <row r="14" spans="1:5" ht="24" customHeight="1">
      <c r="A14" s="205" t="s">
        <v>2171</v>
      </c>
      <c r="B14" s="206" t="s">
        <v>2172</v>
      </c>
      <c r="C14" s="172" t="s">
        <v>2191</v>
      </c>
      <c r="D14" s="172" t="s">
        <v>2192</v>
      </c>
      <c r="E14" s="172"/>
    </row>
    <row r="15" spans="1:5" ht="24" customHeight="1">
      <c r="A15" s="205" t="s">
        <v>2171</v>
      </c>
      <c r="B15" s="206" t="s">
        <v>2193</v>
      </c>
      <c r="C15" s="172" t="s">
        <v>2194</v>
      </c>
      <c r="D15" s="172" t="s">
        <v>2195</v>
      </c>
      <c r="E15" s="172"/>
    </row>
    <row r="16" spans="1:5" ht="24" customHeight="1">
      <c r="A16" s="205" t="s">
        <v>2171</v>
      </c>
      <c r="B16" s="206" t="s">
        <v>2193</v>
      </c>
      <c r="C16" s="172" t="s">
        <v>2196</v>
      </c>
      <c r="D16" s="172" t="s">
        <v>2197</v>
      </c>
      <c r="E16" s="172"/>
    </row>
    <row r="17" spans="1:5" ht="24" customHeight="1">
      <c r="A17" s="205" t="s">
        <v>2171</v>
      </c>
      <c r="B17" s="206" t="s">
        <v>2193</v>
      </c>
      <c r="C17" s="172" t="s">
        <v>2198</v>
      </c>
      <c r="D17" s="172" t="s">
        <v>2199</v>
      </c>
      <c r="E17" s="172"/>
    </row>
    <row r="18" spans="1:5" ht="24" customHeight="1">
      <c r="A18" s="205" t="s">
        <v>2171</v>
      </c>
      <c r="B18" s="206" t="s">
        <v>2193</v>
      </c>
      <c r="C18" s="172" t="s">
        <v>2200</v>
      </c>
      <c r="D18" s="172" t="s">
        <v>2201</v>
      </c>
      <c r="E18" s="172"/>
    </row>
    <row r="19" spans="1:5" ht="24" customHeight="1">
      <c r="A19" s="205" t="s">
        <v>2171</v>
      </c>
      <c r="B19" s="206" t="s">
        <v>2193</v>
      </c>
      <c r="C19" s="172" t="s">
        <v>2202</v>
      </c>
      <c r="D19" s="172" t="s">
        <v>2203</v>
      </c>
      <c r="E19" s="172"/>
    </row>
    <row r="20" spans="1:5" ht="24" customHeight="1">
      <c r="A20" s="205" t="s">
        <v>2171</v>
      </c>
      <c r="B20" s="206" t="s">
        <v>2193</v>
      </c>
      <c r="C20" s="172" t="s">
        <v>2204</v>
      </c>
      <c r="D20" s="172" t="s">
        <v>2205</v>
      </c>
      <c r="E20" s="172"/>
    </row>
    <row r="21" spans="1:5" ht="24" customHeight="1">
      <c r="A21" s="205" t="s">
        <v>2171</v>
      </c>
      <c r="B21" s="206" t="s">
        <v>2193</v>
      </c>
      <c r="C21" s="172" t="s">
        <v>2206</v>
      </c>
      <c r="D21" s="172" t="s">
        <v>2207</v>
      </c>
      <c r="E21" s="172"/>
    </row>
    <row r="22" spans="1:5" ht="24" customHeight="1">
      <c r="A22" s="205" t="s">
        <v>2171</v>
      </c>
      <c r="B22" s="206" t="s">
        <v>2193</v>
      </c>
      <c r="C22" s="172" t="s">
        <v>2208</v>
      </c>
      <c r="D22" s="172" t="s">
        <v>2209</v>
      </c>
      <c r="E22" s="172"/>
    </row>
    <row r="23" spans="1:5" ht="24" customHeight="1">
      <c r="A23" s="205" t="s">
        <v>2171</v>
      </c>
      <c r="B23" s="206" t="s">
        <v>2193</v>
      </c>
      <c r="C23" s="172" t="s">
        <v>2210</v>
      </c>
      <c r="D23" s="172" t="s">
        <v>2211</v>
      </c>
      <c r="E23" s="172"/>
    </row>
    <row r="24" spans="1:5" ht="24" customHeight="1">
      <c r="A24" s="205" t="s">
        <v>2171</v>
      </c>
      <c r="B24" s="206" t="s">
        <v>2212</v>
      </c>
      <c r="C24" s="172" t="s">
        <v>2213</v>
      </c>
      <c r="D24" s="172" t="s">
        <v>2214</v>
      </c>
      <c r="E24" s="172"/>
    </row>
    <row r="25" spans="1:5" ht="24" customHeight="1">
      <c r="A25" s="205" t="s">
        <v>2171</v>
      </c>
      <c r="B25" s="206" t="s">
        <v>2212</v>
      </c>
      <c r="C25" s="172" t="s">
        <v>2215</v>
      </c>
      <c r="D25" s="172" t="s">
        <v>2216</v>
      </c>
      <c r="E25" s="172"/>
    </row>
    <row r="26" spans="1:5" ht="24" customHeight="1">
      <c r="A26" s="205" t="s">
        <v>2171</v>
      </c>
      <c r="B26" s="206" t="s">
        <v>2212</v>
      </c>
      <c r="C26" s="172" t="s">
        <v>2217</v>
      </c>
      <c r="D26" s="172" t="s">
        <v>2218</v>
      </c>
      <c r="E26" s="172"/>
    </row>
    <row r="27" spans="1:5" ht="24" customHeight="1">
      <c r="A27" s="205" t="s">
        <v>2171</v>
      </c>
      <c r="B27" s="206" t="s">
        <v>2212</v>
      </c>
      <c r="C27" s="172" t="s">
        <v>2219</v>
      </c>
      <c r="D27" s="172" t="s">
        <v>2220</v>
      </c>
      <c r="E27" s="172"/>
    </row>
    <row r="28" spans="1:5" ht="24" customHeight="1">
      <c r="A28" s="205" t="s">
        <v>2171</v>
      </c>
      <c r="B28" s="206" t="s">
        <v>2212</v>
      </c>
      <c r="C28" s="172" t="s">
        <v>2221</v>
      </c>
      <c r="D28" s="172" t="s">
        <v>2222</v>
      </c>
      <c r="E28" s="172"/>
    </row>
    <row r="29" spans="1:5" ht="24" customHeight="1">
      <c r="A29" s="205" t="s">
        <v>2171</v>
      </c>
      <c r="B29" s="206" t="s">
        <v>2212</v>
      </c>
      <c r="C29" s="172" t="s">
        <v>2223</v>
      </c>
      <c r="D29" s="172" t="s">
        <v>2224</v>
      </c>
      <c r="E29" s="172"/>
    </row>
    <row r="30" spans="1:5" ht="24" customHeight="1">
      <c r="A30" s="205" t="s">
        <v>2225</v>
      </c>
      <c r="B30" s="206" t="s">
        <v>2172</v>
      </c>
      <c r="C30" s="172" t="s">
        <v>2226</v>
      </c>
      <c r="D30" s="172" t="s">
        <v>2227</v>
      </c>
      <c r="E30" s="172"/>
    </row>
    <row r="31" spans="1:5" ht="24" customHeight="1">
      <c r="A31" s="205" t="s">
        <v>2225</v>
      </c>
      <c r="B31" s="206" t="s">
        <v>2172</v>
      </c>
      <c r="C31" s="172" t="s">
        <v>2228</v>
      </c>
      <c r="D31" s="172" t="s">
        <v>2229</v>
      </c>
      <c r="E31" s="172"/>
    </row>
    <row r="32" spans="1:5" ht="24" customHeight="1">
      <c r="A32" s="205" t="s">
        <v>2225</v>
      </c>
      <c r="B32" s="206" t="s">
        <v>2172</v>
      </c>
      <c r="C32" s="172" t="s">
        <v>2230</v>
      </c>
      <c r="D32" s="172" t="s">
        <v>2231</v>
      </c>
      <c r="E32" s="172"/>
    </row>
    <row r="33" spans="1:5" ht="24" customHeight="1">
      <c r="A33" s="205" t="s">
        <v>2225</v>
      </c>
      <c r="B33" s="206" t="s">
        <v>2172</v>
      </c>
      <c r="C33" s="172" t="s">
        <v>2232</v>
      </c>
      <c r="D33" s="172" t="s">
        <v>2233</v>
      </c>
      <c r="E33" s="172"/>
    </row>
    <row r="34" spans="1:5" ht="24" customHeight="1">
      <c r="A34" s="205" t="s">
        <v>2225</v>
      </c>
      <c r="B34" s="206" t="s">
        <v>2172</v>
      </c>
      <c r="C34" s="172" t="s">
        <v>2234</v>
      </c>
      <c r="D34" s="172" t="s">
        <v>2235</v>
      </c>
      <c r="E34" s="172"/>
    </row>
    <row r="35" spans="1:5" ht="24" customHeight="1">
      <c r="A35" s="205" t="s">
        <v>2225</v>
      </c>
      <c r="B35" s="206" t="s">
        <v>2172</v>
      </c>
      <c r="C35" s="172" t="s">
        <v>2236</v>
      </c>
      <c r="D35" s="172" t="s">
        <v>2237</v>
      </c>
      <c r="E35" s="172"/>
    </row>
    <row r="36" spans="1:5" ht="24" customHeight="1">
      <c r="A36" s="205" t="s">
        <v>2225</v>
      </c>
      <c r="B36" s="206" t="s">
        <v>2172</v>
      </c>
      <c r="C36" s="172" t="s">
        <v>2238</v>
      </c>
      <c r="D36" s="172" t="s">
        <v>2239</v>
      </c>
      <c r="E36" s="172"/>
    </row>
    <row r="37" spans="1:5" ht="24" customHeight="1">
      <c r="A37" s="205" t="s">
        <v>2225</v>
      </c>
      <c r="B37" s="206" t="s">
        <v>2172</v>
      </c>
      <c r="C37" s="172" t="s">
        <v>2240</v>
      </c>
      <c r="D37" s="172" t="s">
        <v>2241</v>
      </c>
      <c r="E37" s="172"/>
    </row>
    <row r="38" spans="1:5" ht="24" customHeight="1">
      <c r="A38" s="205" t="s">
        <v>2225</v>
      </c>
      <c r="B38" s="206" t="s">
        <v>2172</v>
      </c>
      <c r="C38" s="172" t="s">
        <v>2242</v>
      </c>
      <c r="D38" s="172" t="s">
        <v>2243</v>
      </c>
      <c r="E38" s="172"/>
    </row>
    <row r="39" spans="1:5" ht="24" customHeight="1">
      <c r="A39" s="205" t="s">
        <v>2225</v>
      </c>
      <c r="B39" s="206" t="s">
        <v>2172</v>
      </c>
      <c r="C39" s="172" t="s">
        <v>2244</v>
      </c>
      <c r="D39" s="172" t="s">
        <v>2245</v>
      </c>
      <c r="E39" s="172"/>
    </row>
    <row r="40" spans="1:5" ht="24" customHeight="1">
      <c r="A40" s="205" t="s">
        <v>2225</v>
      </c>
      <c r="B40" s="206" t="s">
        <v>2246</v>
      </c>
      <c r="C40" s="172" t="s">
        <v>2247</v>
      </c>
      <c r="D40" s="172" t="s">
        <v>2248</v>
      </c>
      <c r="E40" s="172"/>
    </row>
    <row r="41" spans="1:5" ht="24" customHeight="1">
      <c r="A41" s="205" t="s">
        <v>2225</v>
      </c>
      <c r="B41" s="206" t="s">
        <v>2246</v>
      </c>
      <c r="C41" s="172" t="s">
        <v>2249</v>
      </c>
      <c r="D41" s="172" t="s">
        <v>2250</v>
      </c>
      <c r="E41" s="172"/>
    </row>
    <row r="42" spans="1:5" ht="24" customHeight="1">
      <c r="A42" s="205" t="s">
        <v>2225</v>
      </c>
      <c r="B42" s="206" t="s">
        <v>2246</v>
      </c>
      <c r="C42" s="172" t="s">
        <v>2251</v>
      </c>
      <c r="D42" s="172" t="s">
        <v>2252</v>
      </c>
      <c r="E42" s="172"/>
    </row>
    <row r="43" spans="1:5" ht="24" customHeight="1">
      <c r="A43" s="205" t="s">
        <v>2225</v>
      </c>
      <c r="B43" s="206" t="s">
        <v>2246</v>
      </c>
      <c r="C43" s="172" t="s">
        <v>2253</v>
      </c>
      <c r="D43" s="172" t="s">
        <v>2254</v>
      </c>
      <c r="E43" s="172"/>
    </row>
    <row r="44" spans="1:5" ht="24" customHeight="1">
      <c r="A44" s="205" t="s">
        <v>2225</v>
      </c>
      <c r="B44" s="206" t="s">
        <v>2246</v>
      </c>
      <c r="C44" s="172" t="s">
        <v>2255</v>
      </c>
      <c r="D44" s="172" t="s">
        <v>2256</v>
      </c>
      <c r="E44" s="172"/>
    </row>
    <row r="45" spans="1:5" ht="24" customHeight="1">
      <c r="A45" s="205" t="s">
        <v>2225</v>
      </c>
      <c r="B45" s="206" t="s">
        <v>2246</v>
      </c>
      <c r="C45" s="172" t="s">
        <v>2257</v>
      </c>
      <c r="D45" s="172" t="s">
        <v>2258</v>
      </c>
      <c r="E45" s="172"/>
    </row>
    <row r="46" spans="1:5" ht="24" customHeight="1">
      <c r="A46" s="205" t="s">
        <v>2225</v>
      </c>
      <c r="B46" s="206" t="s">
        <v>2246</v>
      </c>
      <c r="C46" s="172" t="s">
        <v>2259</v>
      </c>
      <c r="D46" s="172" t="s">
        <v>2260</v>
      </c>
      <c r="E46" s="172"/>
    </row>
    <row r="47" spans="1:5" ht="24" customHeight="1">
      <c r="A47" s="205" t="s">
        <v>2225</v>
      </c>
      <c r="B47" s="206" t="s">
        <v>2246</v>
      </c>
      <c r="C47" s="172" t="s">
        <v>2232</v>
      </c>
      <c r="D47" s="172" t="s">
        <v>2261</v>
      </c>
      <c r="E47" s="172"/>
    </row>
    <row r="48" spans="1:5" ht="24" customHeight="1">
      <c r="A48" s="205" t="s">
        <v>2225</v>
      </c>
      <c r="B48" s="206" t="s">
        <v>2246</v>
      </c>
      <c r="C48" s="172" t="s">
        <v>2262</v>
      </c>
      <c r="D48" s="172" t="s">
        <v>2263</v>
      </c>
      <c r="E48" s="172"/>
    </row>
    <row r="49" spans="1:5" ht="24" customHeight="1">
      <c r="A49" s="205" t="s">
        <v>2225</v>
      </c>
      <c r="B49" s="206" t="s">
        <v>2212</v>
      </c>
      <c r="C49" s="172" t="s">
        <v>2264</v>
      </c>
      <c r="D49" s="172" t="s">
        <v>2265</v>
      </c>
      <c r="E49" s="172"/>
    </row>
    <row r="50" spans="1:5" ht="24" customHeight="1">
      <c r="A50" s="205" t="s">
        <v>2225</v>
      </c>
      <c r="B50" s="206" t="s">
        <v>2212</v>
      </c>
      <c r="C50" s="172" t="s">
        <v>2266</v>
      </c>
      <c r="D50" s="172" t="s">
        <v>2267</v>
      </c>
      <c r="E50" s="172"/>
    </row>
    <row r="51" spans="1:5" ht="24" customHeight="1">
      <c r="A51" s="205" t="s">
        <v>2225</v>
      </c>
      <c r="B51" s="206" t="s">
        <v>2212</v>
      </c>
      <c r="C51" s="172" t="s">
        <v>2268</v>
      </c>
      <c r="D51" s="172" t="s">
        <v>2269</v>
      </c>
      <c r="E51" s="172"/>
    </row>
    <row r="52" spans="1:5" ht="24" customHeight="1">
      <c r="A52" s="205" t="s">
        <v>2225</v>
      </c>
      <c r="B52" s="206" t="s">
        <v>2212</v>
      </c>
      <c r="C52" s="172" t="s">
        <v>2270</v>
      </c>
      <c r="D52" s="172" t="s">
        <v>2271</v>
      </c>
      <c r="E52" s="172"/>
    </row>
    <row r="53" spans="1:5" ht="24" customHeight="1">
      <c r="A53" s="205" t="s">
        <v>2225</v>
      </c>
      <c r="B53" s="206" t="s">
        <v>2212</v>
      </c>
      <c r="C53" s="172" t="s">
        <v>2272</v>
      </c>
      <c r="D53" s="172" t="s">
        <v>2273</v>
      </c>
      <c r="E53" s="172"/>
    </row>
    <row r="54" spans="1:5" ht="24" customHeight="1">
      <c r="A54" s="205" t="s">
        <v>2225</v>
      </c>
      <c r="B54" s="206" t="s">
        <v>2212</v>
      </c>
      <c r="C54" s="172" t="s">
        <v>2274</v>
      </c>
      <c r="D54" s="172" t="s">
        <v>2275</v>
      </c>
      <c r="E54" s="172"/>
    </row>
    <row r="55" spans="1:5" ht="24" customHeight="1">
      <c r="A55" s="205" t="s">
        <v>2276</v>
      </c>
      <c r="B55" s="206" t="s">
        <v>2172</v>
      </c>
      <c r="C55" s="172" t="s">
        <v>2277</v>
      </c>
      <c r="D55" s="172" t="s">
        <v>2278</v>
      </c>
      <c r="E55" s="172"/>
    </row>
    <row r="56" spans="1:5" ht="24" customHeight="1">
      <c r="A56" s="205" t="s">
        <v>2276</v>
      </c>
      <c r="B56" s="206" t="s">
        <v>2172</v>
      </c>
      <c r="C56" s="172" t="s">
        <v>2279</v>
      </c>
      <c r="D56" s="172" t="s">
        <v>2280</v>
      </c>
      <c r="E56" s="172"/>
    </row>
    <row r="57" spans="1:5" ht="24" customHeight="1">
      <c r="A57" s="205" t="s">
        <v>2276</v>
      </c>
      <c r="B57" s="206" t="s">
        <v>2172</v>
      </c>
      <c r="C57" s="172" t="s">
        <v>2281</v>
      </c>
      <c r="D57" s="172" t="s">
        <v>2282</v>
      </c>
      <c r="E57" s="172"/>
    </row>
    <row r="58" spans="1:5" ht="24" customHeight="1">
      <c r="A58" s="205" t="s">
        <v>2276</v>
      </c>
      <c r="B58" s="206" t="s">
        <v>2172</v>
      </c>
      <c r="C58" s="172" t="s">
        <v>2283</v>
      </c>
      <c r="D58" s="172" t="s">
        <v>2284</v>
      </c>
      <c r="E58" s="172"/>
    </row>
    <row r="59" spans="1:5" ht="24" customHeight="1">
      <c r="A59" s="205" t="s">
        <v>2276</v>
      </c>
      <c r="B59" s="206" t="s">
        <v>2172</v>
      </c>
      <c r="C59" s="172" t="s">
        <v>2285</v>
      </c>
      <c r="D59" s="172" t="s">
        <v>2286</v>
      </c>
      <c r="E59" s="172"/>
    </row>
    <row r="60" spans="1:5" ht="24" customHeight="1">
      <c r="A60" s="205" t="s">
        <v>2276</v>
      </c>
      <c r="B60" s="206" t="s">
        <v>2172</v>
      </c>
      <c r="C60" s="172" t="s">
        <v>2287</v>
      </c>
      <c r="D60" s="172" t="s">
        <v>2288</v>
      </c>
      <c r="E60" s="172"/>
    </row>
    <row r="61" spans="1:5" ht="24" customHeight="1">
      <c r="A61" s="205" t="s">
        <v>2276</v>
      </c>
      <c r="B61" s="206" t="s">
        <v>2172</v>
      </c>
      <c r="C61" s="172" t="s">
        <v>2289</v>
      </c>
      <c r="D61" s="172" t="s">
        <v>2290</v>
      </c>
      <c r="E61" s="172"/>
    </row>
    <row r="62" spans="1:5" ht="24" customHeight="1">
      <c r="A62" s="205" t="s">
        <v>2276</v>
      </c>
      <c r="B62" s="206" t="s">
        <v>2172</v>
      </c>
      <c r="C62" s="172" t="s">
        <v>2291</v>
      </c>
      <c r="D62" s="172" t="s">
        <v>2292</v>
      </c>
      <c r="E62" s="172"/>
    </row>
    <row r="63" spans="1:5" ht="24" customHeight="1">
      <c r="A63" s="205" t="s">
        <v>2276</v>
      </c>
      <c r="B63" s="206" t="s">
        <v>2172</v>
      </c>
      <c r="C63" s="172" t="s">
        <v>2293</v>
      </c>
      <c r="D63" s="172" t="s">
        <v>2294</v>
      </c>
      <c r="E63" s="172"/>
    </row>
    <row r="64" spans="1:5" ht="24" customHeight="1">
      <c r="A64" s="205" t="s">
        <v>2276</v>
      </c>
      <c r="B64" s="206" t="s">
        <v>2172</v>
      </c>
      <c r="C64" s="172" t="s">
        <v>2295</v>
      </c>
      <c r="D64" s="172" t="s">
        <v>2296</v>
      </c>
      <c r="E64" s="172"/>
    </row>
    <row r="65" spans="1:5" ht="24" customHeight="1">
      <c r="A65" s="205" t="s">
        <v>2276</v>
      </c>
      <c r="B65" s="206" t="s">
        <v>2246</v>
      </c>
      <c r="C65" s="172" t="s">
        <v>2297</v>
      </c>
      <c r="D65" s="172" t="s">
        <v>2298</v>
      </c>
      <c r="E65" s="172"/>
    </row>
    <row r="66" spans="1:5" ht="24" customHeight="1">
      <c r="A66" s="205" t="s">
        <v>2276</v>
      </c>
      <c r="B66" s="206" t="s">
        <v>2246</v>
      </c>
      <c r="C66" s="172" t="s">
        <v>2299</v>
      </c>
      <c r="D66" s="172" t="s">
        <v>2300</v>
      </c>
      <c r="E66" s="172"/>
    </row>
    <row r="67" spans="1:5" ht="24" customHeight="1">
      <c r="A67" s="205" t="s">
        <v>2276</v>
      </c>
      <c r="B67" s="206" t="s">
        <v>2246</v>
      </c>
      <c r="C67" s="172" t="s">
        <v>2301</v>
      </c>
      <c r="D67" s="172" t="s">
        <v>2302</v>
      </c>
      <c r="E67" s="172"/>
    </row>
    <row r="68" spans="1:5" ht="24" customHeight="1">
      <c r="A68" s="205" t="s">
        <v>2276</v>
      </c>
      <c r="B68" s="206" t="s">
        <v>2246</v>
      </c>
      <c r="C68" s="172" t="s">
        <v>2303</v>
      </c>
      <c r="D68" s="172" t="s">
        <v>2304</v>
      </c>
      <c r="E68" s="172"/>
    </row>
    <row r="69" spans="1:5" ht="24" customHeight="1">
      <c r="A69" s="205" t="s">
        <v>2276</v>
      </c>
      <c r="B69" s="206" t="s">
        <v>2246</v>
      </c>
      <c r="C69" s="172" t="s">
        <v>2305</v>
      </c>
      <c r="D69" s="172" t="s">
        <v>2306</v>
      </c>
      <c r="E69" s="172"/>
    </row>
    <row r="70" spans="1:5" ht="24" customHeight="1">
      <c r="A70" s="205" t="s">
        <v>2276</v>
      </c>
      <c r="B70" s="206" t="s">
        <v>2246</v>
      </c>
      <c r="C70" s="172" t="s">
        <v>2307</v>
      </c>
      <c r="D70" s="172" t="s">
        <v>2308</v>
      </c>
      <c r="E70" s="172"/>
    </row>
    <row r="71" spans="1:5" ht="24" customHeight="1">
      <c r="A71" s="205" t="s">
        <v>2276</v>
      </c>
      <c r="B71" s="206" t="s">
        <v>2246</v>
      </c>
      <c r="C71" s="172" t="s">
        <v>2309</v>
      </c>
      <c r="D71" s="172" t="s">
        <v>2310</v>
      </c>
      <c r="E71" s="172"/>
    </row>
    <row r="72" spans="1:5" ht="24" customHeight="1">
      <c r="A72" s="205" t="s">
        <v>2276</v>
      </c>
      <c r="B72" s="206" t="s">
        <v>2246</v>
      </c>
      <c r="C72" s="172" t="s">
        <v>2311</v>
      </c>
      <c r="D72" s="172" t="s">
        <v>2312</v>
      </c>
      <c r="E72" s="172"/>
    </row>
    <row r="73" spans="1:5" ht="24" customHeight="1">
      <c r="A73" s="205" t="s">
        <v>2276</v>
      </c>
      <c r="B73" s="206" t="s">
        <v>2246</v>
      </c>
      <c r="C73" s="172" t="s">
        <v>2313</v>
      </c>
      <c r="D73" s="172" t="s">
        <v>2314</v>
      </c>
      <c r="E73" s="172"/>
    </row>
    <row r="74" spans="1:5" ht="24" customHeight="1">
      <c r="A74" s="205" t="s">
        <v>2276</v>
      </c>
      <c r="B74" s="206" t="s">
        <v>2212</v>
      </c>
      <c r="C74" s="172" t="s">
        <v>2315</v>
      </c>
      <c r="D74" s="172" t="s">
        <v>2316</v>
      </c>
      <c r="E74" s="172"/>
    </row>
    <row r="75" spans="1:5" ht="24" customHeight="1">
      <c r="A75" s="205" t="s">
        <v>2276</v>
      </c>
      <c r="B75" s="206" t="s">
        <v>2212</v>
      </c>
      <c r="C75" s="172" t="s">
        <v>2317</v>
      </c>
      <c r="D75" s="172" t="s">
        <v>2318</v>
      </c>
      <c r="E75" s="172"/>
    </row>
    <row r="76" spans="1:5" ht="24" customHeight="1">
      <c r="A76" s="205" t="s">
        <v>2276</v>
      </c>
      <c r="B76" s="206" t="s">
        <v>2212</v>
      </c>
      <c r="C76" s="172" t="s">
        <v>2319</v>
      </c>
      <c r="D76" s="172" t="s">
        <v>2320</v>
      </c>
      <c r="E76" s="172"/>
    </row>
    <row r="77" spans="1:5" ht="24" customHeight="1">
      <c r="A77" s="205" t="s">
        <v>2276</v>
      </c>
      <c r="B77" s="206" t="s">
        <v>2212</v>
      </c>
      <c r="C77" s="172" t="s">
        <v>2321</v>
      </c>
      <c r="D77" s="172" t="s">
        <v>2322</v>
      </c>
      <c r="E77" s="172"/>
    </row>
    <row r="78" spans="1:5" ht="24" customHeight="1">
      <c r="A78" s="205" t="s">
        <v>2276</v>
      </c>
      <c r="B78" s="206" t="s">
        <v>2212</v>
      </c>
      <c r="C78" s="172" t="s">
        <v>2323</v>
      </c>
      <c r="D78" s="172" t="s">
        <v>2324</v>
      </c>
      <c r="E78" s="172"/>
    </row>
    <row r="79" spans="1:5" ht="24" customHeight="1">
      <c r="A79" s="205" t="s">
        <v>2325</v>
      </c>
      <c r="B79" s="206" t="s">
        <v>2172</v>
      </c>
      <c r="C79" s="172" t="s">
        <v>2326</v>
      </c>
      <c r="D79" s="172"/>
      <c r="E79" s="172"/>
    </row>
    <row r="80" spans="1:5" ht="24" customHeight="1">
      <c r="A80" s="205" t="s">
        <v>2325</v>
      </c>
      <c r="B80" s="206" t="s">
        <v>2172</v>
      </c>
      <c r="C80" s="172" t="s">
        <v>2327</v>
      </c>
      <c r="D80" s="172"/>
      <c r="E80" s="172"/>
    </row>
    <row r="81" spans="1:5" ht="24" customHeight="1">
      <c r="A81" s="205" t="s">
        <v>2325</v>
      </c>
      <c r="B81" s="206" t="s">
        <v>2172</v>
      </c>
      <c r="C81" s="172" t="s">
        <v>2328</v>
      </c>
      <c r="D81" s="172"/>
      <c r="E81" s="172"/>
    </row>
    <row r="82" spans="1:5" ht="24" customHeight="1">
      <c r="A82" s="205" t="s">
        <v>2325</v>
      </c>
      <c r="B82" s="206" t="s">
        <v>2172</v>
      </c>
      <c r="C82" s="172" t="s">
        <v>2329</v>
      </c>
      <c r="D82" s="172"/>
      <c r="E82" s="172"/>
    </row>
    <row r="83" spans="1:5" ht="24" customHeight="1">
      <c r="A83" s="205" t="s">
        <v>2325</v>
      </c>
      <c r="B83" s="206" t="s">
        <v>2172</v>
      </c>
      <c r="C83" s="172" t="s">
        <v>2330</v>
      </c>
      <c r="D83" s="172"/>
      <c r="E83" s="172"/>
    </row>
    <row r="84" spans="1:5" ht="24" customHeight="1">
      <c r="A84" s="205" t="s">
        <v>2325</v>
      </c>
      <c r="B84" s="206" t="s">
        <v>2172</v>
      </c>
      <c r="C84" s="172" t="s">
        <v>2331</v>
      </c>
      <c r="D84" s="172"/>
      <c r="E84" s="172"/>
    </row>
    <row r="85" spans="1:5" ht="24" customHeight="1">
      <c r="A85" s="205" t="s">
        <v>2325</v>
      </c>
      <c r="B85" s="206" t="s">
        <v>2212</v>
      </c>
      <c r="C85" s="172" t="s">
        <v>2332</v>
      </c>
      <c r="D85" s="172" t="s">
        <v>2333</v>
      </c>
      <c r="E85" s="172"/>
    </row>
    <row r="86" spans="1:5" ht="24" customHeight="1">
      <c r="A86" s="205" t="s">
        <v>2325</v>
      </c>
      <c r="B86" s="206" t="s">
        <v>2212</v>
      </c>
      <c r="C86" s="172" t="s">
        <v>2334</v>
      </c>
      <c r="D86" s="172" t="s">
        <v>2335</v>
      </c>
      <c r="E86" s="172"/>
    </row>
    <row r="87" spans="1:5" ht="24" customHeight="1">
      <c r="A87" s="205" t="s">
        <v>2325</v>
      </c>
      <c r="B87" s="206" t="s">
        <v>2212</v>
      </c>
      <c r="C87" s="172" t="s">
        <v>2336</v>
      </c>
      <c r="D87" s="172" t="s">
        <v>2337</v>
      </c>
      <c r="E87" s="172"/>
    </row>
    <row r="88" spans="1:5" ht="24" customHeight="1">
      <c r="A88" s="205" t="s">
        <v>2325</v>
      </c>
      <c r="B88" s="206" t="s">
        <v>2212</v>
      </c>
      <c r="C88" s="172" t="s">
        <v>2338</v>
      </c>
      <c r="D88" s="172" t="s">
        <v>2339</v>
      </c>
      <c r="E88" s="172"/>
    </row>
    <row r="89" spans="1:5" ht="24" customHeight="1">
      <c r="A89" s="205" t="s">
        <v>2325</v>
      </c>
      <c r="B89" s="206" t="s">
        <v>2212</v>
      </c>
      <c r="C89" s="172" t="s">
        <v>2340</v>
      </c>
      <c r="D89" s="172" t="s">
        <v>2341</v>
      </c>
      <c r="E89" s="172"/>
    </row>
    <row r="90" spans="1:5" ht="24" customHeight="1">
      <c r="A90" s="205" t="s">
        <v>2325</v>
      </c>
      <c r="B90" s="206" t="s">
        <v>2212</v>
      </c>
      <c r="C90" s="172" t="s">
        <v>2342</v>
      </c>
      <c r="D90" s="172" t="s">
        <v>2343</v>
      </c>
      <c r="E90" s="172"/>
    </row>
    <row r="91" spans="1:5" ht="24" customHeight="1">
      <c r="A91" s="205" t="s">
        <v>2325</v>
      </c>
      <c r="B91" s="206" t="s">
        <v>2344</v>
      </c>
      <c r="C91" s="172" t="s">
        <v>2345</v>
      </c>
      <c r="D91" s="172"/>
      <c r="E91" s="172"/>
    </row>
    <row r="92" spans="1:5" ht="24" customHeight="1">
      <c r="A92" s="205" t="s">
        <v>2346</v>
      </c>
      <c r="B92" s="206" t="s">
        <v>2347</v>
      </c>
      <c r="C92" s="172" t="s">
        <v>2348</v>
      </c>
      <c r="D92" s="172" t="s">
        <v>2349</v>
      </c>
      <c r="E92" s="172" t="s">
        <v>2350</v>
      </c>
    </row>
    <row r="93" spans="1:5" ht="24" customHeight="1">
      <c r="A93" s="205" t="s">
        <v>2346</v>
      </c>
      <c r="B93" s="206" t="s">
        <v>2351</v>
      </c>
      <c r="C93" s="172" t="s">
        <v>2352</v>
      </c>
      <c r="D93" s="172" t="s">
        <v>2353</v>
      </c>
      <c r="E93" s="172" t="s">
        <v>2354</v>
      </c>
    </row>
  </sheetData>
  <mergeCells count="2">
    <mergeCell ref="A1:E1"/>
    <mergeCell ref="A2:E2"/>
  </mergeCells>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4849B-4533-4055-961B-6D53E14DEC48}">
  <sheetPr codeName="Sheet12">
    <tabColor rgb="FF866828"/>
  </sheetPr>
  <dimension ref="A1:R56"/>
  <sheetViews>
    <sheetView tabSelected="1" workbookViewId="0">
      <selection sqref="A1:R1"/>
    </sheetView>
  </sheetViews>
  <sheetFormatPr defaultRowHeight="14.4"/>
  <cols>
    <col min="1" max="1" width="14.77734375" style="9" customWidth="1"/>
    <col min="2" max="2" width="10.77734375" style="9" customWidth="1"/>
    <col min="3" max="3" width="14.77734375" style="9" customWidth="1"/>
    <col min="4" max="4" width="10.77734375" style="9" customWidth="1"/>
    <col min="5" max="5" width="12.77734375" style="9" customWidth="1"/>
    <col min="6" max="7" width="10.77734375" style="9" customWidth="1"/>
    <col min="8" max="8" width="14.77734375" style="9" customWidth="1"/>
    <col min="9" max="13" width="10.77734375" style="9" customWidth="1"/>
    <col min="14" max="14" width="14.77734375" style="9" customWidth="1"/>
    <col min="15" max="18" width="10.77734375" style="9" customWidth="1"/>
    <col min="19" max="16384" width="8.88671875" style="9"/>
  </cols>
  <sheetData>
    <row r="1" spans="1:18" ht="24" customHeight="1">
      <c r="A1" s="192" t="s">
        <v>2355</v>
      </c>
      <c r="B1" s="192"/>
      <c r="C1" s="192"/>
      <c r="D1" s="192"/>
      <c r="E1" s="192"/>
      <c r="F1" s="192"/>
      <c r="G1" s="192"/>
      <c r="H1" s="192"/>
      <c r="I1" s="192"/>
      <c r="J1" s="192"/>
      <c r="K1" s="192"/>
      <c r="L1" s="192"/>
      <c r="M1" s="192"/>
      <c r="N1" s="192"/>
      <c r="O1" s="192"/>
      <c r="P1" s="192"/>
      <c r="Q1" s="192"/>
      <c r="R1" s="192"/>
    </row>
    <row r="2" spans="1:18" ht="24" customHeight="1">
      <c r="A2" s="171" t="s">
        <v>17</v>
      </c>
      <c r="B2" s="207"/>
      <c r="C2" s="171" t="s">
        <v>18</v>
      </c>
      <c r="D2" s="207"/>
      <c r="E2" s="171" t="s">
        <v>19</v>
      </c>
      <c r="F2" s="207"/>
      <c r="G2" s="208" t="s">
        <v>43</v>
      </c>
      <c r="H2" s="209" t="s">
        <v>248</v>
      </c>
      <c r="I2" s="209"/>
      <c r="J2" s="209"/>
      <c r="K2" s="203" t="str">
        <f>IF(OR(H2="",H2="空"),"",IFERROR(VLOOKUP(H2,装备列表!$M$5:$T$400,2,FALSE),""))</f>
        <v/>
      </c>
      <c r="L2" s="203"/>
      <c r="M2" s="203"/>
      <c r="N2" s="203"/>
      <c r="O2" s="203"/>
      <c r="P2" s="203"/>
      <c r="Q2" s="203"/>
      <c r="R2" s="203"/>
    </row>
    <row r="3" spans="1:18" ht="24" customHeight="1">
      <c r="A3" s="171" t="s">
        <v>24</v>
      </c>
      <c r="B3" s="207"/>
      <c r="C3" s="171" t="s">
        <v>25</v>
      </c>
      <c r="D3" s="207"/>
      <c r="E3" s="171"/>
      <c r="F3" s="207"/>
      <c r="G3" s="208" t="s">
        <v>49</v>
      </c>
      <c r="H3" s="209" t="s">
        <v>248</v>
      </c>
      <c r="I3" s="209"/>
      <c r="J3" s="209"/>
      <c r="K3" s="203" t="str">
        <f>IF(OR(H3="",H3="空"),"",IFERROR(VLOOKUP(H3,装备列表!$M$5:$T$400,2,FALSE),""))</f>
        <v/>
      </c>
      <c r="L3" s="203"/>
      <c r="M3" s="203"/>
      <c r="N3" s="203"/>
      <c r="O3" s="203"/>
      <c r="P3" s="203"/>
      <c r="Q3" s="203"/>
      <c r="R3" s="203"/>
    </row>
    <row r="4" spans="1:18" ht="24" customHeight="1">
      <c r="A4" s="171" t="s">
        <v>28</v>
      </c>
      <c r="B4" s="207"/>
      <c r="C4" s="171" t="s">
        <v>29</v>
      </c>
      <c r="D4" s="207"/>
      <c r="E4" s="171"/>
      <c r="F4" s="207"/>
      <c r="G4" s="208" t="s">
        <v>56</v>
      </c>
      <c r="H4" s="209" t="s">
        <v>248</v>
      </c>
      <c r="I4" s="209"/>
      <c r="J4" s="209"/>
      <c r="K4" s="203" t="str">
        <f>IF(OR(H4="",H4="空"),"",IFERROR(VLOOKUP(H4,装备列表!$M$5:$T$400,2,FALSE),""))</f>
        <v/>
      </c>
      <c r="L4" s="203"/>
      <c r="M4" s="203"/>
      <c r="N4" s="203"/>
      <c r="O4" s="203"/>
      <c r="P4" s="203"/>
      <c r="Q4" s="203"/>
      <c r="R4" s="203"/>
    </row>
    <row r="5" spans="1:18" ht="24" customHeight="1">
      <c r="A5" s="171" t="s">
        <v>33</v>
      </c>
      <c r="B5" s="207"/>
      <c r="C5" s="171" t="s">
        <v>34</v>
      </c>
      <c r="D5" s="207"/>
      <c r="E5" s="171"/>
      <c r="F5" s="207"/>
      <c r="G5" s="208" t="s">
        <v>1401</v>
      </c>
      <c r="H5" s="209" t="s">
        <v>248</v>
      </c>
      <c r="I5" s="209"/>
      <c r="J5" s="209"/>
      <c r="K5" s="203" t="str">
        <f>IF(OR(H5="",H5="空"),"",IFERROR(VLOOKUP(H5,装备列表!$M$5:$T$400,2,FALSE),""))</f>
        <v/>
      </c>
      <c r="L5" s="203"/>
      <c r="M5" s="203"/>
      <c r="N5" s="203"/>
      <c r="O5" s="203"/>
      <c r="P5" s="203"/>
      <c r="Q5" s="203"/>
      <c r="R5" s="203"/>
    </row>
    <row r="6" spans="1:18" ht="24" customHeight="1">
      <c r="A6" s="204"/>
      <c r="B6" s="204"/>
      <c r="C6" s="204"/>
      <c r="D6" s="204"/>
      <c r="E6" s="204"/>
      <c r="F6" s="204"/>
      <c r="G6" s="204"/>
      <c r="H6" s="204"/>
      <c r="I6" s="204"/>
      <c r="J6" s="204"/>
      <c r="K6" s="204"/>
      <c r="L6" s="204"/>
      <c r="M6" s="204"/>
      <c r="N6" s="204"/>
      <c r="O6" s="204"/>
      <c r="P6" s="204"/>
      <c r="Q6" s="204"/>
      <c r="R6" s="204"/>
    </row>
    <row r="7" spans="1:18" ht="24" customHeight="1">
      <c r="A7" s="210" t="s">
        <v>2359</v>
      </c>
      <c r="B7" s="210"/>
      <c r="C7" s="210"/>
      <c r="D7" s="210"/>
      <c r="E7" s="210"/>
      <c r="F7" s="210"/>
      <c r="G7" s="210"/>
      <c r="H7" s="210" t="s">
        <v>2360</v>
      </c>
      <c r="I7" s="210"/>
      <c r="J7" s="210"/>
      <c r="K7" s="210"/>
      <c r="L7" s="210"/>
      <c r="M7" s="210"/>
      <c r="N7" s="211" t="s">
        <v>2361</v>
      </c>
      <c r="O7" s="211"/>
      <c r="P7" s="211"/>
      <c r="Q7" s="211"/>
      <c r="R7" s="211"/>
    </row>
    <row r="8" spans="1:18" ht="24" customHeight="1">
      <c r="A8" s="208" t="s">
        <v>73</v>
      </c>
      <c r="B8" s="212" t="s">
        <v>2364</v>
      </c>
      <c r="C8" s="212"/>
      <c r="D8" s="212"/>
      <c r="E8" s="212"/>
      <c r="F8" s="212"/>
      <c r="G8" s="212"/>
      <c r="H8" s="208" t="s">
        <v>2362</v>
      </c>
      <c r="I8" s="208" t="s">
        <v>2429</v>
      </c>
      <c r="J8" s="212" t="s">
        <v>2365</v>
      </c>
      <c r="K8" s="212"/>
      <c r="L8" s="212"/>
      <c r="M8" s="212"/>
      <c r="N8" s="208" t="s">
        <v>2363</v>
      </c>
      <c r="O8" s="212" t="s">
        <v>2366</v>
      </c>
      <c r="P8" s="212"/>
      <c r="Q8" s="212"/>
      <c r="R8" s="212"/>
    </row>
    <row r="9" spans="1:18" ht="24" customHeight="1">
      <c r="A9" s="172" t="s">
        <v>248</v>
      </c>
      <c r="B9" s="213" t="str">
        <f>IF(OR(A9="",A9="空"),"",IFERROR(VLOOKUP(A9,'书籍、特性与技能'!$AA$2:$AD$400,2,FALSE),""))</f>
        <v/>
      </c>
      <c r="C9" s="213"/>
      <c r="D9" s="213"/>
      <c r="E9" s="213"/>
      <c r="F9" s="213"/>
      <c r="G9" s="213"/>
      <c r="H9" s="172" t="s">
        <v>248</v>
      </c>
      <c r="I9" s="172" t="str">
        <f>IF(OR(H9="",H9="空"),"",IFERROR(VLOOKUP(H9,装备列表!$M$5:$T$400,8,FALSE),""))</f>
        <v/>
      </c>
      <c r="J9" s="213" t="str">
        <f>IF(OR(H9="",H9="空"),"",IFERROR(VLOOKUP(H9,装备列表!$M$5:$T$400,2,FALSE),""))</f>
        <v/>
      </c>
      <c r="K9" s="213"/>
      <c r="L9" s="213"/>
      <c r="M9" s="213"/>
      <c r="N9" s="172"/>
      <c r="O9" s="213"/>
      <c r="P9" s="213"/>
      <c r="Q9" s="213"/>
      <c r="R9" s="213"/>
    </row>
    <row r="10" spans="1:18" ht="24" customHeight="1">
      <c r="A10" s="172" t="s">
        <v>248</v>
      </c>
      <c r="B10" s="213" t="str">
        <f>IF(OR(A10="",A10="空"),"",IFERROR(VLOOKUP(A10,'书籍、特性与技能'!$AA$2:$AD$400,2,FALSE),""))</f>
        <v/>
      </c>
      <c r="C10" s="213"/>
      <c r="D10" s="213"/>
      <c r="E10" s="213"/>
      <c r="F10" s="213"/>
      <c r="G10" s="213"/>
      <c r="H10" s="172" t="s">
        <v>248</v>
      </c>
      <c r="I10" s="172" t="str">
        <f>IF(OR(H10="",H10="空"),"",IFERROR(VLOOKUP(H10,装备列表!$M$5:$T$400,8,FALSE),""))</f>
        <v/>
      </c>
      <c r="J10" s="213" t="str">
        <f>IF(OR(H10="",H10="空"),"",IFERROR(VLOOKUP(H10,装备列表!$M$5:$T$400,2,FALSE),""))</f>
        <v/>
      </c>
      <c r="K10" s="213"/>
      <c r="L10" s="213"/>
      <c r="M10" s="213"/>
      <c r="N10" s="172"/>
      <c r="O10" s="213"/>
      <c r="P10" s="213"/>
      <c r="Q10" s="213"/>
      <c r="R10" s="213"/>
    </row>
    <row r="11" spans="1:18" ht="24" customHeight="1">
      <c r="A11" s="172" t="s">
        <v>248</v>
      </c>
      <c r="B11" s="213" t="str">
        <f>IF(OR(A11="",A11="空"),"",IFERROR(VLOOKUP(A11,'书籍、特性与技能'!$AA$2:$AD$400,2,FALSE),""))</f>
        <v/>
      </c>
      <c r="C11" s="213"/>
      <c r="D11" s="213"/>
      <c r="E11" s="213"/>
      <c r="F11" s="213"/>
      <c r="G11" s="213"/>
      <c r="H11" s="172" t="s">
        <v>248</v>
      </c>
      <c r="I11" s="172" t="str">
        <f>IF(OR(H11="",H11="空"),"",IFERROR(VLOOKUP(H11,装备列表!$M$5:$T$400,8,FALSE),""))</f>
        <v/>
      </c>
      <c r="J11" s="213" t="str">
        <f>IF(OR(H11="",H11="空"),"",IFERROR(VLOOKUP(H11,装备列表!$M$5:$T$400,2,FALSE),""))</f>
        <v/>
      </c>
      <c r="K11" s="213"/>
      <c r="L11" s="213"/>
      <c r="M11" s="213"/>
      <c r="N11" s="172"/>
      <c r="O11" s="213"/>
      <c r="P11" s="213"/>
      <c r="Q11" s="213"/>
      <c r="R11" s="213"/>
    </row>
    <row r="12" spans="1:18" ht="24" customHeight="1">
      <c r="A12" s="172" t="s">
        <v>248</v>
      </c>
      <c r="B12" s="213" t="str">
        <f>IF(OR(A12="",A12="空"),"",IFERROR(VLOOKUP(A12,'书籍、特性与技能'!$AA$2:$AD$400,2,FALSE),""))</f>
        <v/>
      </c>
      <c r="C12" s="213"/>
      <c r="D12" s="213"/>
      <c r="E12" s="213"/>
      <c r="F12" s="213"/>
      <c r="G12" s="213"/>
      <c r="H12" s="172" t="s">
        <v>248</v>
      </c>
      <c r="I12" s="172" t="str">
        <f>IF(OR(H12="",H12="空"),"",IFERROR(VLOOKUP(H12,装备列表!$M$5:$T$400,8,FALSE),""))</f>
        <v/>
      </c>
      <c r="J12" s="213" t="str">
        <f>IF(OR(H12="",H12="空"),"",IFERROR(VLOOKUP(H12,装备列表!$M$5:$T$400,2,FALSE),""))</f>
        <v/>
      </c>
      <c r="K12" s="213"/>
      <c r="L12" s="213"/>
      <c r="M12" s="213"/>
      <c r="N12" s="172"/>
      <c r="O12" s="213"/>
      <c r="P12" s="213"/>
      <c r="Q12" s="213"/>
      <c r="R12" s="213"/>
    </row>
    <row r="13" spans="1:18" ht="24" customHeight="1">
      <c r="A13" s="191"/>
      <c r="B13" s="191"/>
      <c r="C13" s="191"/>
      <c r="D13" s="191"/>
      <c r="E13" s="191"/>
      <c r="F13" s="191"/>
      <c r="G13" s="191"/>
      <c r="H13" s="191"/>
      <c r="I13" s="191"/>
      <c r="J13" s="191"/>
      <c r="K13" s="191"/>
      <c r="L13" s="191"/>
      <c r="M13" s="191"/>
      <c r="N13" s="191"/>
      <c r="O13" s="191"/>
      <c r="P13" s="191"/>
      <c r="Q13" s="191"/>
      <c r="R13" s="191"/>
    </row>
    <row r="14" spans="1:18" ht="24" customHeight="1">
      <c r="A14" s="191"/>
      <c r="B14" s="191"/>
      <c r="C14" s="191"/>
      <c r="D14" s="191"/>
      <c r="E14" s="191"/>
      <c r="F14" s="191"/>
      <c r="G14" s="191"/>
      <c r="H14" s="191"/>
      <c r="I14" s="191"/>
      <c r="J14" s="191"/>
      <c r="K14" s="191"/>
      <c r="L14" s="191"/>
      <c r="M14" s="191"/>
      <c r="N14" s="191"/>
      <c r="O14" s="191"/>
      <c r="P14" s="191"/>
      <c r="Q14" s="191"/>
      <c r="R14" s="191"/>
    </row>
    <row r="15" spans="1:18" ht="24" customHeight="1">
      <c r="A15" s="192" t="s">
        <v>2356</v>
      </c>
      <c r="B15" s="192"/>
      <c r="C15" s="192"/>
      <c r="D15" s="192"/>
      <c r="E15" s="192"/>
      <c r="F15" s="192"/>
      <c r="G15" s="192"/>
      <c r="H15" s="192"/>
      <c r="I15" s="192"/>
      <c r="J15" s="192"/>
      <c r="K15" s="192"/>
      <c r="L15" s="192"/>
      <c r="M15" s="192"/>
      <c r="N15" s="192"/>
      <c r="O15" s="192"/>
      <c r="P15" s="192"/>
      <c r="Q15" s="192"/>
      <c r="R15" s="192"/>
    </row>
    <row r="16" spans="1:18" ht="24" customHeight="1">
      <c r="A16" s="171" t="s">
        <v>17</v>
      </c>
      <c r="B16" s="207"/>
      <c r="C16" s="171" t="s">
        <v>18</v>
      </c>
      <c r="D16" s="207"/>
      <c r="E16" s="171" t="s">
        <v>19</v>
      </c>
      <c r="F16" s="207"/>
      <c r="G16" s="208" t="s">
        <v>43</v>
      </c>
      <c r="H16" s="209" t="s">
        <v>248</v>
      </c>
      <c r="I16" s="209"/>
      <c r="J16" s="209"/>
      <c r="K16" s="203" t="str">
        <f>IF(OR(H16="",H16="空"),"",IFERROR(VLOOKUP(H16,装备列表!$M$5:$T$400,2,FALSE),""))</f>
        <v/>
      </c>
      <c r="L16" s="203"/>
      <c r="M16" s="203"/>
      <c r="N16" s="203"/>
      <c r="O16" s="203"/>
      <c r="P16" s="203"/>
      <c r="Q16" s="203"/>
      <c r="R16" s="203"/>
    </row>
    <row r="17" spans="1:18" ht="24" customHeight="1">
      <c r="A17" s="171" t="s">
        <v>24</v>
      </c>
      <c r="B17" s="207"/>
      <c r="C17" s="171" t="s">
        <v>25</v>
      </c>
      <c r="D17" s="207"/>
      <c r="E17" s="171"/>
      <c r="F17" s="207"/>
      <c r="G17" s="208" t="s">
        <v>49</v>
      </c>
      <c r="H17" s="209" t="s">
        <v>248</v>
      </c>
      <c r="I17" s="209"/>
      <c r="J17" s="209"/>
      <c r="K17" s="203" t="str">
        <f>IF(OR(H17="",H17="空"),"",IFERROR(VLOOKUP(H17,装备列表!$M$5:$T$400,2,FALSE),""))</f>
        <v/>
      </c>
      <c r="L17" s="203"/>
      <c r="M17" s="203"/>
      <c r="N17" s="203"/>
      <c r="O17" s="203"/>
      <c r="P17" s="203"/>
      <c r="Q17" s="203"/>
      <c r="R17" s="203"/>
    </row>
    <row r="18" spans="1:18" ht="24" customHeight="1">
      <c r="A18" s="171" t="s">
        <v>28</v>
      </c>
      <c r="B18" s="207"/>
      <c r="C18" s="171" t="s">
        <v>29</v>
      </c>
      <c r="D18" s="207"/>
      <c r="E18" s="171"/>
      <c r="F18" s="207"/>
      <c r="G18" s="208" t="s">
        <v>56</v>
      </c>
      <c r="H18" s="209" t="s">
        <v>248</v>
      </c>
      <c r="I18" s="209"/>
      <c r="J18" s="209"/>
      <c r="K18" s="203" t="str">
        <f>IF(OR(H18="",H18="空"),"",IFERROR(VLOOKUP(H18,装备列表!$M$5:$T$400,2,FALSE),""))</f>
        <v/>
      </c>
      <c r="L18" s="203"/>
      <c r="M18" s="203"/>
      <c r="N18" s="203"/>
      <c r="O18" s="203"/>
      <c r="P18" s="203"/>
      <c r="Q18" s="203"/>
      <c r="R18" s="203"/>
    </row>
    <row r="19" spans="1:18" ht="24" customHeight="1">
      <c r="A19" s="171" t="s">
        <v>33</v>
      </c>
      <c r="B19" s="207"/>
      <c r="C19" s="171" t="s">
        <v>34</v>
      </c>
      <c r="D19" s="207"/>
      <c r="E19" s="171"/>
      <c r="F19" s="207"/>
      <c r="G19" s="208" t="s">
        <v>1401</v>
      </c>
      <c r="H19" s="209" t="s">
        <v>248</v>
      </c>
      <c r="I19" s="209"/>
      <c r="J19" s="209"/>
      <c r="K19" s="203" t="str">
        <f>IF(OR(H19="",H19="空"),"",IFERROR(VLOOKUP(H19,装备列表!$M$5:$T$400,2,FALSE),""))</f>
        <v/>
      </c>
      <c r="L19" s="203"/>
      <c r="M19" s="203"/>
      <c r="N19" s="203"/>
      <c r="O19" s="203"/>
      <c r="P19" s="203"/>
      <c r="Q19" s="203"/>
      <c r="R19" s="203"/>
    </row>
    <row r="20" spans="1:18" ht="24" customHeight="1">
      <c r="A20" s="204"/>
      <c r="B20" s="204"/>
      <c r="C20" s="204"/>
      <c r="D20" s="204"/>
      <c r="E20" s="204"/>
      <c r="F20" s="204"/>
      <c r="G20" s="204"/>
      <c r="H20" s="204"/>
      <c r="I20" s="204"/>
      <c r="J20" s="204"/>
      <c r="K20" s="204"/>
      <c r="L20" s="204"/>
      <c r="M20" s="204"/>
      <c r="N20" s="204"/>
      <c r="O20" s="204"/>
      <c r="P20" s="204"/>
      <c r="Q20" s="204"/>
      <c r="R20" s="204"/>
    </row>
    <row r="21" spans="1:18" ht="24" customHeight="1">
      <c r="A21" s="210" t="s">
        <v>2359</v>
      </c>
      <c r="B21" s="210"/>
      <c r="C21" s="210"/>
      <c r="D21" s="210"/>
      <c r="E21" s="210"/>
      <c r="F21" s="210"/>
      <c r="G21" s="210"/>
      <c r="H21" s="210" t="s">
        <v>2360</v>
      </c>
      <c r="I21" s="210"/>
      <c r="J21" s="210"/>
      <c r="K21" s="210"/>
      <c r="L21" s="210"/>
      <c r="M21" s="210"/>
      <c r="N21" s="211" t="s">
        <v>2361</v>
      </c>
      <c r="O21" s="211"/>
      <c r="P21" s="211"/>
      <c r="Q21" s="211"/>
      <c r="R21" s="211"/>
    </row>
    <row r="22" spans="1:18" ht="24" customHeight="1">
      <c r="A22" s="208" t="s">
        <v>73</v>
      </c>
      <c r="B22" s="212" t="s">
        <v>2364</v>
      </c>
      <c r="C22" s="212"/>
      <c r="D22" s="212"/>
      <c r="E22" s="212"/>
      <c r="F22" s="212"/>
      <c r="G22" s="212"/>
      <c r="H22" s="208" t="s">
        <v>2362</v>
      </c>
      <c r="I22" s="208" t="s">
        <v>2429</v>
      </c>
      <c r="J22" s="212" t="s">
        <v>2365</v>
      </c>
      <c r="K22" s="212"/>
      <c r="L22" s="212"/>
      <c r="M22" s="212"/>
      <c r="N22" s="208" t="s">
        <v>2363</v>
      </c>
      <c r="O22" s="212" t="s">
        <v>2366</v>
      </c>
      <c r="P22" s="212"/>
      <c r="Q22" s="212"/>
      <c r="R22" s="212"/>
    </row>
    <row r="23" spans="1:18" ht="24" customHeight="1">
      <c r="A23" s="172" t="s">
        <v>248</v>
      </c>
      <c r="B23" s="213" t="str">
        <f>IF(OR(A23="",A23="空"),"",IFERROR(VLOOKUP(A23,'书籍、特性与技能'!$AA$2:$AD$400,2,FALSE),""))</f>
        <v/>
      </c>
      <c r="C23" s="213"/>
      <c r="D23" s="213"/>
      <c r="E23" s="213"/>
      <c r="F23" s="213"/>
      <c r="G23" s="213"/>
      <c r="H23" s="172" t="s">
        <v>248</v>
      </c>
      <c r="I23" s="172" t="str">
        <f>IF(OR(H23="",H23="空"),"",IFERROR(VLOOKUP(H23,装备列表!$M$5:$T$400,8,FALSE),""))</f>
        <v/>
      </c>
      <c r="J23" s="213" t="str">
        <f>IF(OR(H23="",H23="空"),"",IFERROR(VLOOKUP(H23,装备列表!$M$5:$T$400,2,FALSE),""))</f>
        <v/>
      </c>
      <c r="K23" s="213"/>
      <c r="L23" s="213"/>
      <c r="M23" s="213"/>
      <c r="N23" s="172"/>
      <c r="O23" s="213"/>
      <c r="P23" s="213"/>
      <c r="Q23" s="213"/>
      <c r="R23" s="213"/>
    </row>
    <row r="24" spans="1:18" ht="24" customHeight="1">
      <c r="A24" s="172" t="s">
        <v>248</v>
      </c>
      <c r="B24" s="213" t="str">
        <f>IF(OR(A24="",A24="空"),"",IFERROR(VLOOKUP(A24,'书籍、特性与技能'!$AA$2:$AD$400,2,FALSE),""))</f>
        <v/>
      </c>
      <c r="C24" s="213"/>
      <c r="D24" s="213"/>
      <c r="E24" s="213"/>
      <c r="F24" s="213"/>
      <c r="G24" s="213"/>
      <c r="H24" s="172" t="s">
        <v>248</v>
      </c>
      <c r="I24" s="172" t="str">
        <f>IF(OR(H24="",H24="空"),"",IFERROR(VLOOKUP(H24,装备列表!$M$5:$T$400,8,FALSE),""))</f>
        <v/>
      </c>
      <c r="J24" s="213" t="str">
        <f>IF(OR(H24="",H24="空"),"",IFERROR(VLOOKUP(H24,装备列表!$M$5:$T$400,2,FALSE),""))</f>
        <v/>
      </c>
      <c r="K24" s="213"/>
      <c r="L24" s="213"/>
      <c r="M24" s="213"/>
      <c r="N24" s="172"/>
      <c r="O24" s="213"/>
      <c r="P24" s="213"/>
      <c r="Q24" s="213"/>
      <c r="R24" s="213"/>
    </row>
    <row r="25" spans="1:18" ht="24" customHeight="1">
      <c r="A25" s="172" t="s">
        <v>248</v>
      </c>
      <c r="B25" s="213" t="str">
        <f>IF(OR(A25="",A25="空"),"",IFERROR(VLOOKUP(A25,'书籍、特性与技能'!$AA$2:$AD$400,2,FALSE),""))</f>
        <v/>
      </c>
      <c r="C25" s="213"/>
      <c r="D25" s="213"/>
      <c r="E25" s="213"/>
      <c r="F25" s="213"/>
      <c r="G25" s="213"/>
      <c r="H25" s="172" t="s">
        <v>248</v>
      </c>
      <c r="I25" s="172" t="str">
        <f>IF(OR(H25="",H25="空"),"",IFERROR(VLOOKUP(H25,装备列表!$M$5:$T$400,8,FALSE),""))</f>
        <v/>
      </c>
      <c r="J25" s="213" t="str">
        <f>IF(OR(H25="",H25="空"),"",IFERROR(VLOOKUP(H25,装备列表!$M$5:$T$400,2,FALSE),""))</f>
        <v/>
      </c>
      <c r="K25" s="213"/>
      <c r="L25" s="213"/>
      <c r="M25" s="213"/>
      <c r="N25" s="172"/>
      <c r="O25" s="213"/>
      <c r="P25" s="213"/>
      <c r="Q25" s="213"/>
      <c r="R25" s="213"/>
    </row>
    <row r="26" spans="1:18" ht="24" customHeight="1">
      <c r="A26" s="172" t="s">
        <v>248</v>
      </c>
      <c r="B26" s="213" t="str">
        <f>IF(OR(A26="",A26="空"),"",IFERROR(VLOOKUP(A26,'书籍、特性与技能'!$AA$2:$AD$400,2,FALSE),""))</f>
        <v/>
      </c>
      <c r="C26" s="213"/>
      <c r="D26" s="213"/>
      <c r="E26" s="213"/>
      <c r="F26" s="213"/>
      <c r="G26" s="213"/>
      <c r="H26" s="172" t="s">
        <v>248</v>
      </c>
      <c r="I26" s="172" t="str">
        <f>IF(OR(H26="",H26="空"),"",IFERROR(VLOOKUP(H26,装备列表!$M$5:$T$400,8,FALSE),""))</f>
        <v/>
      </c>
      <c r="J26" s="213" t="str">
        <f>IF(OR(H26="",H26="空"),"",IFERROR(VLOOKUP(H26,装备列表!$M$5:$T$400,2,FALSE),""))</f>
        <v/>
      </c>
      <c r="K26" s="213"/>
      <c r="L26" s="213"/>
      <c r="M26" s="213"/>
      <c r="N26" s="172"/>
      <c r="O26" s="213"/>
      <c r="P26" s="213"/>
      <c r="Q26" s="213"/>
      <c r="R26" s="213"/>
    </row>
    <row r="27" spans="1:18" ht="24" customHeight="1">
      <c r="A27" s="191"/>
      <c r="B27" s="191"/>
      <c r="C27" s="191"/>
      <c r="D27" s="191"/>
      <c r="E27" s="191"/>
      <c r="F27" s="191"/>
      <c r="G27" s="191"/>
      <c r="H27" s="191"/>
      <c r="I27" s="191"/>
      <c r="J27" s="191"/>
      <c r="K27" s="191"/>
      <c r="L27" s="191"/>
      <c r="M27" s="191"/>
      <c r="N27" s="191"/>
      <c r="O27" s="191"/>
      <c r="P27" s="191"/>
      <c r="Q27" s="191"/>
      <c r="R27" s="191"/>
    </row>
    <row r="28" spans="1:18" ht="24" customHeight="1">
      <c r="A28" s="191"/>
      <c r="B28" s="191"/>
      <c r="C28" s="191"/>
      <c r="D28" s="191"/>
      <c r="E28" s="191"/>
      <c r="F28" s="191"/>
      <c r="G28" s="191"/>
      <c r="H28" s="191"/>
      <c r="I28" s="191"/>
      <c r="J28" s="191"/>
      <c r="K28" s="191"/>
      <c r="L28" s="191"/>
      <c r="M28" s="191"/>
      <c r="N28" s="191"/>
      <c r="O28" s="191"/>
      <c r="P28" s="191"/>
      <c r="Q28" s="191"/>
      <c r="R28" s="191"/>
    </row>
    <row r="29" spans="1:18" ht="24" customHeight="1">
      <c r="A29" s="192" t="s">
        <v>2357</v>
      </c>
      <c r="B29" s="192"/>
      <c r="C29" s="192"/>
      <c r="D29" s="192"/>
      <c r="E29" s="192"/>
      <c r="F29" s="192"/>
      <c r="G29" s="192"/>
      <c r="H29" s="192"/>
      <c r="I29" s="192"/>
      <c r="J29" s="192"/>
      <c r="K29" s="192"/>
      <c r="L29" s="192"/>
      <c r="M29" s="192"/>
      <c r="N29" s="192"/>
      <c r="O29" s="192"/>
      <c r="P29" s="192"/>
      <c r="Q29" s="192"/>
      <c r="R29" s="192"/>
    </row>
    <row r="30" spans="1:18" ht="24" customHeight="1">
      <c r="A30" s="171" t="s">
        <v>17</v>
      </c>
      <c r="B30" s="207"/>
      <c r="C30" s="171" t="s">
        <v>18</v>
      </c>
      <c r="D30" s="207"/>
      <c r="E30" s="171" t="s">
        <v>19</v>
      </c>
      <c r="F30" s="207"/>
      <c r="G30" s="208" t="s">
        <v>43</v>
      </c>
      <c r="H30" s="209" t="s">
        <v>248</v>
      </c>
      <c r="I30" s="209"/>
      <c r="J30" s="209"/>
      <c r="K30" s="203" t="str">
        <f>IF(OR(H30="",H30="空"),"",IFERROR(VLOOKUP(H30,装备列表!$M$5:$T$400,2,FALSE),""))</f>
        <v/>
      </c>
      <c r="L30" s="203"/>
      <c r="M30" s="203"/>
      <c r="N30" s="203"/>
      <c r="O30" s="203"/>
      <c r="P30" s="203"/>
      <c r="Q30" s="203"/>
      <c r="R30" s="203"/>
    </row>
    <row r="31" spans="1:18" ht="24" customHeight="1">
      <c r="A31" s="171" t="s">
        <v>24</v>
      </c>
      <c r="B31" s="207"/>
      <c r="C31" s="171" t="s">
        <v>25</v>
      </c>
      <c r="D31" s="207"/>
      <c r="E31" s="171"/>
      <c r="F31" s="207"/>
      <c r="G31" s="208" t="s">
        <v>49</v>
      </c>
      <c r="H31" s="209" t="s">
        <v>248</v>
      </c>
      <c r="I31" s="209"/>
      <c r="J31" s="209"/>
      <c r="K31" s="203" t="str">
        <f>IF(OR(H31="",H31="空"),"",IFERROR(VLOOKUP(H31,装备列表!$M$5:$T$400,2,FALSE),""))</f>
        <v/>
      </c>
      <c r="L31" s="203"/>
      <c r="M31" s="203"/>
      <c r="N31" s="203"/>
      <c r="O31" s="203"/>
      <c r="P31" s="203"/>
      <c r="Q31" s="203"/>
      <c r="R31" s="203"/>
    </row>
    <row r="32" spans="1:18" ht="24" customHeight="1">
      <c r="A32" s="171" t="s">
        <v>28</v>
      </c>
      <c r="B32" s="207"/>
      <c r="C32" s="171" t="s">
        <v>29</v>
      </c>
      <c r="D32" s="207"/>
      <c r="E32" s="171"/>
      <c r="F32" s="207"/>
      <c r="G32" s="208" t="s">
        <v>56</v>
      </c>
      <c r="H32" s="209" t="s">
        <v>248</v>
      </c>
      <c r="I32" s="209"/>
      <c r="J32" s="209"/>
      <c r="K32" s="203" t="str">
        <f>IF(OR(H32="",H32="空"),"",IFERROR(VLOOKUP(H32,装备列表!$M$5:$T$400,2,FALSE),""))</f>
        <v/>
      </c>
      <c r="L32" s="203"/>
      <c r="M32" s="203"/>
      <c r="N32" s="203"/>
      <c r="O32" s="203"/>
      <c r="P32" s="203"/>
      <c r="Q32" s="203"/>
      <c r="R32" s="203"/>
    </row>
    <row r="33" spans="1:18" ht="24" customHeight="1">
      <c r="A33" s="171" t="s">
        <v>33</v>
      </c>
      <c r="B33" s="207"/>
      <c r="C33" s="171" t="s">
        <v>34</v>
      </c>
      <c r="D33" s="207"/>
      <c r="E33" s="171"/>
      <c r="F33" s="207"/>
      <c r="G33" s="208" t="s">
        <v>1401</v>
      </c>
      <c r="H33" s="209" t="s">
        <v>248</v>
      </c>
      <c r="I33" s="209"/>
      <c r="J33" s="209"/>
      <c r="K33" s="203" t="str">
        <f>IF(OR(H33="",H33="空"),"",IFERROR(VLOOKUP(H33,装备列表!$M$5:$T$400,2,FALSE),""))</f>
        <v/>
      </c>
      <c r="L33" s="203"/>
      <c r="M33" s="203"/>
      <c r="N33" s="203"/>
      <c r="O33" s="203"/>
      <c r="P33" s="203"/>
      <c r="Q33" s="203"/>
      <c r="R33" s="203"/>
    </row>
    <row r="34" spans="1:18" ht="24" customHeight="1">
      <c r="A34" s="204"/>
      <c r="B34" s="204"/>
      <c r="C34" s="204"/>
      <c r="D34" s="204"/>
      <c r="E34" s="204"/>
      <c r="F34" s="204"/>
      <c r="G34" s="204"/>
      <c r="H34" s="204"/>
      <c r="I34" s="204"/>
      <c r="J34" s="204"/>
      <c r="K34" s="204"/>
      <c r="L34" s="204"/>
      <c r="M34" s="204"/>
      <c r="N34" s="204"/>
      <c r="O34" s="204"/>
      <c r="P34" s="204"/>
      <c r="Q34" s="204"/>
      <c r="R34" s="204"/>
    </row>
    <row r="35" spans="1:18" ht="24" customHeight="1">
      <c r="A35" s="210" t="s">
        <v>2359</v>
      </c>
      <c r="B35" s="210"/>
      <c r="C35" s="210"/>
      <c r="D35" s="210"/>
      <c r="E35" s="210"/>
      <c r="F35" s="210"/>
      <c r="G35" s="210"/>
      <c r="H35" s="210" t="s">
        <v>2360</v>
      </c>
      <c r="I35" s="210"/>
      <c r="J35" s="210"/>
      <c r="K35" s="210"/>
      <c r="L35" s="210"/>
      <c r="M35" s="210"/>
      <c r="N35" s="211" t="s">
        <v>2361</v>
      </c>
      <c r="O35" s="211"/>
      <c r="P35" s="211"/>
      <c r="Q35" s="211"/>
      <c r="R35" s="211"/>
    </row>
    <row r="36" spans="1:18" ht="24" customHeight="1">
      <c r="A36" s="208" t="s">
        <v>73</v>
      </c>
      <c r="B36" s="212" t="s">
        <v>2364</v>
      </c>
      <c r="C36" s="212"/>
      <c r="D36" s="212"/>
      <c r="E36" s="212"/>
      <c r="F36" s="212"/>
      <c r="G36" s="212"/>
      <c r="H36" s="208" t="s">
        <v>2362</v>
      </c>
      <c r="I36" s="208" t="s">
        <v>2429</v>
      </c>
      <c r="J36" s="212" t="s">
        <v>2365</v>
      </c>
      <c r="K36" s="212"/>
      <c r="L36" s="212"/>
      <c r="M36" s="212"/>
      <c r="N36" s="208" t="s">
        <v>2363</v>
      </c>
      <c r="O36" s="212" t="s">
        <v>2366</v>
      </c>
      <c r="P36" s="212"/>
      <c r="Q36" s="212"/>
      <c r="R36" s="212"/>
    </row>
    <row r="37" spans="1:18" ht="24" customHeight="1">
      <c r="A37" s="172" t="s">
        <v>248</v>
      </c>
      <c r="B37" s="213" t="str">
        <f>IF(OR(A37="",A37="空"),"",IFERROR(VLOOKUP(A37,'书籍、特性与技能'!$AA$2:$AD$400,2,FALSE),""))</f>
        <v/>
      </c>
      <c r="C37" s="213"/>
      <c r="D37" s="213"/>
      <c r="E37" s="213"/>
      <c r="F37" s="213"/>
      <c r="G37" s="213"/>
      <c r="H37" s="172" t="s">
        <v>248</v>
      </c>
      <c r="I37" s="172" t="str">
        <f>IF(OR(H37="",H37="空"),"",IFERROR(VLOOKUP(H37,装备列表!$M$5:$T$400,8,FALSE),""))</f>
        <v/>
      </c>
      <c r="J37" s="213" t="str">
        <f>IF(OR(H37="",H37="空"),"",IFERROR(VLOOKUP(H37,装备列表!$M$5:$T$400,2,FALSE),""))</f>
        <v/>
      </c>
      <c r="K37" s="213"/>
      <c r="L37" s="213"/>
      <c r="M37" s="213"/>
      <c r="N37" s="172"/>
      <c r="O37" s="213"/>
      <c r="P37" s="213"/>
      <c r="Q37" s="213"/>
      <c r="R37" s="213"/>
    </row>
    <row r="38" spans="1:18" ht="24" customHeight="1">
      <c r="A38" s="172" t="s">
        <v>248</v>
      </c>
      <c r="B38" s="213" t="str">
        <f>IF(OR(A38="",A38="空"),"",IFERROR(VLOOKUP(A38,'书籍、特性与技能'!$AA$2:$AD$400,2,FALSE),""))</f>
        <v/>
      </c>
      <c r="C38" s="213"/>
      <c r="D38" s="213"/>
      <c r="E38" s="213"/>
      <c r="F38" s="213"/>
      <c r="G38" s="213"/>
      <c r="H38" s="172" t="s">
        <v>248</v>
      </c>
      <c r="I38" s="172" t="str">
        <f>IF(OR(H38="",H38="空"),"",IFERROR(VLOOKUP(H38,装备列表!$M$5:$T$400,8,FALSE),""))</f>
        <v/>
      </c>
      <c r="J38" s="213" t="str">
        <f>IF(OR(H38="",H38="空"),"",IFERROR(VLOOKUP(H38,装备列表!$M$5:$T$400,2,FALSE),""))</f>
        <v/>
      </c>
      <c r="K38" s="213"/>
      <c r="L38" s="213"/>
      <c r="M38" s="213"/>
      <c r="N38" s="172"/>
      <c r="O38" s="213"/>
      <c r="P38" s="213"/>
      <c r="Q38" s="213"/>
      <c r="R38" s="213"/>
    </row>
    <row r="39" spans="1:18" ht="24" customHeight="1">
      <c r="A39" s="172" t="s">
        <v>248</v>
      </c>
      <c r="B39" s="213" t="str">
        <f>IF(OR(A39="",A39="空"),"",IFERROR(VLOOKUP(A39,'书籍、特性与技能'!$AA$2:$AD$400,2,FALSE),""))</f>
        <v/>
      </c>
      <c r="C39" s="213"/>
      <c r="D39" s="213"/>
      <c r="E39" s="213"/>
      <c r="F39" s="213"/>
      <c r="G39" s="213"/>
      <c r="H39" s="172" t="s">
        <v>248</v>
      </c>
      <c r="I39" s="172" t="str">
        <f>IF(OR(H39="",H39="空"),"",IFERROR(VLOOKUP(H39,装备列表!$M$5:$T$400,8,FALSE),""))</f>
        <v/>
      </c>
      <c r="J39" s="213" t="str">
        <f>IF(OR(H39="",H39="空"),"",IFERROR(VLOOKUP(H39,装备列表!$M$5:$T$400,2,FALSE),""))</f>
        <v/>
      </c>
      <c r="K39" s="213"/>
      <c r="L39" s="213"/>
      <c r="M39" s="213"/>
      <c r="N39" s="172"/>
      <c r="O39" s="213"/>
      <c r="P39" s="213"/>
      <c r="Q39" s="213"/>
      <c r="R39" s="213"/>
    </row>
    <row r="40" spans="1:18" ht="24" customHeight="1">
      <c r="A40" s="172" t="s">
        <v>248</v>
      </c>
      <c r="B40" s="213" t="str">
        <f>IF(OR(A40="",A40="空"),"",IFERROR(VLOOKUP(A40,'书籍、特性与技能'!$AA$2:$AD$400,2,FALSE),""))</f>
        <v/>
      </c>
      <c r="C40" s="213"/>
      <c r="D40" s="213"/>
      <c r="E40" s="213"/>
      <c r="F40" s="213"/>
      <c r="G40" s="213"/>
      <c r="H40" s="172" t="s">
        <v>248</v>
      </c>
      <c r="I40" s="172" t="str">
        <f>IF(OR(H40="",H40="空"),"",IFERROR(VLOOKUP(H40,装备列表!$M$5:$T$400,8,FALSE),""))</f>
        <v/>
      </c>
      <c r="J40" s="213" t="str">
        <f>IF(OR(H40="",H40="空"),"",IFERROR(VLOOKUP(H40,装备列表!$M$5:$T$400,2,FALSE),""))</f>
        <v/>
      </c>
      <c r="K40" s="213"/>
      <c r="L40" s="213"/>
      <c r="M40" s="213"/>
      <c r="N40" s="172"/>
      <c r="O40" s="213"/>
      <c r="P40" s="213"/>
      <c r="Q40" s="213"/>
      <c r="R40" s="213"/>
    </row>
    <row r="41" spans="1:18" ht="24" customHeight="1">
      <c r="A41" s="191"/>
      <c r="B41" s="191"/>
      <c r="C41" s="191"/>
      <c r="D41" s="191"/>
      <c r="E41" s="191"/>
      <c r="F41" s="191"/>
      <c r="G41" s="191"/>
      <c r="H41" s="191"/>
      <c r="I41" s="191"/>
      <c r="J41" s="191"/>
      <c r="K41" s="191"/>
      <c r="L41" s="191"/>
      <c r="M41" s="191"/>
      <c r="N41" s="191"/>
      <c r="O41" s="191"/>
      <c r="P41" s="191"/>
      <c r="Q41" s="191"/>
      <c r="R41" s="191"/>
    </row>
    <row r="42" spans="1:18" ht="24" customHeight="1">
      <c r="A42" s="191"/>
      <c r="B42" s="191"/>
      <c r="C42" s="191"/>
      <c r="D42" s="191"/>
      <c r="E42" s="191"/>
      <c r="F42" s="191"/>
      <c r="G42" s="191"/>
      <c r="H42" s="191"/>
      <c r="I42" s="191"/>
      <c r="J42" s="191"/>
      <c r="K42" s="191"/>
      <c r="L42" s="191"/>
      <c r="M42" s="191"/>
      <c r="N42" s="191"/>
      <c r="O42" s="191"/>
      <c r="P42" s="191"/>
      <c r="Q42" s="191"/>
      <c r="R42" s="191"/>
    </row>
    <row r="43" spans="1:18" ht="24" customHeight="1">
      <c r="A43" s="192" t="s">
        <v>2358</v>
      </c>
      <c r="B43" s="192"/>
      <c r="C43" s="192"/>
      <c r="D43" s="192"/>
      <c r="E43" s="192"/>
      <c r="F43" s="192"/>
      <c r="G43" s="192"/>
      <c r="H43" s="192"/>
      <c r="I43" s="192"/>
      <c r="J43" s="192"/>
      <c r="K43" s="192"/>
      <c r="L43" s="192"/>
      <c r="M43" s="192"/>
      <c r="N43" s="192"/>
      <c r="O43" s="192"/>
      <c r="P43" s="192"/>
      <c r="Q43" s="192"/>
      <c r="R43" s="192"/>
    </row>
    <row r="44" spans="1:18" ht="24" customHeight="1">
      <c r="A44" s="171" t="s">
        <v>17</v>
      </c>
      <c r="B44" s="207"/>
      <c r="C44" s="171" t="s">
        <v>18</v>
      </c>
      <c r="D44" s="207"/>
      <c r="E44" s="171" t="s">
        <v>19</v>
      </c>
      <c r="F44" s="207"/>
      <c r="G44" s="208" t="s">
        <v>43</v>
      </c>
      <c r="H44" s="209" t="s">
        <v>248</v>
      </c>
      <c r="I44" s="209"/>
      <c r="J44" s="209"/>
      <c r="K44" s="203" t="str">
        <f>IF(OR(H44="",H44="空"),"",IFERROR(VLOOKUP(H44,装备列表!$M$5:$T$400,2,FALSE),""))</f>
        <v/>
      </c>
      <c r="L44" s="203"/>
      <c r="M44" s="203"/>
      <c r="N44" s="203"/>
      <c r="O44" s="203"/>
      <c r="P44" s="203"/>
      <c r="Q44" s="203"/>
      <c r="R44" s="203"/>
    </row>
    <row r="45" spans="1:18" ht="24" customHeight="1">
      <c r="A45" s="171" t="s">
        <v>24</v>
      </c>
      <c r="B45" s="207"/>
      <c r="C45" s="171" t="s">
        <v>25</v>
      </c>
      <c r="D45" s="207"/>
      <c r="E45" s="171"/>
      <c r="F45" s="207"/>
      <c r="G45" s="208" t="s">
        <v>49</v>
      </c>
      <c r="H45" s="209" t="s">
        <v>248</v>
      </c>
      <c r="I45" s="209"/>
      <c r="J45" s="209"/>
      <c r="K45" s="203" t="str">
        <f>IF(OR(H45="",H45="空"),"",IFERROR(VLOOKUP(H45,装备列表!$M$5:$T$400,2,FALSE),""))</f>
        <v/>
      </c>
      <c r="L45" s="203"/>
      <c r="M45" s="203"/>
      <c r="N45" s="203"/>
      <c r="O45" s="203"/>
      <c r="P45" s="203"/>
      <c r="Q45" s="203"/>
      <c r="R45" s="203"/>
    </row>
    <row r="46" spans="1:18" ht="24" customHeight="1">
      <c r="A46" s="171" t="s">
        <v>28</v>
      </c>
      <c r="B46" s="207"/>
      <c r="C46" s="171" t="s">
        <v>29</v>
      </c>
      <c r="D46" s="207"/>
      <c r="E46" s="171"/>
      <c r="F46" s="207"/>
      <c r="G46" s="208" t="s">
        <v>56</v>
      </c>
      <c r="H46" s="209" t="s">
        <v>248</v>
      </c>
      <c r="I46" s="209"/>
      <c r="J46" s="209"/>
      <c r="K46" s="203" t="str">
        <f>IF(OR(H46="",H46="空"),"",IFERROR(VLOOKUP(H46,装备列表!$M$5:$T$400,2,FALSE),""))</f>
        <v/>
      </c>
      <c r="L46" s="203"/>
      <c r="M46" s="203"/>
      <c r="N46" s="203"/>
      <c r="O46" s="203"/>
      <c r="P46" s="203"/>
      <c r="Q46" s="203"/>
      <c r="R46" s="203"/>
    </row>
    <row r="47" spans="1:18" ht="24" customHeight="1">
      <c r="A47" s="171" t="s">
        <v>33</v>
      </c>
      <c r="B47" s="207"/>
      <c r="C47" s="171" t="s">
        <v>34</v>
      </c>
      <c r="D47" s="207"/>
      <c r="E47" s="171"/>
      <c r="F47" s="207"/>
      <c r="G47" s="208" t="s">
        <v>1401</v>
      </c>
      <c r="H47" s="209" t="s">
        <v>248</v>
      </c>
      <c r="I47" s="209"/>
      <c r="J47" s="209"/>
      <c r="K47" s="203" t="str">
        <f>IF(OR(H47="",H47="空"),"",IFERROR(VLOOKUP(H47,装备列表!$M$5:$T$400,2,FALSE),""))</f>
        <v/>
      </c>
      <c r="L47" s="203"/>
      <c r="M47" s="203"/>
      <c r="N47" s="203"/>
      <c r="O47" s="203"/>
      <c r="P47" s="203"/>
      <c r="Q47" s="203"/>
      <c r="R47" s="203"/>
    </row>
    <row r="48" spans="1:18" ht="24" customHeight="1">
      <c r="A48" s="204"/>
      <c r="B48" s="204"/>
      <c r="C48" s="204"/>
      <c r="D48" s="204"/>
      <c r="E48" s="204"/>
      <c r="F48" s="204"/>
      <c r="G48" s="204"/>
      <c r="H48" s="204"/>
      <c r="I48" s="204"/>
      <c r="J48" s="204"/>
      <c r="K48" s="204"/>
      <c r="L48" s="204"/>
      <c r="M48" s="204"/>
      <c r="N48" s="204"/>
      <c r="O48" s="204"/>
      <c r="P48" s="204"/>
      <c r="Q48" s="204"/>
      <c r="R48" s="204"/>
    </row>
    <row r="49" spans="1:18" ht="24" customHeight="1">
      <c r="A49" s="210" t="s">
        <v>2359</v>
      </c>
      <c r="B49" s="210"/>
      <c r="C49" s="210"/>
      <c r="D49" s="210"/>
      <c r="E49" s="210"/>
      <c r="F49" s="210"/>
      <c r="G49" s="210"/>
      <c r="H49" s="210" t="s">
        <v>2360</v>
      </c>
      <c r="I49" s="210"/>
      <c r="J49" s="210"/>
      <c r="K49" s="210"/>
      <c r="L49" s="210"/>
      <c r="M49" s="210"/>
      <c r="N49" s="211" t="s">
        <v>2361</v>
      </c>
      <c r="O49" s="211"/>
      <c r="P49" s="211"/>
      <c r="Q49" s="211"/>
      <c r="R49" s="211"/>
    </row>
    <row r="50" spans="1:18" ht="24" customHeight="1">
      <c r="A50" s="208" t="s">
        <v>73</v>
      </c>
      <c r="B50" s="212" t="s">
        <v>2364</v>
      </c>
      <c r="C50" s="212"/>
      <c r="D50" s="212"/>
      <c r="E50" s="212"/>
      <c r="F50" s="212"/>
      <c r="G50" s="212"/>
      <c r="H50" s="208" t="s">
        <v>2362</v>
      </c>
      <c r="I50" s="208" t="s">
        <v>2429</v>
      </c>
      <c r="J50" s="212" t="s">
        <v>2365</v>
      </c>
      <c r="K50" s="212"/>
      <c r="L50" s="212"/>
      <c r="M50" s="212"/>
      <c r="N50" s="208" t="s">
        <v>2363</v>
      </c>
      <c r="O50" s="212" t="s">
        <v>2366</v>
      </c>
      <c r="P50" s="212"/>
      <c r="Q50" s="212"/>
      <c r="R50" s="212"/>
    </row>
    <row r="51" spans="1:18" ht="24" customHeight="1">
      <c r="A51" s="172" t="s">
        <v>248</v>
      </c>
      <c r="B51" s="213" t="str">
        <f>IF(OR(A51="",A51="空"),"",IFERROR(VLOOKUP(A51,'书籍、特性与技能'!$AA$2:$AD$400,2,FALSE),""))</f>
        <v/>
      </c>
      <c r="C51" s="213"/>
      <c r="D51" s="213"/>
      <c r="E51" s="213"/>
      <c r="F51" s="213"/>
      <c r="G51" s="213"/>
      <c r="H51" s="172" t="s">
        <v>248</v>
      </c>
      <c r="I51" s="172" t="str">
        <f>IF(OR(H51="",H51="空"),"",IFERROR(VLOOKUP(H51,装备列表!$M$5:$T$400,8,FALSE),""))</f>
        <v/>
      </c>
      <c r="J51" s="213" t="str">
        <f>IF(OR(H51="",H51="空"),"",IFERROR(VLOOKUP(H51,装备列表!$M$5:$T$400,2,FALSE),""))</f>
        <v/>
      </c>
      <c r="K51" s="213"/>
      <c r="L51" s="213"/>
      <c r="M51" s="213"/>
      <c r="N51" s="172"/>
      <c r="O51" s="213"/>
      <c r="P51" s="213"/>
      <c r="Q51" s="213"/>
      <c r="R51" s="213"/>
    </row>
    <row r="52" spans="1:18" ht="24" customHeight="1">
      <c r="A52" s="172" t="s">
        <v>248</v>
      </c>
      <c r="B52" s="213" t="str">
        <f>IF(OR(A52="",A52="空"),"",IFERROR(VLOOKUP(A52,'书籍、特性与技能'!$AA$2:$AD$400,2,FALSE),""))</f>
        <v/>
      </c>
      <c r="C52" s="213"/>
      <c r="D52" s="213"/>
      <c r="E52" s="213"/>
      <c r="F52" s="213"/>
      <c r="G52" s="213"/>
      <c r="H52" s="172" t="s">
        <v>248</v>
      </c>
      <c r="I52" s="172" t="str">
        <f>IF(OR(H52="",H52="空"),"",IFERROR(VLOOKUP(H52,装备列表!$M$5:$T$400,8,FALSE),""))</f>
        <v/>
      </c>
      <c r="J52" s="213" t="str">
        <f>IF(OR(H52="",H52="空"),"",IFERROR(VLOOKUP(H52,装备列表!$M$5:$T$400,2,FALSE),""))</f>
        <v/>
      </c>
      <c r="K52" s="213"/>
      <c r="L52" s="213"/>
      <c r="M52" s="213"/>
      <c r="N52" s="172"/>
      <c r="O52" s="213"/>
      <c r="P52" s="213"/>
      <c r="Q52" s="213"/>
      <c r="R52" s="213"/>
    </row>
    <row r="53" spans="1:18" ht="24" customHeight="1">
      <c r="A53" s="172" t="s">
        <v>248</v>
      </c>
      <c r="B53" s="213" t="str">
        <f>IF(OR(A53="",A53="空"),"",IFERROR(VLOOKUP(A53,'书籍、特性与技能'!$AA$2:$AD$400,2,FALSE),""))</f>
        <v/>
      </c>
      <c r="C53" s="213"/>
      <c r="D53" s="213"/>
      <c r="E53" s="213"/>
      <c r="F53" s="213"/>
      <c r="G53" s="213"/>
      <c r="H53" s="172" t="s">
        <v>248</v>
      </c>
      <c r="I53" s="172" t="str">
        <f>IF(OR(H53="",H53="空"),"",IFERROR(VLOOKUP(H53,装备列表!$M$5:$T$400,8,FALSE),""))</f>
        <v/>
      </c>
      <c r="J53" s="213" t="str">
        <f>IF(OR(H53="",H53="空"),"",IFERROR(VLOOKUP(H53,装备列表!$M$5:$T$400,2,FALSE),""))</f>
        <v/>
      </c>
      <c r="K53" s="213"/>
      <c r="L53" s="213"/>
      <c r="M53" s="213"/>
      <c r="N53" s="172"/>
      <c r="O53" s="213"/>
      <c r="P53" s="213"/>
      <c r="Q53" s="213"/>
      <c r="R53" s="213"/>
    </row>
    <row r="54" spans="1:18" ht="24" customHeight="1">
      <c r="A54" s="172" t="s">
        <v>248</v>
      </c>
      <c r="B54" s="213" t="str">
        <f>IF(OR(A54="",A54="空"),"",IFERROR(VLOOKUP(A54,'书籍、特性与技能'!$AA$2:$AD$400,2,FALSE),""))</f>
        <v/>
      </c>
      <c r="C54" s="213"/>
      <c r="D54" s="213"/>
      <c r="E54" s="213"/>
      <c r="F54" s="213"/>
      <c r="G54" s="213"/>
      <c r="H54" s="172" t="s">
        <v>248</v>
      </c>
      <c r="I54" s="172" t="str">
        <f>IF(OR(H54="",H54="空"),"",IFERROR(VLOOKUP(H54,装备列表!$M$5:$T$400,8,FALSE),""))</f>
        <v/>
      </c>
      <c r="J54" s="213" t="str">
        <f>IF(OR(H54="",H54="空"),"",IFERROR(VLOOKUP(H54,装备列表!$M$5:$T$400,2,FALSE),""))</f>
        <v/>
      </c>
      <c r="K54" s="213"/>
      <c r="L54" s="213"/>
      <c r="M54" s="213"/>
      <c r="N54" s="172"/>
      <c r="O54" s="213"/>
      <c r="P54" s="213"/>
      <c r="Q54" s="213"/>
      <c r="R54" s="213"/>
    </row>
    <row r="55" spans="1:18" ht="24" customHeight="1">
      <c r="A55" s="191"/>
      <c r="B55" s="191"/>
      <c r="C55" s="191"/>
      <c r="D55" s="191"/>
      <c r="E55" s="191"/>
      <c r="F55" s="191"/>
      <c r="G55" s="191"/>
      <c r="H55" s="191"/>
      <c r="I55" s="191"/>
      <c r="J55" s="191"/>
      <c r="K55" s="191"/>
      <c r="L55" s="191"/>
      <c r="M55" s="191"/>
      <c r="N55" s="191"/>
      <c r="O55" s="191"/>
      <c r="P55" s="191"/>
      <c r="Q55" s="191"/>
      <c r="R55" s="191"/>
    </row>
    <row r="56" spans="1:18" ht="24" customHeight="1">
      <c r="A56" s="191"/>
      <c r="B56" s="191"/>
      <c r="C56" s="191"/>
      <c r="D56" s="191"/>
      <c r="E56" s="191"/>
      <c r="F56" s="191"/>
      <c r="G56" s="191"/>
      <c r="H56" s="191"/>
      <c r="I56" s="191"/>
      <c r="J56" s="191"/>
      <c r="K56" s="191"/>
      <c r="L56" s="191"/>
      <c r="M56" s="191"/>
      <c r="N56" s="191"/>
      <c r="O56" s="191"/>
      <c r="P56" s="191"/>
      <c r="Q56" s="191"/>
      <c r="R56" s="191"/>
    </row>
  </sheetData>
  <mergeCells count="108">
    <mergeCell ref="A15:R15"/>
    <mergeCell ref="A29:R29"/>
    <mergeCell ref="A43:R43"/>
    <mergeCell ref="H2:J2"/>
    <mergeCell ref="K2:R2"/>
    <mergeCell ref="H3:J3"/>
    <mergeCell ref="K3:R3"/>
    <mergeCell ref="H4:J4"/>
    <mergeCell ref="K4:R4"/>
    <mergeCell ref="H5:J5"/>
    <mergeCell ref="K5:R5"/>
    <mergeCell ref="A7:G7"/>
    <mergeCell ref="H7:M7"/>
    <mergeCell ref="N7:R7"/>
    <mergeCell ref="B8:G8"/>
    <mergeCell ref="J8:M8"/>
    <mergeCell ref="O8:R8"/>
    <mergeCell ref="A1:R1"/>
    <mergeCell ref="B11:G11"/>
    <mergeCell ref="J11:M11"/>
    <mergeCell ref="O11:R11"/>
    <mergeCell ref="B12:G12"/>
    <mergeCell ref="J12:M12"/>
    <mergeCell ref="O12:R12"/>
    <mergeCell ref="B9:G9"/>
    <mergeCell ref="J9:M9"/>
    <mergeCell ref="O9:R9"/>
    <mergeCell ref="B10:G10"/>
    <mergeCell ref="J10:M10"/>
    <mergeCell ref="O10:R10"/>
    <mergeCell ref="H19:J19"/>
    <mergeCell ref="K19:R19"/>
    <mergeCell ref="A21:G21"/>
    <mergeCell ref="H21:M21"/>
    <mergeCell ref="N21:R21"/>
    <mergeCell ref="B22:G22"/>
    <mergeCell ref="J22:M22"/>
    <mergeCell ref="O22:R22"/>
    <mergeCell ref="H16:J16"/>
    <mergeCell ref="K16:R16"/>
    <mergeCell ref="H17:J17"/>
    <mergeCell ref="K17:R17"/>
    <mergeCell ref="H18:J18"/>
    <mergeCell ref="K18:R18"/>
    <mergeCell ref="B25:G25"/>
    <mergeCell ref="J25:M25"/>
    <mergeCell ref="O25:R25"/>
    <mergeCell ref="B26:G26"/>
    <mergeCell ref="J26:M26"/>
    <mergeCell ref="O26:R26"/>
    <mergeCell ref="B23:G23"/>
    <mergeCell ref="J23:M23"/>
    <mergeCell ref="O23:R23"/>
    <mergeCell ref="B24:G24"/>
    <mergeCell ref="J24:M24"/>
    <mergeCell ref="O24:R24"/>
    <mergeCell ref="H33:J33"/>
    <mergeCell ref="K33:R33"/>
    <mergeCell ref="A35:G35"/>
    <mergeCell ref="H35:M35"/>
    <mergeCell ref="N35:R35"/>
    <mergeCell ref="B36:G36"/>
    <mergeCell ref="J36:M36"/>
    <mergeCell ref="O36:R36"/>
    <mergeCell ref="H30:J30"/>
    <mergeCell ref="K30:R30"/>
    <mergeCell ref="H31:J31"/>
    <mergeCell ref="K31:R31"/>
    <mergeCell ref="H32:J32"/>
    <mergeCell ref="K32:R32"/>
    <mergeCell ref="B39:G39"/>
    <mergeCell ref="J39:M39"/>
    <mergeCell ref="O39:R39"/>
    <mergeCell ref="B40:G40"/>
    <mergeCell ref="J40:M40"/>
    <mergeCell ref="O40:R40"/>
    <mergeCell ref="B37:G37"/>
    <mergeCell ref="J37:M37"/>
    <mergeCell ref="O37:R37"/>
    <mergeCell ref="B38:G38"/>
    <mergeCell ref="J38:M38"/>
    <mergeCell ref="O38:R38"/>
    <mergeCell ref="H47:J47"/>
    <mergeCell ref="K47:R47"/>
    <mergeCell ref="A49:G49"/>
    <mergeCell ref="H49:M49"/>
    <mergeCell ref="N49:R49"/>
    <mergeCell ref="B50:G50"/>
    <mergeCell ref="J50:M50"/>
    <mergeCell ref="O50:R50"/>
    <mergeCell ref="H44:J44"/>
    <mergeCell ref="K44:R44"/>
    <mergeCell ref="H45:J45"/>
    <mergeCell ref="K45:R45"/>
    <mergeCell ref="H46:J46"/>
    <mergeCell ref="K46:R46"/>
    <mergeCell ref="B53:G53"/>
    <mergeCell ref="J53:M53"/>
    <mergeCell ref="O53:R53"/>
    <mergeCell ref="B54:G54"/>
    <mergeCell ref="J54:M54"/>
    <mergeCell ref="O54:R54"/>
    <mergeCell ref="B51:G51"/>
    <mergeCell ref="J51:M51"/>
    <mergeCell ref="O51:R51"/>
    <mergeCell ref="B52:G52"/>
    <mergeCell ref="J52:M52"/>
    <mergeCell ref="O52:R52"/>
  </mergeCells>
  <phoneticPr fontId="13" type="noConversion"/>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6ECA3F62-6385-496A-B42C-18BACBA9D996}">
          <x14:formula1>
            <xm:f>OFFSET('书籍、特性与技能'!$AA$2,0,0,COUNTA('书籍、特性与技能'!$AA$2:$AA$400),1)</xm:f>
          </x14:formula1>
          <xm:sqref>A9:A12 A23:A26 A37:A40 A51:A54</xm:sqref>
        </x14:dataValidation>
        <x14:dataValidation type="list" allowBlank="1" showInputMessage="1" showErrorMessage="1" xr:uid="{30ADF37F-9E8E-4FEE-AC2E-366922FE1A5F}">
          <x14:formula1>
            <xm:f>OFFSET(装备列表!$V$5,0,0,COUNTA(装备列表!$V$5:$V$100),1)</xm:f>
          </x14:formula1>
          <xm:sqref>H2 H16 H30 H44</xm:sqref>
        </x14:dataValidation>
        <x14:dataValidation type="list" allowBlank="1" showInputMessage="1" showErrorMessage="1" xr:uid="{65150E66-CFA8-4186-ACEB-2DDF6790BB4A}">
          <x14:formula1>
            <xm:f>OFFSET(装备列表!$W$5,0,0,COUNTA(装备列表!$W$5:$W$120),1)</xm:f>
          </x14:formula1>
          <xm:sqref>H3 H17 H31 H45</xm:sqref>
        </x14:dataValidation>
        <x14:dataValidation type="list" allowBlank="1" showInputMessage="1" showErrorMessage="1" xr:uid="{0B6C2327-44B7-43BF-8FA8-B467FA0850FB}">
          <x14:formula1>
            <xm:f>OFFSET(装备列表!$X$5,0,0,COUNTA(装备列表!$X$5:$X$100),1)</xm:f>
          </x14:formula1>
          <xm:sqref>H4 H18 H32 H46</xm:sqref>
        </x14:dataValidation>
        <x14:dataValidation type="list" allowBlank="1" showInputMessage="1" showErrorMessage="1" xr:uid="{2F73091E-D096-4E4E-B088-746E47C41684}">
          <x14:formula1>
            <xm:f>OFFSET(装备列表!$Y$5,0,0,COUNTA(装备列表!$Y$5:$Y$150),1)</xm:f>
          </x14:formula1>
          <xm:sqref>H5 H19 H33 H47</xm:sqref>
        </x14:dataValidation>
        <x14:dataValidation type="list" allowBlank="1" showInputMessage="1" showErrorMessage="1" xr:uid="{FCD796E1-2555-42A8-9911-826FBE616486}">
          <x14:formula1>
            <xm:f>OFFSET(装备列表!$Z$5,0,0,COUNTA(装备列表!$Z$5:$Z$200),1)</xm:f>
          </x14:formula1>
          <xm:sqref>H9:H12 H23:H26 H37:H40 H51:H54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541D"/>
  </sheetPr>
  <dimension ref="A1:W320"/>
  <sheetViews>
    <sheetView workbookViewId="0">
      <selection activeCell="M17" sqref="M17"/>
    </sheetView>
  </sheetViews>
  <sheetFormatPr defaultColWidth="8.88671875" defaultRowHeight="14.4"/>
  <cols>
    <col min="1" max="1" width="8.77734375" style="9" customWidth="1"/>
    <col min="2" max="5" width="12.77734375" style="9" customWidth="1"/>
    <col min="6" max="7" width="2.77734375" style="9" hidden="1" customWidth="1"/>
    <col min="8" max="8" width="16.77734375" style="9" customWidth="1"/>
    <col min="9" max="9" width="21.5546875" style="9" customWidth="1"/>
    <col min="10" max="10" width="3.77734375" style="9" customWidth="1"/>
    <col min="11" max="11" width="12.77734375" style="9" customWidth="1"/>
    <col min="12" max="12" width="10.77734375" style="9" customWidth="1"/>
    <col min="13" max="14" width="18.77734375" style="9" customWidth="1"/>
    <col min="15" max="15" width="10.77734375" style="9" customWidth="1"/>
    <col min="16" max="16" width="14.77734375" style="9" customWidth="1"/>
    <col min="17" max="17" width="10.77734375" style="9" customWidth="1"/>
    <col min="18" max="18" width="16.77734375" style="9" customWidth="1"/>
    <col min="19" max="19" width="3.77734375" style="9" customWidth="1"/>
    <col min="20" max="20" width="6.77734375" style="9" customWidth="1"/>
    <col min="21" max="21" width="16.77734375" style="9" customWidth="1"/>
    <col min="22" max="22" width="8.77734375" style="9" customWidth="1"/>
    <col min="23" max="23" width="26.77734375" style="9" customWidth="1"/>
    <col min="24" max="16384" width="8.88671875" style="9"/>
  </cols>
  <sheetData>
    <row r="1" spans="1:23" ht="28.05" customHeight="1">
      <c r="A1" s="53" t="s">
        <v>128</v>
      </c>
      <c r="B1" s="54"/>
      <c r="C1" s="54"/>
      <c r="D1" s="54"/>
      <c r="E1" s="55"/>
      <c r="F1" s="14"/>
      <c r="G1" s="14"/>
      <c r="H1" s="56" t="s">
        <v>129</v>
      </c>
      <c r="I1" s="57"/>
      <c r="J1" s="14"/>
      <c r="K1" s="58" t="s">
        <v>130</v>
      </c>
      <c r="L1" s="59"/>
      <c r="M1" s="59"/>
      <c r="N1" s="14"/>
      <c r="O1" s="60" t="s">
        <v>131</v>
      </c>
      <c r="P1" s="60"/>
      <c r="Q1" s="60"/>
      <c r="R1" s="60"/>
      <c r="S1" s="60"/>
      <c r="T1" s="60"/>
      <c r="U1" s="60"/>
      <c r="V1" s="60"/>
      <c r="W1" s="60"/>
    </row>
    <row r="2" spans="1:23">
      <c r="A2" s="14"/>
      <c r="B2" s="14"/>
      <c r="C2" s="14"/>
      <c r="D2" s="14"/>
      <c r="E2" s="14"/>
      <c r="F2" s="14"/>
      <c r="G2" s="14"/>
      <c r="H2" s="14"/>
      <c r="I2" s="14"/>
      <c r="J2" s="14"/>
      <c r="K2" s="14"/>
      <c r="L2" s="14"/>
      <c r="M2" s="14"/>
      <c r="N2" s="14"/>
      <c r="O2" s="14"/>
      <c r="P2" s="14"/>
      <c r="Q2" s="14"/>
      <c r="R2" s="14"/>
      <c r="S2" s="14"/>
      <c r="T2" s="14"/>
      <c r="U2" s="14"/>
      <c r="V2" s="14"/>
      <c r="W2" s="14"/>
    </row>
    <row r="3" spans="1:23" ht="24" customHeight="1">
      <c r="A3" s="61" t="s">
        <v>132</v>
      </c>
      <c r="B3" s="62"/>
      <c r="C3" s="62"/>
      <c r="D3" s="62"/>
      <c r="E3" s="63"/>
      <c r="F3" s="14"/>
      <c r="G3" s="14"/>
      <c r="H3" s="155" t="s">
        <v>133</v>
      </c>
      <c r="I3" s="156">
        <f>15</f>
        <v>15</v>
      </c>
      <c r="J3" s="14"/>
      <c r="K3" s="83" t="s">
        <v>134</v>
      </c>
      <c r="L3" s="83" t="s">
        <v>135</v>
      </c>
      <c r="M3" s="83" t="s">
        <v>136</v>
      </c>
      <c r="N3" s="14"/>
      <c r="O3" s="158" t="s">
        <v>137</v>
      </c>
      <c r="P3" s="158"/>
      <c r="Q3" s="158"/>
      <c r="R3" s="158"/>
      <c r="S3" s="14"/>
      <c r="T3" s="160" t="s">
        <v>138</v>
      </c>
      <c r="U3" s="160"/>
      <c r="V3" s="160"/>
      <c r="W3" s="160"/>
    </row>
    <row r="4" spans="1:23" ht="24" customHeight="1">
      <c r="A4" s="152" t="s">
        <v>139</v>
      </c>
      <c r="B4" s="153" t="s">
        <v>140</v>
      </c>
      <c r="C4" s="153"/>
      <c r="D4" s="153"/>
      <c r="E4" s="154"/>
      <c r="F4" s="14"/>
      <c r="G4" s="14"/>
      <c r="H4" s="155" t="s">
        <v>141</v>
      </c>
      <c r="I4" s="156">
        <f>SUM(L4:L13)</f>
        <v>0</v>
      </c>
      <c r="J4" s="14"/>
      <c r="K4" s="156"/>
      <c r="L4" s="156"/>
      <c r="M4" s="156"/>
      <c r="N4" s="14"/>
      <c r="O4" s="155" t="s">
        <v>142</v>
      </c>
      <c r="P4" s="156" t="s">
        <v>2368</v>
      </c>
      <c r="Q4" s="155" t="s">
        <v>143</v>
      </c>
      <c r="R4" s="156">
        <f>SUM(P10:P12)</f>
        <v>0</v>
      </c>
      <c r="S4" s="14"/>
      <c r="T4" s="155" t="s">
        <v>144</v>
      </c>
      <c r="U4" s="155" t="s">
        <v>145</v>
      </c>
      <c r="V4" s="155" t="s">
        <v>146</v>
      </c>
      <c r="W4" s="155" t="s">
        <v>11</v>
      </c>
    </row>
    <row r="5" spans="1:23" ht="24" customHeight="1">
      <c r="A5" s="214">
        <v>1</v>
      </c>
      <c r="B5" s="215"/>
      <c r="C5" s="64"/>
      <c r="D5" s="64"/>
      <c r="E5" s="65"/>
      <c r="F5" s="14"/>
      <c r="G5" s="14"/>
      <c r="H5" s="155" t="s">
        <v>147</v>
      </c>
      <c r="I5" s="156">
        <f>I3+I4</f>
        <v>15</v>
      </c>
      <c r="J5" s="14"/>
      <c r="K5" s="156"/>
      <c r="L5" s="156"/>
      <c r="M5" s="156"/>
      <c r="N5" s="14"/>
      <c r="O5" s="155" t="s">
        <v>148</v>
      </c>
      <c r="P5" s="156">
        <f>5+COUNTIF($U$5:$U$14,"特种护甲插件")*10</f>
        <v>5</v>
      </c>
      <c r="Q5" s="155" t="s">
        <v>149</v>
      </c>
      <c r="R5" s="156">
        <v>200</v>
      </c>
      <c r="S5" s="14"/>
      <c r="T5" s="156">
        <v>1</v>
      </c>
      <c r="U5" s="156"/>
      <c r="V5" s="156">
        <f>IF(OR(U5="",U5="空"),0,IFERROR(VLOOKUP(U5,【墨家】物品库!$AJ$5:$AK$100,2,FALSE),0))</f>
        <v>0</v>
      </c>
      <c r="W5" s="156" t="str">
        <f>IF(OR(U5="",U5="空"),"",IFERROR(VLOOKUP(U5,【墨家】物品库!$AJ$5:$AL$100,3,FALSE),""))</f>
        <v/>
      </c>
    </row>
    <row r="6" spans="1:23" ht="24" customHeight="1">
      <c r="A6" s="214">
        <v>2</v>
      </c>
      <c r="B6" s="215"/>
      <c r="C6" s="64"/>
      <c r="D6" s="64"/>
      <c r="E6" s="65"/>
      <c r="F6" s="14"/>
      <c r="G6" s="14"/>
      <c r="H6" s="155" t="s">
        <v>150</v>
      </c>
      <c r="I6" s="156">
        <f>SUM(F5:F304)</f>
        <v>0</v>
      </c>
      <c r="J6" s="14"/>
      <c r="K6" s="156"/>
      <c r="L6" s="156"/>
      <c r="M6" s="156"/>
      <c r="N6" s="14"/>
      <c r="O6" s="155" t="s">
        <v>41</v>
      </c>
      <c r="P6" s="156">
        <v>20</v>
      </c>
      <c r="Q6" s="155" t="s">
        <v>151</v>
      </c>
      <c r="R6" s="156">
        <f>1+MAX(0,INT(($I$5-10)/10))</f>
        <v>1</v>
      </c>
      <c r="S6" s="14"/>
      <c r="T6" s="156">
        <v>2</v>
      </c>
      <c r="U6" s="156"/>
      <c r="V6" s="156">
        <f>IF(OR(U6="",U6="空"),0,IFERROR(VLOOKUP(U6,【墨家】物品库!$AJ$5:$AK$100,2,FALSE),0))</f>
        <v>0</v>
      </c>
      <c r="W6" s="156" t="str">
        <f>IF(OR(U6="",U6="空"),"",IFERROR(VLOOKUP(U6,【墨家】物品库!$AJ$5:$AL$100,3,FALSE),""))</f>
        <v/>
      </c>
    </row>
    <row r="7" spans="1:23" ht="24" customHeight="1">
      <c r="A7" s="214">
        <v>3</v>
      </c>
      <c r="B7" s="215"/>
      <c r="C7" s="64"/>
      <c r="D7" s="64"/>
      <c r="E7" s="65"/>
      <c r="F7" s="14"/>
      <c r="G7" s="14"/>
      <c r="H7" s="155" t="s">
        <v>152</v>
      </c>
      <c r="I7" s="156">
        <f>R12</f>
        <v>0</v>
      </c>
      <c r="J7" s="14"/>
      <c r="K7" s="156"/>
      <c r="L7" s="156"/>
      <c r="M7" s="156"/>
      <c r="N7" s="14"/>
      <c r="O7" s="155" t="s">
        <v>153</v>
      </c>
      <c r="P7" s="156"/>
      <c r="Q7" s="155" t="s">
        <v>154</v>
      </c>
      <c r="R7" s="156">
        <f>COUNTA($U$5:$U$14)-COUNTIF($U$5:$U$14,"空")</f>
        <v>0</v>
      </c>
      <c r="S7" s="14"/>
      <c r="T7" s="156">
        <v>3</v>
      </c>
      <c r="U7" s="156"/>
      <c r="V7" s="156">
        <f>IF(OR(U7="",U7="空"),0,IFERROR(VLOOKUP(U7,【墨家】物品库!$AJ$5:$AK$100,2,FALSE),0))</f>
        <v>0</v>
      </c>
      <c r="W7" s="156" t="str">
        <f>IF(OR(U7="",U7="空"),"",IFERROR(VLOOKUP(U7,【墨家】物品库!$AJ$5:$AL$100,3,FALSE),""))</f>
        <v/>
      </c>
    </row>
    <row r="8" spans="1:23" ht="24" customHeight="1">
      <c r="A8" s="214">
        <v>4</v>
      </c>
      <c r="B8" s="215"/>
      <c r="C8" s="64"/>
      <c r="D8" s="64"/>
      <c r="E8" s="65"/>
      <c r="F8" s="14"/>
      <c r="G8" s="14"/>
      <c r="H8" s="155" t="s">
        <v>155</v>
      </c>
      <c r="I8" s="156">
        <f>I5-I6</f>
        <v>15</v>
      </c>
      <c r="J8" s="14"/>
      <c r="K8" s="156"/>
      <c r="L8" s="156"/>
      <c r="M8" s="156"/>
      <c r="N8" s="14"/>
      <c r="O8" s="155" t="s">
        <v>156</v>
      </c>
      <c r="P8" s="156">
        <v>60</v>
      </c>
      <c r="Q8" s="155" t="s">
        <v>157</v>
      </c>
      <c r="R8" s="156">
        <f>R6-R7</f>
        <v>1</v>
      </c>
      <c r="S8" s="14"/>
      <c r="T8" s="156">
        <v>4</v>
      </c>
      <c r="U8" s="156"/>
      <c r="V8" s="156">
        <f>IF(OR(U8="",U8="空"),0,IFERROR(VLOOKUP(U8,【墨家】物品库!$AJ$5:$AK$100,2,FALSE),0))</f>
        <v>0</v>
      </c>
      <c r="W8" s="156" t="str">
        <f>IF(OR(U8="",U8="空"),"",IFERROR(VLOOKUP(U8,【墨家】物品库!$AJ$5:$AL$100,3,FALSE),""))</f>
        <v/>
      </c>
    </row>
    <row r="9" spans="1:23" ht="24" customHeight="1">
      <c r="A9" s="214">
        <v>5</v>
      </c>
      <c r="B9" s="215"/>
      <c r="C9" s="64"/>
      <c r="D9" s="64"/>
      <c r="E9" s="65"/>
      <c r="F9" s="14"/>
      <c r="G9" s="14"/>
      <c r="H9" s="155" t="s">
        <v>158</v>
      </c>
      <c r="I9" s="157" t="s">
        <v>159</v>
      </c>
      <c r="J9" s="14"/>
      <c r="K9" s="156"/>
      <c r="L9" s="156"/>
      <c r="M9" s="156"/>
      <c r="N9" s="14"/>
      <c r="O9" s="155" t="s">
        <v>160</v>
      </c>
      <c r="P9" s="156" t="s">
        <v>2369</v>
      </c>
      <c r="Q9" s="155" t="s">
        <v>162</v>
      </c>
      <c r="R9" s="156">
        <v>5</v>
      </c>
      <c r="S9" s="14"/>
      <c r="T9" s="156">
        <v>5</v>
      </c>
      <c r="U9" s="156"/>
      <c r="V9" s="156">
        <f>IF(OR(U9="",U9="空"),0,IFERROR(VLOOKUP(U9,【墨家】物品库!$AJ$5:$AK$100,2,FALSE),0))</f>
        <v>0</v>
      </c>
      <c r="W9" s="156" t="str">
        <f>IF(OR(U9="",U9="空"),"",IFERROR(VLOOKUP(U9,【墨家】物品库!$AJ$5:$AL$100,3,FALSE),""))</f>
        <v/>
      </c>
    </row>
    <row r="10" spans="1:23" ht="24" customHeight="1">
      <c r="A10" s="214">
        <v>6</v>
      </c>
      <c r="B10" s="215"/>
      <c r="C10" s="64"/>
      <c r="D10" s="64"/>
      <c r="E10" s="65"/>
      <c r="F10" s="14"/>
      <c r="G10" s="14"/>
      <c r="H10" s="155" t="s">
        <v>163</v>
      </c>
      <c r="I10" s="157" t="s">
        <v>164</v>
      </c>
      <c r="J10" s="14"/>
      <c r="K10" s="156"/>
      <c r="L10" s="156"/>
      <c r="M10" s="156"/>
      <c r="N10" s="14"/>
      <c r="O10" s="155" t="s">
        <v>25</v>
      </c>
      <c r="P10" s="156"/>
      <c r="Q10" s="155" t="s">
        <v>165</v>
      </c>
      <c r="R10" s="156">
        <f>R7*R9</f>
        <v>0</v>
      </c>
      <c r="S10" s="14"/>
      <c r="T10" s="156">
        <v>6</v>
      </c>
      <c r="U10" s="156"/>
      <c r="V10" s="156">
        <f>IF(OR(U10="",U10="空"),0,IFERROR(VLOOKUP(U10,【墨家】物品库!$AJ$5:$AK$100,2,FALSE),0))</f>
        <v>0</v>
      </c>
      <c r="W10" s="156" t="str">
        <f>IF(OR(U10="",U10="空"),"",IFERROR(VLOOKUP(U10,【墨家】物品库!$AJ$5:$AL$100,3,FALSE),""))</f>
        <v/>
      </c>
    </row>
    <row r="11" spans="1:23" ht="24" customHeight="1">
      <c r="A11" s="214">
        <v>7</v>
      </c>
      <c r="B11" s="215"/>
      <c r="C11" s="64"/>
      <c r="D11" s="64"/>
      <c r="E11" s="65"/>
      <c r="F11" s="14"/>
      <c r="G11" s="14"/>
      <c r="H11" s="155" t="s">
        <v>166</v>
      </c>
      <c r="I11" s="157" t="s">
        <v>167</v>
      </c>
      <c r="J11" s="14"/>
      <c r="K11" s="156"/>
      <c r="L11" s="156"/>
      <c r="M11" s="156"/>
      <c r="N11" s="14"/>
      <c r="O11" s="155" t="s">
        <v>33</v>
      </c>
      <c r="P11" s="156"/>
      <c r="Q11" s="155" t="s">
        <v>168</v>
      </c>
      <c r="R11" s="156">
        <f>SUM($Q$17:$Q$19)</f>
        <v>0</v>
      </c>
      <c r="S11" s="14"/>
      <c r="T11" s="156">
        <v>7</v>
      </c>
      <c r="U11" s="156"/>
      <c r="V11" s="156">
        <f>IF(OR(U11="",U11="空"),0,IFERROR(VLOOKUP(U11,【墨家】物品库!$AJ$5:$AK$100,2,FALSE),0))</f>
        <v>0</v>
      </c>
      <c r="W11" s="156" t="str">
        <f>IF(OR(U11="",U11="空"),"",IFERROR(VLOOKUP(U11,【墨家】物品库!$AJ$5:$AL$100,3,FALSE),""))</f>
        <v/>
      </c>
    </row>
    <row r="12" spans="1:23" ht="24" customHeight="1">
      <c r="A12" s="214">
        <v>8</v>
      </c>
      <c r="B12" s="215"/>
      <c r="C12" s="64"/>
      <c r="D12" s="64"/>
      <c r="E12" s="65"/>
      <c r="F12" s="14"/>
      <c r="G12" s="14"/>
      <c r="H12" s="155" t="s">
        <v>169</v>
      </c>
      <c r="I12" s="157" t="s">
        <v>170</v>
      </c>
      <c r="J12" s="14"/>
      <c r="K12" s="156"/>
      <c r="L12" s="156"/>
      <c r="M12" s="156"/>
      <c r="N12" s="14"/>
      <c r="O12" s="155" t="s">
        <v>24</v>
      </c>
      <c r="P12" s="156"/>
      <c r="Q12" s="155" t="s">
        <v>171</v>
      </c>
      <c r="R12" s="156">
        <f>R10+R11</f>
        <v>0</v>
      </c>
      <c r="S12" s="14"/>
      <c r="T12" s="156">
        <v>8</v>
      </c>
      <c r="U12" s="156"/>
      <c r="V12" s="156">
        <f>IF(OR(U12="",U12="空"),0,IFERROR(VLOOKUP(U12,【墨家】物品库!$AJ$5:$AK$100,2,FALSE),0))</f>
        <v>0</v>
      </c>
      <c r="W12" s="156" t="str">
        <f>IF(OR(U12="",U12="空"),"",IFERROR(VLOOKUP(U12,【墨家】物品库!$AJ$5:$AL$100,3,FALSE),""))</f>
        <v/>
      </c>
    </row>
    <row r="13" spans="1:23" ht="24" customHeight="1">
      <c r="A13" s="214">
        <v>9</v>
      </c>
      <c r="B13" s="215"/>
      <c r="C13" s="64"/>
      <c r="D13" s="64"/>
      <c r="E13" s="65"/>
      <c r="F13" s="14"/>
      <c r="G13" s="14"/>
      <c r="H13" s="155" t="s">
        <v>172</v>
      </c>
      <c r="I13" s="157" t="s">
        <v>173</v>
      </c>
      <c r="J13" s="14"/>
      <c r="K13" s="156"/>
      <c r="L13" s="156"/>
      <c r="M13" s="156"/>
      <c r="N13" s="14"/>
      <c r="O13" s="155" t="s">
        <v>174</v>
      </c>
      <c r="P13" s="156" t="s">
        <v>175</v>
      </c>
      <c r="Q13" s="159" t="s">
        <v>176</v>
      </c>
      <c r="R13" s="159"/>
      <c r="S13" s="14"/>
      <c r="T13" s="156">
        <v>9</v>
      </c>
      <c r="U13" s="156"/>
      <c r="V13" s="156">
        <f>IF(OR(U13="",U13="空"),0,IFERROR(VLOOKUP(U13,【墨家】物品库!$AJ$5:$AK$100,2,FALSE),0))</f>
        <v>0</v>
      </c>
      <c r="W13" s="156" t="str">
        <f>IF(OR(U13="",U13="空"),"",IFERROR(VLOOKUP(U13,【墨家】物品库!$AJ$5:$AL$100,3,FALSE),""))</f>
        <v/>
      </c>
    </row>
    <row r="14" spans="1:23" ht="24" customHeight="1">
      <c r="A14" s="214">
        <v>10</v>
      </c>
      <c r="B14" s="215"/>
      <c r="C14" s="64"/>
      <c r="D14" s="64"/>
      <c r="E14" s="65"/>
      <c r="F14" s="14"/>
      <c r="G14" s="14"/>
      <c r="H14" s="155" t="s">
        <v>177</v>
      </c>
      <c r="I14" s="95" t="s">
        <v>178</v>
      </c>
      <c r="J14" s="14"/>
      <c r="K14" s="14"/>
      <c r="L14" s="14"/>
      <c r="M14" s="14"/>
      <c r="N14" s="14"/>
      <c r="O14" s="14"/>
      <c r="P14" s="14"/>
      <c r="Q14" s="14"/>
      <c r="R14" s="14"/>
      <c r="S14" s="14"/>
      <c r="T14" s="156">
        <v>10</v>
      </c>
      <c r="U14" s="156"/>
      <c r="V14" s="156">
        <f>IF(OR(U14="",U14="空"),0,IFERROR(VLOOKUP(U14,【墨家】物品库!$AJ$5:$AK$100,2,FALSE),0))</f>
        <v>0</v>
      </c>
      <c r="W14" s="156" t="str">
        <f>IF(OR(U14="",U14="空"),"",IFERROR(VLOOKUP(U14,【墨家】物品库!$AJ$5:$AL$100,3,FALSE),""))</f>
        <v/>
      </c>
    </row>
    <row r="15" spans="1:23" ht="24" customHeight="1">
      <c r="A15" s="214">
        <v>11</v>
      </c>
      <c r="B15" s="215"/>
      <c r="C15" s="64"/>
      <c r="D15" s="64"/>
      <c r="E15" s="65"/>
      <c r="F15" s="14"/>
      <c r="G15" s="14"/>
      <c r="H15" s="155" t="s">
        <v>179</v>
      </c>
      <c r="I15" s="95" t="s">
        <v>180</v>
      </c>
      <c r="J15" s="14"/>
      <c r="K15" s="14"/>
      <c r="L15" s="14"/>
      <c r="M15" s="14"/>
      <c r="N15" s="14"/>
      <c r="O15" s="158" t="s">
        <v>181</v>
      </c>
      <c r="P15" s="158"/>
      <c r="Q15" s="158"/>
      <c r="R15" s="158"/>
      <c r="S15" s="14"/>
      <c r="T15" s="14"/>
      <c r="U15" s="14"/>
      <c r="V15" s="14"/>
      <c r="W15" s="14"/>
    </row>
    <row r="16" spans="1:23" ht="24" customHeight="1">
      <c r="A16" s="214">
        <v>12</v>
      </c>
      <c r="B16" s="215"/>
      <c r="C16" s="64"/>
      <c r="D16" s="64"/>
      <c r="E16" s="65"/>
      <c r="F16" s="14"/>
      <c r="G16" s="14"/>
      <c r="H16" s="155" t="s">
        <v>182</v>
      </c>
      <c r="I16" s="95" t="s">
        <v>183</v>
      </c>
      <c r="J16" s="14"/>
      <c r="K16" s="14"/>
      <c r="L16" s="14"/>
      <c r="M16" s="14"/>
      <c r="N16" s="14"/>
      <c r="O16" s="155" t="s">
        <v>144</v>
      </c>
      <c r="P16" s="155" t="s">
        <v>184</v>
      </c>
      <c r="Q16" s="155" t="s">
        <v>146</v>
      </c>
      <c r="R16" s="155" t="s">
        <v>11</v>
      </c>
      <c r="S16" s="14"/>
      <c r="T16" s="14"/>
      <c r="U16" s="14"/>
      <c r="V16" s="14"/>
      <c r="W16" s="14"/>
    </row>
    <row r="17" spans="1:23" ht="24" customHeight="1">
      <c r="A17" s="214">
        <v>13</v>
      </c>
      <c r="B17" s="215"/>
      <c r="C17" s="64"/>
      <c r="D17" s="64"/>
      <c r="E17" s="65"/>
      <c r="F17" s="14"/>
      <c r="G17" s="14"/>
      <c r="H17" s="14"/>
      <c r="I17" s="14"/>
      <c r="J17" s="14"/>
      <c r="K17" s="14"/>
      <c r="L17" s="14"/>
      <c r="M17" s="14"/>
      <c r="N17" s="14"/>
      <c r="O17" s="156">
        <v>1</v>
      </c>
      <c r="P17" s="156"/>
      <c r="Q17" s="156">
        <f>IF(OR(P17="",P17="空"),0,IFERROR(VLOOKUP(P17,【墨家】物品库!$AN$5:$AO$50,2,FALSE),0))</f>
        <v>0</v>
      </c>
      <c r="R17" s="156" t="str">
        <f>IF(OR(P17="",P17="空"),"",IFERROR(VLOOKUP(P17,【墨家】物品库!$AN$5:$AP$50,3,FALSE),""))</f>
        <v/>
      </c>
      <c r="S17" s="14"/>
      <c r="T17" s="14"/>
      <c r="U17" s="14"/>
      <c r="V17" s="14"/>
      <c r="W17" s="14"/>
    </row>
    <row r="18" spans="1:23" ht="24" customHeight="1">
      <c r="A18" s="214">
        <v>14</v>
      </c>
      <c r="B18" s="215"/>
      <c r="C18" s="64"/>
      <c r="D18" s="64"/>
      <c r="E18" s="65"/>
      <c r="F18" s="14"/>
      <c r="G18" s="14"/>
      <c r="H18" s="14"/>
      <c r="I18" s="14"/>
      <c r="J18" s="14"/>
      <c r="K18" s="14"/>
      <c r="L18" s="14"/>
      <c r="M18" s="14"/>
      <c r="N18" s="14"/>
      <c r="O18" s="156">
        <v>2</v>
      </c>
      <c r="P18" s="156"/>
      <c r="Q18" s="156">
        <f>IF(OR(P18="",P18="空"),0,IFERROR(VLOOKUP(P18,【墨家】物品库!$AN$5:$AO$50,2,FALSE),0))</f>
        <v>0</v>
      </c>
      <c r="R18" s="156" t="str">
        <f>IF(OR(P18="",P18="空"),"",IFERROR(VLOOKUP(P18,【墨家】物品库!$AN$5:$AP$50,3,FALSE),""))</f>
        <v/>
      </c>
      <c r="S18" s="14"/>
      <c r="T18" s="14"/>
      <c r="U18" s="14"/>
      <c r="V18" s="14"/>
      <c r="W18" s="14"/>
    </row>
    <row r="19" spans="1:23" ht="24" customHeight="1">
      <c r="A19" s="214">
        <v>15</v>
      </c>
      <c r="B19" s="215"/>
      <c r="C19" s="64"/>
      <c r="D19" s="64"/>
      <c r="E19" s="65"/>
      <c r="F19" s="14"/>
      <c r="G19" s="14"/>
      <c r="H19" s="14"/>
      <c r="I19" s="14"/>
      <c r="J19" s="14"/>
      <c r="K19" s="14"/>
      <c r="L19" s="14"/>
      <c r="M19" s="14"/>
      <c r="N19" s="14"/>
      <c r="O19" s="156">
        <v>3</v>
      </c>
      <c r="P19" s="156"/>
      <c r="Q19" s="156">
        <f>IF(OR(P19="",P19="空"),0,IFERROR(VLOOKUP(P19,【墨家】物品库!$AN$5:$AO$50,2,FALSE),0))</f>
        <v>0</v>
      </c>
      <c r="R19" s="156" t="str">
        <f>IF(OR(P19="",P19="空"),"",IFERROR(VLOOKUP(P19,【墨家】物品库!$AN$5:$AP$50,3,FALSE),""))</f>
        <v/>
      </c>
      <c r="S19" s="14"/>
      <c r="T19" s="14"/>
      <c r="U19" s="14"/>
      <c r="V19" s="14"/>
      <c r="W19" s="14"/>
    </row>
    <row r="20" spans="1:23" ht="24" hidden="1" customHeight="1">
      <c r="A20" s="36">
        <v>16</v>
      </c>
      <c r="B20" s="34"/>
      <c r="C20" s="38"/>
      <c r="D20" s="38"/>
      <c r="E20" s="39"/>
      <c r="F20" s="14"/>
      <c r="G20" s="14"/>
      <c r="H20" s="14"/>
      <c r="I20" s="14"/>
      <c r="J20" s="14"/>
      <c r="K20" s="14"/>
      <c r="L20" s="14"/>
      <c r="M20" s="14"/>
      <c r="N20" s="14"/>
      <c r="O20" s="14"/>
      <c r="P20" s="14"/>
      <c r="Q20" s="14"/>
      <c r="R20" s="14"/>
      <c r="S20" s="14"/>
      <c r="T20" s="14"/>
      <c r="U20" s="14"/>
      <c r="V20" s="14"/>
      <c r="W20" s="14"/>
    </row>
    <row r="21" spans="1:23" ht="28.05" hidden="1" customHeight="1">
      <c r="A21" s="36">
        <v>17</v>
      </c>
      <c r="B21" s="34"/>
      <c r="C21" s="38"/>
      <c r="D21" s="38"/>
      <c r="E21" s="39"/>
      <c r="F21" s="14"/>
      <c r="G21" s="14"/>
      <c r="H21" s="14"/>
      <c r="I21" s="14"/>
      <c r="J21" s="14"/>
      <c r="K21" s="14"/>
      <c r="L21" s="14"/>
      <c r="M21" s="14"/>
      <c r="N21" s="14"/>
      <c r="O21" s="160" t="s">
        <v>185</v>
      </c>
      <c r="P21" s="160"/>
      <c r="Q21" s="160"/>
      <c r="R21" s="160"/>
      <c r="S21" s="160"/>
      <c r="T21" s="160"/>
      <c r="U21" s="160"/>
      <c r="V21" s="160"/>
      <c r="W21" s="160"/>
    </row>
    <row r="22" spans="1:23" ht="28.05" hidden="1" customHeight="1">
      <c r="A22" s="36">
        <v>18</v>
      </c>
      <c r="B22" s="34"/>
      <c r="C22" s="38"/>
      <c r="D22" s="38"/>
      <c r="E22" s="39"/>
      <c r="F22" s="14"/>
      <c r="G22" s="14"/>
      <c r="H22" s="14"/>
      <c r="I22" s="14"/>
      <c r="J22" s="14"/>
      <c r="K22" s="14"/>
      <c r="L22" s="14"/>
      <c r="M22" s="14"/>
      <c r="N22" s="14"/>
      <c r="O22" s="155" t="s">
        <v>186</v>
      </c>
      <c r="P22" s="155" t="s">
        <v>187</v>
      </c>
      <c r="Q22" s="84" t="s">
        <v>188</v>
      </c>
      <c r="R22" s="84"/>
      <c r="S22" s="84"/>
      <c r="T22" s="84"/>
      <c r="U22" s="84"/>
      <c r="V22" s="84"/>
      <c r="W22" s="84"/>
    </row>
    <row r="23" spans="1:23" ht="28.05" hidden="1" customHeight="1">
      <c r="A23" s="36">
        <v>19</v>
      </c>
      <c r="B23" s="34"/>
      <c r="C23" s="38"/>
      <c r="D23" s="38"/>
      <c r="E23" s="39"/>
      <c r="F23" s="14"/>
      <c r="G23" s="14"/>
      <c r="H23" s="14"/>
      <c r="I23" s="14"/>
      <c r="J23" s="14"/>
      <c r="K23" s="14"/>
      <c r="L23" s="14"/>
      <c r="M23" s="14"/>
      <c r="N23" s="14"/>
      <c r="O23" s="155">
        <v>15</v>
      </c>
      <c r="P23" s="155" t="s">
        <v>189</v>
      </c>
      <c r="Q23" s="84" t="s">
        <v>190</v>
      </c>
      <c r="R23" s="84"/>
      <c r="S23" s="84"/>
      <c r="T23" s="84"/>
      <c r="U23" s="84"/>
      <c r="V23" s="84"/>
      <c r="W23" s="84"/>
    </row>
    <row r="24" spans="1:23" ht="28.05" hidden="1" customHeight="1">
      <c r="A24" s="36">
        <v>20</v>
      </c>
      <c r="B24" s="34"/>
      <c r="C24" s="38"/>
      <c r="D24" s="38"/>
      <c r="E24" s="39"/>
      <c r="F24" s="14"/>
      <c r="G24" s="14"/>
      <c r="H24" s="14"/>
      <c r="I24" s="14"/>
      <c r="J24" s="14"/>
      <c r="K24" s="14"/>
      <c r="L24" s="14"/>
      <c r="M24" s="14"/>
      <c r="N24" s="14"/>
      <c r="O24" s="155">
        <v>20</v>
      </c>
      <c r="P24" s="155" t="s">
        <v>191</v>
      </c>
      <c r="Q24" s="84" t="s">
        <v>192</v>
      </c>
      <c r="R24" s="84"/>
      <c r="S24" s="84"/>
      <c r="T24" s="84"/>
      <c r="U24" s="84"/>
      <c r="V24" s="84"/>
      <c r="W24" s="84"/>
    </row>
    <row r="25" spans="1:23" ht="28.05" hidden="1" customHeight="1">
      <c r="A25" s="36">
        <v>21</v>
      </c>
      <c r="B25" s="34"/>
      <c r="C25" s="38"/>
      <c r="D25" s="38"/>
      <c r="E25" s="39"/>
      <c r="F25" s="14"/>
      <c r="G25" s="14"/>
      <c r="H25" s="14"/>
      <c r="I25" s="14"/>
      <c r="J25" s="14"/>
      <c r="K25" s="14"/>
      <c r="L25" s="14"/>
      <c r="M25" s="14"/>
      <c r="N25" s="14"/>
      <c r="O25" s="155">
        <v>25</v>
      </c>
      <c r="P25" s="155" t="s">
        <v>193</v>
      </c>
      <c r="Q25" s="84" t="s">
        <v>194</v>
      </c>
      <c r="R25" s="84"/>
      <c r="S25" s="84"/>
      <c r="T25" s="84"/>
      <c r="U25" s="84"/>
      <c r="V25" s="84"/>
      <c r="W25" s="84"/>
    </row>
    <row r="26" spans="1:23" ht="28.05" hidden="1" customHeight="1">
      <c r="A26" s="36">
        <v>22</v>
      </c>
      <c r="B26" s="34"/>
      <c r="C26" s="38"/>
      <c r="D26" s="38"/>
      <c r="E26" s="39"/>
      <c r="F26" s="14"/>
      <c r="G26" s="14"/>
      <c r="H26" s="14"/>
      <c r="I26" s="14"/>
      <c r="J26" s="14"/>
      <c r="K26" s="14"/>
      <c r="L26" s="14"/>
      <c r="M26" s="14"/>
      <c r="N26" s="14"/>
      <c r="O26" s="155">
        <v>30</v>
      </c>
      <c r="P26" s="155" t="s">
        <v>195</v>
      </c>
      <c r="Q26" s="84" t="s">
        <v>196</v>
      </c>
      <c r="R26" s="84"/>
      <c r="S26" s="84"/>
      <c r="T26" s="84"/>
      <c r="U26" s="84"/>
      <c r="V26" s="84"/>
      <c r="W26" s="84"/>
    </row>
    <row r="27" spans="1:23" ht="28.05" hidden="1" customHeight="1">
      <c r="A27" s="36">
        <v>23</v>
      </c>
      <c r="B27" s="34"/>
      <c r="C27" s="38"/>
      <c r="D27" s="38"/>
      <c r="E27" s="39"/>
      <c r="F27" s="14"/>
      <c r="G27" s="14"/>
      <c r="H27" s="14"/>
      <c r="I27" s="14"/>
      <c r="J27" s="14"/>
      <c r="K27" s="14"/>
      <c r="L27" s="14"/>
      <c r="M27" s="14"/>
      <c r="N27" s="14"/>
      <c r="O27" s="155">
        <v>35</v>
      </c>
      <c r="P27" s="155" t="s">
        <v>197</v>
      </c>
      <c r="Q27" s="84" t="s">
        <v>198</v>
      </c>
      <c r="R27" s="84"/>
      <c r="S27" s="84"/>
      <c r="T27" s="84"/>
      <c r="U27" s="84"/>
      <c r="V27" s="84"/>
      <c r="W27" s="84"/>
    </row>
    <row r="28" spans="1:23" ht="28.05" hidden="1" customHeight="1">
      <c r="A28" s="36">
        <v>24</v>
      </c>
      <c r="B28" s="34"/>
      <c r="C28" s="38"/>
      <c r="D28" s="38"/>
      <c r="E28" s="39"/>
      <c r="F28" s="14"/>
      <c r="G28" s="14"/>
      <c r="H28" s="14"/>
      <c r="I28" s="14"/>
      <c r="J28" s="14"/>
      <c r="K28" s="14"/>
      <c r="L28" s="14"/>
      <c r="M28" s="14"/>
      <c r="N28" s="14"/>
      <c r="O28" s="155">
        <v>40</v>
      </c>
      <c r="P28" s="155" t="s">
        <v>199</v>
      </c>
      <c r="Q28" s="84" t="s">
        <v>200</v>
      </c>
      <c r="R28" s="84"/>
      <c r="S28" s="84"/>
      <c r="T28" s="84"/>
      <c r="U28" s="84"/>
      <c r="V28" s="84"/>
      <c r="W28" s="84"/>
    </row>
    <row r="29" spans="1:23" ht="24" hidden="1" customHeight="1">
      <c r="A29" s="36">
        <v>25</v>
      </c>
      <c r="B29" s="34"/>
      <c r="C29" s="38"/>
      <c r="D29" s="38"/>
      <c r="E29" s="39"/>
      <c r="F29" s="14"/>
      <c r="G29" s="14"/>
      <c r="H29" s="14"/>
      <c r="I29" s="14"/>
      <c r="J29" s="14"/>
      <c r="K29" s="14"/>
      <c r="L29" s="14"/>
      <c r="M29" s="14"/>
      <c r="N29" s="14"/>
      <c r="O29" s="14"/>
      <c r="P29" s="14"/>
      <c r="Q29" s="14"/>
      <c r="R29" s="14"/>
      <c r="S29" s="14"/>
      <c r="T29" s="14"/>
      <c r="U29" s="14"/>
      <c r="V29" s="14"/>
      <c r="W29" s="14"/>
    </row>
    <row r="30" spans="1:23" ht="24" hidden="1" customHeight="1">
      <c r="A30" s="36">
        <v>26</v>
      </c>
      <c r="B30" s="34"/>
      <c r="C30" s="38"/>
      <c r="D30" s="38"/>
      <c r="E30" s="39"/>
      <c r="F30" s="14"/>
      <c r="G30" s="14"/>
      <c r="H30" s="14"/>
      <c r="I30" s="14"/>
      <c r="J30" s="14"/>
      <c r="K30" s="14"/>
      <c r="L30" s="14"/>
      <c r="M30" s="14"/>
      <c r="N30" s="14"/>
      <c r="O30" s="14"/>
      <c r="P30" s="14"/>
      <c r="Q30" s="14"/>
      <c r="R30" s="14"/>
      <c r="S30" s="14"/>
      <c r="T30" s="14"/>
      <c r="U30" s="14"/>
      <c r="V30" s="14"/>
      <c r="W30" s="14"/>
    </row>
    <row r="31" spans="1:23" ht="24" hidden="1" customHeight="1">
      <c r="A31" s="36">
        <v>27</v>
      </c>
      <c r="B31" s="34"/>
      <c r="C31" s="38"/>
      <c r="D31" s="38"/>
      <c r="E31" s="39"/>
      <c r="F31" s="14"/>
      <c r="G31" s="14"/>
      <c r="H31" s="14"/>
      <c r="I31" s="14"/>
      <c r="J31" s="14"/>
      <c r="K31" s="14"/>
      <c r="L31" s="14"/>
      <c r="M31" s="14"/>
      <c r="N31" s="14"/>
      <c r="O31" s="14"/>
      <c r="P31" s="14"/>
      <c r="Q31" s="14"/>
      <c r="R31" s="14"/>
      <c r="S31" s="14"/>
      <c r="T31" s="14"/>
      <c r="U31" s="14"/>
      <c r="V31" s="14"/>
      <c r="W31" s="14"/>
    </row>
    <row r="32" spans="1:23" ht="24" hidden="1" customHeight="1">
      <c r="A32" s="36">
        <v>28</v>
      </c>
      <c r="B32" s="34"/>
      <c r="C32" s="38"/>
      <c r="D32" s="38"/>
      <c r="E32" s="39"/>
      <c r="F32" s="14"/>
      <c r="G32" s="14"/>
      <c r="H32" s="14"/>
      <c r="I32" s="14"/>
      <c r="J32" s="14"/>
      <c r="K32" s="14"/>
      <c r="L32" s="14"/>
      <c r="M32" s="14"/>
      <c r="N32" s="14"/>
      <c r="O32" s="14"/>
      <c r="P32" s="14"/>
      <c r="Q32" s="14"/>
      <c r="R32" s="14"/>
      <c r="S32" s="14"/>
      <c r="T32" s="14"/>
      <c r="U32" s="14"/>
      <c r="V32" s="14"/>
      <c r="W32" s="14"/>
    </row>
    <row r="33" spans="1:23" ht="24" hidden="1" customHeight="1">
      <c r="A33" s="36">
        <v>29</v>
      </c>
      <c r="B33" s="34"/>
      <c r="C33" s="38"/>
      <c r="D33" s="38"/>
      <c r="E33" s="39"/>
      <c r="F33" s="14"/>
      <c r="G33" s="14"/>
      <c r="H33" s="14"/>
      <c r="I33" s="14"/>
      <c r="J33" s="14"/>
      <c r="K33" s="14"/>
      <c r="L33" s="14"/>
      <c r="M33" s="14"/>
      <c r="N33" s="14"/>
      <c r="O33" s="14"/>
      <c r="P33" s="14"/>
      <c r="Q33" s="14"/>
      <c r="R33" s="14"/>
      <c r="S33" s="14"/>
      <c r="T33" s="14"/>
      <c r="U33" s="14"/>
      <c r="V33" s="14"/>
      <c r="W33" s="14"/>
    </row>
    <row r="34" spans="1:23" ht="24" hidden="1" customHeight="1">
      <c r="A34" s="36">
        <v>30</v>
      </c>
      <c r="B34" s="34"/>
      <c r="C34" s="38"/>
      <c r="D34" s="38"/>
      <c r="E34" s="39"/>
      <c r="F34" s="14"/>
      <c r="G34" s="14"/>
      <c r="H34" s="14"/>
      <c r="I34" s="14"/>
      <c r="J34" s="14"/>
      <c r="K34" s="14"/>
      <c r="L34" s="14"/>
      <c r="M34" s="14"/>
      <c r="N34" s="14"/>
      <c r="O34" s="14"/>
      <c r="P34" s="14"/>
      <c r="Q34" s="14"/>
      <c r="R34" s="14"/>
      <c r="S34" s="14"/>
      <c r="T34" s="14"/>
      <c r="U34" s="14"/>
      <c r="V34" s="14"/>
      <c r="W34" s="14"/>
    </row>
    <row r="35" spans="1:23" ht="24" hidden="1" customHeight="1">
      <c r="A35" s="36">
        <v>31</v>
      </c>
      <c r="B35" s="34"/>
      <c r="C35" s="38"/>
      <c r="D35" s="38"/>
      <c r="E35" s="39"/>
      <c r="F35" s="14"/>
      <c r="G35" s="14"/>
      <c r="H35" s="14"/>
      <c r="I35" s="14"/>
      <c r="J35" s="14"/>
      <c r="K35" s="14"/>
      <c r="L35" s="14"/>
      <c r="M35" s="14"/>
      <c r="N35" s="14"/>
      <c r="O35" s="14"/>
      <c r="P35" s="14"/>
      <c r="Q35" s="14"/>
      <c r="R35" s="14"/>
      <c r="S35" s="14"/>
      <c r="T35" s="14"/>
      <c r="U35" s="14"/>
      <c r="V35" s="14"/>
      <c r="W35" s="14"/>
    </row>
    <row r="36" spans="1:23" ht="24" hidden="1" customHeight="1">
      <c r="A36" s="36">
        <v>32</v>
      </c>
      <c r="B36" s="34"/>
      <c r="C36" s="38"/>
      <c r="D36" s="38"/>
      <c r="E36" s="39"/>
      <c r="F36" s="14"/>
      <c r="G36" s="14"/>
      <c r="H36" s="14"/>
      <c r="I36" s="14"/>
      <c r="J36" s="14"/>
      <c r="K36" s="14"/>
      <c r="L36" s="14"/>
      <c r="M36" s="14"/>
      <c r="N36" s="14"/>
      <c r="O36" s="14"/>
      <c r="P36" s="14"/>
      <c r="Q36" s="14"/>
      <c r="R36" s="14"/>
      <c r="S36" s="14"/>
      <c r="T36" s="14"/>
      <c r="U36" s="14"/>
      <c r="V36" s="14"/>
      <c r="W36" s="14"/>
    </row>
    <row r="37" spans="1:23" ht="24" hidden="1" customHeight="1">
      <c r="A37" s="36">
        <v>33</v>
      </c>
      <c r="B37" s="34"/>
      <c r="C37" s="38"/>
      <c r="D37" s="38"/>
      <c r="E37" s="39"/>
      <c r="F37" s="14"/>
      <c r="G37" s="14"/>
      <c r="H37" s="14"/>
      <c r="I37" s="14"/>
      <c r="J37" s="14"/>
      <c r="K37" s="14"/>
      <c r="L37" s="14"/>
      <c r="M37" s="14"/>
      <c r="N37" s="14"/>
      <c r="O37" s="14"/>
      <c r="P37" s="14"/>
      <c r="Q37" s="14"/>
      <c r="R37" s="14"/>
      <c r="S37" s="14"/>
      <c r="T37" s="14"/>
      <c r="U37" s="14"/>
      <c r="V37" s="14"/>
      <c r="W37" s="14"/>
    </row>
    <row r="38" spans="1:23" ht="24" hidden="1" customHeight="1">
      <c r="A38" s="36">
        <v>34</v>
      </c>
      <c r="B38" s="34"/>
      <c r="C38" s="38"/>
      <c r="D38" s="38"/>
      <c r="E38" s="39"/>
      <c r="F38" s="14"/>
      <c r="G38" s="14"/>
      <c r="H38" s="14"/>
      <c r="I38" s="14"/>
      <c r="J38" s="14"/>
      <c r="K38" s="14"/>
      <c r="L38" s="14"/>
      <c r="M38" s="14"/>
      <c r="N38" s="14"/>
      <c r="O38" s="14"/>
      <c r="P38" s="14"/>
      <c r="Q38" s="14"/>
      <c r="R38" s="14"/>
      <c r="S38" s="14"/>
      <c r="T38" s="14"/>
      <c r="U38" s="14"/>
      <c r="V38" s="14"/>
      <c r="W38" s="14"/>
    </row>
    <row r="39" spans="1:23" ht="24" hidden="1" customHeight="1">
      <c r="A39" s="36">
        <v>35</v>
      </c>
      <c r="B39" s="34"/>
      <c r="C39" s="38"/>
      <c r="D39" s="38"/>
      <c r="E39" s="39"/>
      <c r="F39" s="14"/>
      <c r="G39" s="14"/>
      <c r="H39" s="14"/>
      <c r="I39" s="14"/>
      <c r="J39" s="14"/>
      <c r="K39" s="14"/>
      <c r="L39" s="14"/>
      <c r="M39" s="14"/>
      <c r="N39" s="14"/>
      <c r="O39" s="14"/>
      <c r="P39" s="14"/>
      <c r="Q39" s="14"/>
      <c r="R39" s="14"/>
      <c r="S39" s="14"/>
      <c r="T39" s="14"/>
      <c r="U39" s="14"/>
      <c r="V39" s="14"/>
      <c r="W39" s="14"/>
    </row>
    <row r="40" spans="1:23" ht="24" hidden="1" customHeight="1">
      <c r="A40" s="36">
        <v>36</v>
      </c>
      <c r="B40" s="34"/>
      <c r="C40" s="38"/>
      <c r="D40" s="38"/>
      <c r="E40" s="39"/>
      <c r="F40" s="14"/>
      <c r="G40" s="14"/>
      <c r="H40" s="14"/>
      <c r="I40" s="14"/>
      <c r="J40" s="14"/>
      <c r="K40" s="14"/>
      <c r="L40" s="14"/>
      <c r="M40" s="14"/>
      <c r="N40" s="14"/>
      <c r="O40" s="14"/>
      <c r="P40" s="14"/>
      <c r="Q40" s="14"/>
      <c r="R40" s="14"/>
      <c r="S40" s="14"/>
      <c r="T40" s="14"/>
      <c r="U40" s="14"/>
      <c r="V40" s="14"/>
      <c r="W40" s="14"/>
    </row>
    <row r="41" spans="1:23" ht="24" hidden="1" customHeight="1">
      <c r="A41" s="36">
        <v>37</v>
      </c>
      <c r="B41" s="34"/>
      <c r="C41" s="38"/>
      <c r="D41" s="38"/>
      <c r="E41" s="39"/>
      <c r="F41" s="14"/>
      <c r="G41" s="14"/>
      <c r="H41" s="14"/>
      <c r="I41" s="14"/>
      <c r="J41" s="14"/>
      <c r="K41" s="14"/>
      <c r="L41" s="14"/>
      <c r="M41" s="14"/>
      <c r="N41" s="14"/>
      <c r="O41" s="14"/>
      <c r="P41" s="14"/>
      <c r="Q41" s="14"/>
      <c r="R41" s="14"/>
      <c r="S41" s="14"/>
      <c r="T41" s="14"/>
      <c r="U41" s="14"/>
      <c r="V41" s="14"/>
      <c r="W41" s="14"/>
    </row>
    <row r="42" spans="1:23" ht="24" hidden="1" customHeight="1">
      <c r="A42" s="36">
        <v>38</v>
      </c>
      <c r="B42" s="34"/>
      <c r="C42" s="38"/>
      <c r="D42" s="38"/>
      <c r="E42" s="39"/>
      <c r="F42" s="14"/>
      <c r="G42" s="14"/>
      <c r="H42" s="14"/>
      <c r="I42" s="14"/>
      <c r="J42" s="14"/>
      <c r="K42" s="14"/>
      <c r="L42" s="14"/>
      <c r="M42" s="14"/>
      <c r="N42" s="14"/>
      <c r="O42" s="14"/>
      <c r="P42" s="14"/>
      <c r="Q42" s="14"/>
      <c r="R42" s="14"/>
      <c r="S42" s="14"/>
      <c r="T42" s="14"/>
      <c r="U42" s="14"/>
      <c r="V42" s="14"/>
      <c r="W42" s="14"/>
    </row>
    <row r="43" spans="1:23" ht="24" hidden="1" customHeight="1">
      <c r="A43" s="36">
        <v>39</v>
      </c>
      <c r="B43" s="34"/>
      <c r="C43" s="38"/>
      <c r="D43" s="38"/>
      <c r="E43" s="39"/>
      <c r="F43" s="14"/>
      <c r="G43" s="14"/>
      <c r="H43" s="14"/>
      <c r="I43" s="14"/>
      <c r="J43" s="14"/>
      <c r="K43" s="14"/>
      <c r="L43" s="14"/>
      <c r="M43" s="14"/>
      <c r="N43" s="14"/>
      <c r="O43" s="14"/>
      <c r="P43" s="14"/>
      <c r="Q43" s="14"/>
      <c r="R43" s="14"/>
      <c r="S43" s="14"/>
      <c r="T43" s="14"/>
      <c r="U43" s="14"/>
      <c r="V43" s="14"/>
      <c r="W43" s="14"/>
    </row>
    <row r="44" spans="1:23" ht="24" hidden="1" customHeight="1">
      <c r="A44" s="36">
        <v>40</v>
      </c>
      <c r="B44" s="34"/>
      <c r="C44" s="38"/>
      <c r="D44" s="38"/>
      <c r="E44" s="39"/>
      <c r="F44" s="14"/>
      <c r="G44" s="14"/>
      <c r="H44" s="14"/>
      <c r="I44" s="14"/>
      <c r="J44" s="14"/>
      <c r="K44" s="14"/>
      <c r="L44" s="14"/>
      <c r="M44" s="14"/>
      <c r="N44" s="14"/>
      <c r="O44" s="14"/>
      <c r="P44" s="14"/>
      <c r="Q44" s="14"/>
      <c r="R44" s="14"/>
      <c r="S44" s="14"/>
      <c r="T44" s="14"/>
      <c r="U44" s="14"/>
      <c r="V44" s="14"/>
      <c r="W44" s="14"/>
    </row>
    <row r="45" spans="1:23" ht="24" hidden="1" customHeight="1">
      <c r="A45" s="36">
        <v>41</v>
      </c>
      <c r="B45" s="34"/>
      <c r="C45" s="38"/>
      <c r="D45" s="38"/>
      <c r="E45" s="39"/>
      <c r="F45" s="14"/>
      <c r="G45" s="14"/>
      <c r="H45" s="14"/>
      <c r="I45" s="14"/>
      <c r="J45" s="14"/>
      <c r="K45" s="14"/>
      <c r="L45" s="14"/>
      <c r="M45" s="14"/>
      <c r="N45" s="14"/>
      <c r="O45" s="14"/>
      <c r="P45" s="14"/>
      <c r="Q45" s="14"/>
      <c r="R45" s="14"/>
      <c r="S45" s="14"/>
      <c r="T45" s="14"/>
      <c r="U45" s="14"/>
      <c r="V45" s="14"/>
      <c r="W45" s="14"/>
    </row>
    <row r="46" spans="1:23" ht="24" hidden="1" customHeight="1">
      <c r="A46" s="36">
        <v>42</v>
      </c>
      <c r="B46" s="34"/>
      <c r="C46" s="38"/>
      <c r="D46" s="38"/>
      <c r="E46" s="39"/>
      <c r="F46" s="14"/>
      <c r="G46" s="14"/>
      <c r="H46" s="14"/>
      <c r="I46" s="14"/>
      <c r="J46" s="14"/>
      <c r="K46" s="14"/>
      <c r="L46" s="14"/>
      <c r="M46" s="14"/>
      <c r="N46" s="14"/>
      <c r="O46" s="14"/>
      <c r="P46" s="14"/>
      <c r="Q46" s="14"/>
      <c r="R46" s="14"/>
      <c r="S46" s="14"/>
      <c r="T46" s="14"/>
      <c r="U46" s="14"/>
      <c r="V46" s="14"/>
      <c r="W46" s="14"/>
    </row>
    <row r="47" spans="1:23" ht="24" hidden="1" customHeight="1">
      <c r="A47" s="36">
        <v>43</v>
      </c>
      <c r="B47" s="34"/>
      <c r="C47" s="38"/>
      <c r="D47" s="38"/>
      <c r="E47" s="39"/>
      <c r="F47" s="14"/>
      <c r="G47" s="14"/>
      <c r="H47" s="14"/>
      <c r="I47" s="14"/>
      <c r="J47" s="14"/>
      <c r="K47" s="14"/>
      <c r="L47" s="14"/>
      <c r="M47" s="14"/>
      <c r="N47" s="14"/>
      <c r="O47" s="14"/>
      <c r="P47" s="14"/>
      <c r="Q47" s="14"/>
      <c r="R47" s="14"/>
      <c r="S47" s="14"/>
      <c r="T47" s="14"/>
      <c r="U47" s="14"/>
      <c r="V47" s="14"/>
      <c r="W47" s="14"/>
    </row>
    <row r="48" spans="1:23" ht="24" hidden="1" customHeight="1">
      <c r="A48" s="36">
        <v>44</v>
      </c>
      <c r="B48" s="34"/>
      <c r="C48" s="38"/>
      <c r="D48" s="38"/>
      <c r="E48" s="39"/>
      <c r="F48" s="14"/>
      <c r="G48" s="14"/>
      <c r="H48" s="14"/>
      <c r="I48" s="14"/>
      <c r="J48" s="14"/>
      <c r="K48" s="14"/>
      <c r="L48" s="14"/>
      <c r="M48" s="14"/>
      <c r="N48" s="14"/>
      <c r="O48" s="14"/>
      <c r="P48" s="14"/>
      <c r="Q48" s="14"/>
      <c r="R48" s="14"/>
      <c r="S48" s="14"/>
      <c r="T48" s="14"/>
      <c r="U48" s="14"/>
      <c r="V48" s="14"/>
      <c r="W48" s="14"/>
    </row>
    <row r="49" spans="1:23" ht="24" hidden="1" customHeight="1">
      <c r="A49" s="36">
        <v>45</v>
      </c>
      <c r="B49" s="34"/>
      <c r="C49" s="38"/>
      <c r="D49" s="38"/>
      <c r="E49" s="39"/>
      <c r="F49" s="14"/>
      <c r="G49" s="14"/>
      <c r="H49" s="14"/>
      <c r="I49" s="14"/>
      <c r="J49" s="14"/>
      <c r="K49" s="14"/>
      <c r="L49" s="14"/>
      <c r="M49" s="14"/>
      <c r="N49" s="14"/>
      <c r="O49" s="14"/>
      <c r="P49" s="14"/>
      <c r="Q49" s="14"/>
      <c r="R49" s="14"/>
      <c r="S49" s="14"/>
      <c r="T49" s="14"/>
      <c r="U49" s="14"/>
      <c r="V49" s="14"/>
      <c r="W49" s="14"/>
    </row>
    <row r="50" spans="1:23" ht="24" hidden="1" customHeight="1">
      <c r="A50" s="36">
        <v>46</v>
      </c>
      <c r="B50" s="34"/>
      <c r="C50" s="38"/>
      <c r="D50" s="38"/>
      <c r="E50" s="39"/>
      <c r="F50" s="14"/>
      <c r="G50" s="14"/>
      <c r="H50" s="14"/>
      <c r="I50" s="14"/>
      <c r="J50" s="14"/>
      <c r="K50" s="14"/>
      <c r="L50" s="14"/>
      <c r="M50" s="14"/>
      <c r="N50" s="14"/>
      <c r="O50" s="14"/>
      <c r="P50" s="14"/>
      <c r="Q50" s="14"/>
      <c r="R50" s="14"/>
      <c r="S50" s="14"/>
      <c r="T50" s="14"/>
      <c r="U50" s="14"/>
      <c r="V50" s="14"/>
      <c r="W50" s="14"/>
    </row>
    <row r="51" spans="1:23" ht="24" hidden="1" customHeight="1">
      <c r="A51" s="36">
        <v>47</v>
      </c>
      <c r="B51" s="34"/>
      <c r="C51" s="38"/>
      <c r="D51" s="38"/>
      <c r="E51" s="39"/>
      <c r="F51" s="14"/>
      <c r="G51" s="14"/>
      <c r="H51" s="14"/>
      <c r="I51" s="14"/>
      <c r="J51" s="14"/>
      <c r="K51" s="14"/>
      <c r="L51" s="14"/>
      <c r="M51" s="14"/>
      <c r="N51" s="14"/>
      <c r="O51" s="14"/>
      <c r="P51" s="14"/>
      <c r="Q51" s="14"/>
      <c r="R51" s="14"/>
      <c r="S51" s="14"/>
      <c r="T51" s="14"/>
      <c r="U51" s="14"/>
      <c r="V51" s="14"/>
      <c r="W51" s="14"/>
    </row>
    <row r="52" spans="1:23" ht="24" hidden="1" customHeight="1">
      <c r="A52" s="36">
        <v>48</v>
      </c>
      <c r="B52" s="34"/>
      <c r="C52" s="38"/>
      <c r="D52" s="38"/>
      <c r="E52" s="39"/>
      <c r="F52" s="14"/>
      <c r="G52" s="14"/>
      <c r="H52" s="14"/>
      <c r="I52" s="14"/>
      <c r="J52" s="14"/>
      <c r="K52" s="14"/>
      <c r="L52" s="14"/>
      <c r="M52" s="14"/>
      <c r="N52" s="14"/>
      <c r="O52" s="14"/>
      <c r="P52" s="14"/>
      <c r="Q52" s="14"/>
      <c r="R52" s="14"/>
      <c r="S52" s="14"/>
      <c r="T52" s="14"/>
      <c r="U52" s="14"/>
      <c r="V52" s="14"/>
      <c r="W52" s="14"/>
    </row>
    <row r="53" spans="1:23" ht="24" hidden="1" customHeight="1">
      <c r="A53" s="36">
        <v>49</v>
      </c>
      <c r="B53" s="34"/>
      <c r="C53" s="38"/>
      <c r="D53" s="38"/>
      <c r="E53" s="39"/>
      <c r="F53" s="14"/>
      <c r="G53" s="14"/>
      <c r="H53" s="14"/>
      <c r="I53" s="14"/>
      <c r="J53" s="14"/>
      <c r="K53" s="14"/>
      <c r="L53" s="14"/>
      <c r="M53" s="14"/>
      <c r="N53" s="14"/>
      <c r="O53" s="14"/>
      <c r="P53" s="14"/>
      <c r="Q53" s="14"/>
      <c r="R53" s="14"/>
      <c r="S53" s="14"/>
      <c r="T53" s="14"/>
      <c r="U53" s="14"/>
      <c r="V53" s="14"/>
      <c r="W53" s="14"/>
    </row>
    <row r="54" spans="1:23" ht="24" hidden="1" customHeight="1">
      <c r="A54" s="36">
        <v>50</v>
      </c>
      <c r="B54" s="34"/>
      <c r="C54" s="38"/>
      <c r="D54" s="38"/>
      <c r="E54" s="39"/>
      <c r="F54" s="14"/>
      <c r="G54" s="14"/>
      <c r="H54" s="14"/>
      <c r="I54" s="14"/>
      <c r="J54" s="14"/>
      <c r="K54" s="14"/>
      <c r="L54" s="14"/>
      <c r="M54" s="14"/>
      <c r="N54" s="14"/>
      <c r="O54" s="14"/>
      <c r="P54" s="14"/>
      <c r="Q54" s="14"/>
      <c r="R54" s="14"/>
      <c r="S54" s="14"/>
      <c r="T54" s="14"/>
      <c r="U54" s="14"/>
      <c r="V54" s="14"/>
      <c r="W54" s="14"/>
    </row>
    <row r="55" spans="1:23" ht="24" hidden="1" customHeight="1">
      <c r="A55" s="36">
        <v>51</v>
      </c>
      <c r="B55" s="34"/>
      <c r="C55" s="38"/>
      <c r="D55" s="38"/>
      <c r="E55" s="39"/>
      <c r="F55" s="14"/>
      <c r="G55" s="14"/>
      <c r="H55" s="14"/>
      <c r="I55" s="14"/>
      <c r="J55" s="14"/>
      <c r="K55" s="14"/>
      <c r="L55" s="14"/>
      <c r="M55" s="14"/>
      <c r="N55" s="14"/>
      <c r="O55" s="14"/>
      <c r="P55" s="14"/>
      <c r="Q55" s="14"/>
      <c r="R55" s="14"/>
      <c r="S55" s="14"/>
      <c r="T55" s="14"/>
      <c r="U55" s="14"/>
      <c r="V55" s="14"/>
      <c r="W55" s="14"/>
    </row>
    <row r="56" spans="1:23" ht="24" hidden="1" customHeight="1">
      <c r="A56" s="36">
        <v>52</v>
      </c>
      <c r="B56" s="34"/>
      <c r="C56" s="38"/>
      <c r="D56" s="38"/>
      <c r="E56" s="39"/>
      <c r="F56" s="14"/>
      <c r="G56" s="14"/>
      <c r="H56" s="14"/>
      <c r="I56" s="14"/>
      <c r="J56" s="14"/>
      <c r="K56" s="14"/>
      <c r="L56" s="14"/>
      <c r="M56" s="14"/>
      <c r="N56" s="14"/>
      <c r="O56" s="14"/>
      <c r="P56" s="14"/>
      <c r="Q56" s="14"/>
      <c r="R56" s="14"/>
      <c r="S56" s="14"/>
      <c r="T56" s="14"/>
      <c r="U56" s="14"/>
      <c r="V56" s="14"/>
      <c r="W56" s="14"/>
    </row>
    <row r="57" spans="1:23" ht="24" hidden="1" customHeight="1">
      <c r="A57" s="36">
        <v>53</v>
      </c>
      <c r="B57" s="34"/>
      <c r="C57" s="38"/>
      <c r="D57" s="38"/>
      <c r="E57" s="39"/>
      <c r="F57" s="14"/>
      <c r="G57" s="14"/>
      <c r="H57" s="14"/>
      <c r="I57" s="14"/>
      <c r="J57" s="14"/>
      <c r="K57" s="14"/>
      <c r="L57" s="14"/>
      <c r="M57" s="14"/>
      <c r="N57" s="14"/>
      <c r="O57" s="14"/>
      <c r="P57" s="14"/>
      <c r="Q57" s="14"/>
      <c r="R57" s="14"/>
      <c r="S57" s="14"/>
      <c r="T57" s="14"/>
      <c r="U57" s="14"/>
      <c r="V57" s="14"/>
      <c r="W57" s="14"/>
    </row>
    <row r="58" spans="1:23" ht="24" hidden="1" customHeight="1">
      <c r="A58" s="36">
        <v>54</v>
      </c>
      <c r="B58" s="34"/>
      <c r="C58" s="38"/>
      <c r="D58" s="38"/>
      <c r="E58" s="39"/>
      <c r="F58" s="14"/>
      <c r="G58" s="14"/>
      <c r="H58" s="14"/>
      <c r="I58" s="14"/>
      <c r="J58" s="14"/>
      <c r="K58" s="14"/>
      <c r="L58" s="14"/>
      <c r="M58" s="14"/>
      <c r="N58" s="14"/>
      <c r="O58" s="14"/>
      <c r="P58" s="14"/>
      <c r="Q58" s="14"/>
      <c r="R58" s="14"/>
      <c r="S58" s="14"/>
      <c r="T58" s="14"/>
      <c r="U58" s="14"/>
      <c r="V58" s="14"/>
      <c r="W58" s="14"/>
    </row>
    <row r="59" spans="1:23" ht="24" hidden="1" customHeight="1">
      <c r="A59" s="36">
        <v>55</v>
      </c>
      <c r="B59" s="34"/>
      <c r="C59" s="38"/>
      <c r="D59" s="38"/>
      <c r="E59" s="39"/>
      <c r="F59" s="14"/>
      <c r="G59" s="14"/>
      <c r="H59" s="14"/>
      <c r="I59" s="14"/>
      <c r="J59" s="14"/>
      <c r="K59" s="14"/>
      <c r="L59" s="14"/>
      <c r="M59" s="14"/>
      <c r="N59" s="14"/>
      <c r="O59" s="14"/>
      <c r="P59" s="14"/>
      <c r="Q59" s="14"/>
      <c r="R59" s="14"/>
      <c r="S59" s="14"/>
      <c r="T59" s="14"/>
      <c r="U59" s="14"/>
      <c r="V59" s="14"/>
      <c r="W59" s="14"/>
    </row>
    <row r="60" spans="1:23" ht="24" hidden="1" customHeight="1">
      <c r="A60" s="36">
        <v>56</v>
      </c>
      <c r="B60" s="34"/>
      <c r="C60" s="38"/>
      <c r="D60" s="38"/>
      <c r="E60" s="39"/>
      <c r="F60" s="14"/>
      <c r="G60" s="14"/>
      <c r="H60" s="14"/>
      <c r="I60" s="14"/>
      <c r="J60" s="14"/>
      <c r="K60" s="14"/>
      <c r="L60" s="14"/>
      <c r="M60" s="14"/>
      <c r="N60" s="14"/>
      <c r="O60" s="14"/>
      <c r="P60" s="14"/>
      <c r="Q60" s="14"/>
      <c r="R60" s="14"/>
      <c r="S60" s="14"/>
      <c r="T60" s="14"/>
      <c r="U60" s="14"/>
      <c r="V60" s="14"/>
      <c r="W60" s="14"/>
    </row>
    <row r="61" spans="1:23" ht="24" hidden="1" customHeight="1">
      <c r="A61" s="36">
        <v>57</v>
      </c>
      <c r="B61" s="34"/>
      <c r="C61" s="38"/>
      <c r="D61" s="38"/>
      <c r="E61" s="39"/>
      <c r="F61" s="14"/>
      <c r="G61" s="14"/>
      <c r="H61" s="14"/>
      <c r="I61" s="14"/>
      <c r="J61" s="14"/>
      <c r="K61" s="14"/>
      <c r="L61" s="14"/>
      <c r="M61" s="14"/>
      <c r="N61" s="14"/>
      <c r="O61" s="14"/>
      <c r="P61" s="14"/>
      <c r="Q61" s="14"/>
      <c r="R61" s="14"/>
      <c r="S61" s="14"/>
      <c r="T61" s="14"/>
      <c r="U61" s="14"/>
      <c r="V61" s="14"/>
      <c r="W61" s="14"/>
    </row>
    <row r="62" spans="1:23" ht="24" hidden="1" customHeight="1">
      <c r="A62" s="36">
        <v>58</v>
      </c>
      <c r="B62" s="34"/>
      <c r="C62" s="38"/>
      <c r="D62" s="38"/>
      <c r="E62" s="39"/>
      <c r="F62" s="14"/>
      <c r="G62" s="14"/>
      <c r="H62" s="14"/>
      <c r="I62" s="14"/>
      <c r="J62" s="14"/>
      <c r="K62" s="14"/>
      <c r="L62" s="14"/>
      <c r="M62" s="14"/>
      <c r="N62" s="14"/>
      <c r="O62" s="14"/>
      <c r="P62" s="14"/>
      <c r="Q62" s="14"/>
      <c r="R62" s="14"/>
      <c r="S62" s="14"/>
      <c r="T62" s="14"/>
      <c r="U62" s="14"/>
      <c r="V62" s="14"/>
      <c r="W62" s="14"/>
    </row>
    <row r="63" spans="1:23" ht="24" hidden="1" customHeight="1">
      <c r="A63" s="36">
        <v>59</v>
      </c>
      <c r="B63" s="34"/>
      <c r="C63" s="38"/>
      <c r="D63" s="38"/>
      <c r="E63" s="39"/>
      <c r="F63" s="14"/>
      <c r="G63" s="14"/>
      <c r="H63" s="14"/>
      <c r="I63" s="14"/>
      <c r="J63" s="14"/>
      <c r="K63" s="14"/>
      <c r="L63" s="14"/>
      <c r="M63" s="14"/>
      <c r="N63" s="14"/>
      <c r="O63" s="14"/>
      <c r="P63" s="14"/>
      <c r="Q63" s="14"/>
      <c r="R63" s="14"/>
      <c r="S63" s="14"/>
      <c r="T63" s="14"/>
      <c r="U63" s="14"/>
      <c r="V63" s="14"/>
      <c r="W63" s="14"/>
    </row>
    <row r="64" spans="1:23" ht="24" hidden="1" customHeight="1">
      <c r="A64" s="36">
        <v>60</v>
      </c>
      <c r="B64" s="34"/>
      <c r="C64" s="38"/>
      <c r="D64" s="38"/>
      <c r="E64" s="39"/>
      <c r="F64" s="14"/>
      <c r="G64" s="14"/>
      <c r="H64" s="14"/>
      <c r="I64" s="14"/>
      <c r="J64" s="14"/>
      <c r="K64" s="14"/>
      <c r="L64" s="14"/>
      <c r="M64" s="14"/>
      <c r="N64" s="14"/>
      <c r="O64" s="14"/>
      <c r="P64" s="14"/>
      <c r="Q64" s="14"/>
      <c r="R64" s="14"/>
      <c r="S64" s="14"/>
      <c r="T64" s="14"/>
      <c r="U64" s="14"/>
      <c r="V64" s="14"/>
      <c r="W64" s="14"/>
    </row>
    <row r="65" spans="1:23" ht="24" hidden="1" customHeight="1">
      <c r="A65" s="36">
        <v>61</v>
      </c>
      <c r="B65" s="34"/>
      <c r="C65" s="38"/>
      <c r="D65" s="38"/>
      <c r="E65" s="39"/>
      <c r="F65" s="14"/>
      <c r="G65" s="14"/>
      <c r="H65" s="14"/>
      <c r="I65" s="14"/>
      <c r="J65" s="14"/>
      <c r="K65" s="14"/>
      <c r="L65" s="14"/>
      <c r="M65" s="14"/>
      <c r="N65" s="14"/>
      <c r="O65" s="14"/>
      <c r="P65" s="14"/>
      <c r="Q65" s="14"/>
      <c r="R65" s="14"/>
      <c r="S65" s="14"/>
      <c r="T65" s="14"/>
      <c r="U65" s="14"/>
      <c r="V65" s="14"/>
      <c r="W65" s="14"/>
    </row>
    <row r="66" spans="1:23" ht="24" hidden="1" customHeight="1">
      <c r="A66" s="36">
        <v>62</v>
      </c>
      <c r="B66" s="34"/>
      <c r="C66" s="38"/>
      <c r="D66" s="38"/>
      <c r="E66" s="39"/>
      <c r="F66" s="14"/>
      <c r="G66" s="14"/>
      <c r="H66" s="14"/>
      <c r="I66" s="14"/>
      <c r="J66" s="14"/>
      <c r="K66" s="14"/>
      <c r="L66" s="14"/>
      <c r="M66" s="14"/>
      <c r="N66" s="14"/>
      <c r="O66" s="14"/>
      <c r="P66" s="14"/>
      <c r="Q66" s="14"/>
      <c r="R66" s="14"/>
      <c r="S66" s="14"/>
      <c r="T66" s="14"/>
      <c r="U66" s="14"/>
      <c r="V66" s="14"/>
      <c r="W66" s="14"/>
    </row>
    <row r="67" spans="1:23" ht="24" hidden="1" customHeight="1">
      <c r="A67" s="36">
        <v>63</v>
      </c>
      <c r="B67" s="34"/>
      <c r="C67" s="38"/>
      <c r="D67" s="38"/>
      <c r="E67" s="39"/>
      <c r="F67" s="14"/>
      <c r="G67" s="14"/>
      <c r="H67" s="14"/>
      <c r="I67" s="14"/>
      <c r="J67" s="14"/>
      <c r="K67" s="14"/>
      <c r="L67" s="14"/>
      <c r="M67" s="14"/>
      <c r="N67" s="14"/>
      <c r="O67" s="14"/>
      <c r="P67" s="14"/>
      <c r="Q67" s="14"/>
      <c r="R67" s="14"/>
      <c r="S67" s="14"/>
      <c r="T67" s="14"/>
      <c r="U67" s="14"/>
      <c r="V67" s="14"/>
      <c r="W67" s="14"/>
    </row>
    <row r="68" spans="1:23" ht="24" hidden="1" customHeight="1">
      <c r="A68" s="36">
        <v>64</v>
      </c>
      <c r="B68" s="34"/>
      <c r="C68" s="38"/>
      <c r="D68" s="38"/>
      <c r="E68" s="39"/>
      <c r="F68" s="14"/>
      <c r="G68" s="14"/>
      <c r="H68" s="14"/>
      <c r="I68" s="14"/>
      <c r="J68" s="14"/>
      <c r="K68" s="14"/>
      <c r="L68" s="14"/>
      <c r="M68" s="14"/>
      <c r="N68" s="14"/>
      <c r="O68" s="14"/>
      <c r="P68" s="14"/>
      <c r="Q68" s="14"/>
      <c r="R68" s="14"/>
      <c r="S68" s="14"/>
      <c r="T68" s="14"/>
      <c r="U68" s="14"/>
      <c r="V68" s="14"/>
      <c r="W68" s="14"/>
    </row>
    <row r="69" spans="1:23" ht="24" hidden="1" customHeight="1">
      <c r="A69" s="36">
        <v>65</v>
      </c>
      <c r="B69" s="34"/>
      <c r="C69" s="38"/>
      <c r="D69" s="38"/>
      <c r="E69" s="39"/>
      <c r="F69" s="14"/>
      <c r="G69" s="14"/>
      <c r="H69" s="14"/>
      <c r="I69" s="14"/>
      <c r="J69" s="14"/>
      <c r="K69" s="14"/>
      <c r="L69" s="14"/>
      <c r="M69" s="14"/>
      <c r="N69" s="14"/>
      <c r="O69" s="14"/>
      <c r="P69" s="14"/>
      <c r="Q69" s="14"/>
      <c r="R69" s="14"/>
      <c r="S69" s="14"/>
      <c r="T69" s="14"/>
      <c r="U69" s="14"/>
      <c r="V69" s="14"/>
      <c r="W69" s="14"/>
    </row>
    <row r="70" spans="1:23" ht="24" hidden="1" customHeight="1">
      <c r="A70" s="36">
        <v>66</v>
      </c>
      <c r="B70" s="35"/>
      <c r="C70" s="35"/>
      <c r="D70" s="35"/>
      <c r="E70" s="35"/>
      <c r="F70" s="14"/>
      <c r="G70" s="14"/>
      <c r="H70" s="14"/>
      <c r="I70" s="14"/>
      <c r="J70" s="14"/>
      <c r="K70" s="14"/>
      <c r="L70" s="14"/>
      <c r="M70" s="14"/>
      <c r="N70" s="14"/>
      <c r="O70" s="14"/>
      <c r="P70" s="14"/>
      <c r="Q70" s="14"/>
      <c r="R70" s="14"/>
      <c r="S70" s="14"/>
      <c r="T70" s="14"/>
      <c r="U70" s="14"/>
      <c r="V70" s="14"/>
      <c r="W70" s="14"/>
    </row>
    <row r="71" spans="1:23" ht="24" hidden="1" customHeight="1">
      <c r="A71" s="36">
        <v>67</v>
      </c>
      <c r="B71" s="35"/>
      <c r="C71" s="35"/>
      <c r="D71" s="35"/>
      <c r="E71" s="35"/>
      <c r="F71" s="14"/>
      <c r="G71" s="14"/>
      <c r="H71" s="14"/>
      <c r="I71" s="14"/>
      <c r="J71" s="14"/>
      <c r="K71" s="14"/>
      <c r="L71" s="14"/>
      <c r="M71" s="14"/>
      <c r="N71" s="14"/>
      <c r="O71" s="14"/>
      <c r="P71" s="14"/>
      <c r="Q71" s="14"/>
      <c r="R71" s="14"/>
      <c r="S71" s="14"/>
      <c r="T71" s="14"/>
      <c r="U71" s="14"/>
      <c r="V71" s="14"/>
      <c r="W71" s="14"/>
    </row>
    <row r="72" spans="1:23" ht="24" hidden="1" customHeight="1">
      <c r="A72" s="36">
        <v>68</v>
      </c>
      <c r="B72" s="35"/>
      <c r="C72" s="35"/>
      <c r="D72" s="35"/>
      <c r="E72" s="35"/>
      <c r="F72" s="14"/>
      <c r="G72" s="14"/>
      <c r="H72" s="14"/>
      <c r="I72" s="14"/>
      <c r="J72" s="14"/>
      <c r="K72" s="14"/>
      <c r="L72" s="14"/>
      <c r="M72" s="14"/>
      <c r="N72" s="14"/>
      <c r="O72" s="14"/>
      <c r="P72" s="14"/>
      <c r="Q72" s="14"/>
      <c r="R72" s="14"/>
      <c r="S72" s="14"/>
      <c r="T72" s="14"/>
      <c r="U72" s="14"/>
      <c r="V72" s="14"/>
      <c r="W72" s="14"/>
    </row>
    <row r="73" spans="1:23" ht="24" hidden="1" customHeight="1">
      <c r="A73" s="36">
        <v>69</v>
      </c>
      <c r="B73" s="35"/>
      <c r="C73" s="35"/>
      <c r="D73" s="35"/>
      <c r="E73" s="35"/>
      <c r="F73" s="14"/>
      <c r="G73" s="14"/>
      <c r="H73" s="14"/>
      <c r="I73" s="14"/>
      <c r="J73" s="14"/>
      <c r="K73" s="14"/>
      <c r="L73" s="14"/>
      <c r="M73" s="14"/>
      <c r="N73" s="14"/>
      <c r="O73" s="14"/>
      <c r="P73" s="14"/>
      <c r="Q73" s="14"/>
      <c r="R73" s="14"/>
      <c r="S73" s="14"/>
      <c r="T73" s="14"/>
      <c r="U73" s="14"/>
      <c r="V73" s="14"/>
      <c r="W73" s="14"/>
    </row>
    <row r="74" spans="1:23" ht="24" hidden="1" customHeight="1">
      <c r="A74" s="36">
        <v>70</v>
      </c>
      <c r="B74" s="35"/>
      <c r="C74" s="35"/>
      <c r="D74" s="35"/>
      <c r="E74" s="35"/>
      <c r="F74" s="14"/>
      <c r="G74" s="14"/>
      <c r="H74" s="14"/>
      <c r="I74" s="14"/>
      <c r="J74" s="14"/>
      <c r="K74" s="14"/>
      <c r="L74" s="14"/>
      <c r="M74" s="14"/>
      <c r="N74" s="14"/>
      <c r="O74" s="14"/>
      <c r="P74" s="14"/>
      <c r="Q74" s="14"/>
      <c r="R74" s="14"/>
      <c r="S74" s="14"/>
      <c r="T74" s="14"/>
      <c r="U74" s="14"/>
      <c r="V74" s="14"/>
      <c r="W74" s="14"/>
    </row>
    <row r="75" spans="1:23" ht="24" hidden="1" customHeight="1">
      <c r="A75" s="36">
        <v>71</v>
      </c>
      <c r="B75" s="35"/>
      <c r="C75" s="35"/>
      <c r="D75" s="35"/>
      <c r="E75" s="35"/>
      <c r="F75" s="14"/>
      <c r="G75" s="14"/>
      <c r="H75" s="14"/>
      <c r="I75" s="14"/>
      <c r="J75" s="14"/>
      <c r="K75" s="14"/>
      <c r="L75" s="14"/>
      <c r="M75" s="14"/>
      <c r="N75" s="14"/>
      <c r="O75" s="14"/>
      <c r="P75" s="14"/>
      <c r="Q75" s="14"/>
      <c r="R75" s="14"/>
      <c r="S75" s="14"/>
      <c r="T75" s="14"/>
      <c r="U75" s="14"/>
      <c r="V75" s="14"/>
      <c r="W75" s="14"/>
    </row>
    <row r="76" spans="1:23" ht="24" hidden="1" customHeight="1">
      <c r="A76" s="36">
        <v>72</v>
      </c>
      <c r="B76" s="35"/>
      <c r="C76" s="35"/>
      <c r="D76" s="35"/>
      <c r="E76" s="35"/>
      <c r="F76" s="14"/>
      <c r="G76" s="14"/>
      <c r="H76" s="14"/>
      <c r="I76" s="14"/>
      <c r="J76" s="14"/>
      <c r="K76" s="14"/>
      <c r="L76" s="14"/>
      <c r="M76" s="14"/>
      <c r="N76" s="14"/>
      <c r="O76" s="14"/>
      <c r="P76" s="14"/>
      <c r="Q76" s="14"/>
      <c r="R76" s="14"/>
      <c r="S76" s="14"/>
      <c r="T76" s="14"/>
      <c r="U76" s="14"/>
      <c r="V76" s="14"/>
      <c r="W76" s="14"/>
    </row>
    <row r="77" spans="1:23" ht="24" hidden="1" customHeight="1">
      <c r="A77" s="36">
        <v>73</v>
      </c>
      <c r="B77" s="35"/>
      <c r="C77" s="35"/>
      <c r="D77" s="35"/>
      <c r="E77" s="35"/>
      <c r="F77" s="14"/>
      <c r="G77" s="14"/>
      <c r="H77" s="14"/>
      <c r="I77" s="14"/>
      <c r="J77" s="14"/>
      <c r="K77" s="14"/>
      <c r="L77" s="14"/>
      <c r="M77" s="14"/>
      <c r="N77" s="14"/>
      <c r="O77" s="14"/>
      <c r="P77" s="14"/>
      <c r="Q77" s="14"/>
      <c r="R77" s="14"/>
      <c r="S77" s="14"/>
      <c r="T77" s="14"/>
      <c r="U77" s="14"/>
      <c r="V77" s="14"/>
      <c r="W77" s="14"/>
    </row>
    <row r="78" spans="1:23" ht="24" hidden="1" customHeight="1">
      <c r="A78" s="36">
        <v>74</v>
      </c>
      <c r="B78" s="35"/>
      <c r="C78" s="35"/>
      <c r="D78" s="35"/>
      <c r="E78" s="35"/>
      <c r="F78" s="14"/>
      <c r="G78" s="14"/>
      <c r="H78" s="14"/>
      <c r="I78" s="14"/>
      <c r="J78" s="14"/>
      <c r="K78" s="14"/>
      <c r="L78" s="14"/>
      <c r="M78" s="14"/>
      <c r="N78" s="14"/>
      <c r="O78" s="14"/>
      <c r="P78" s="14"/>
      <c r="Q78" s="14"/>
      <c r="R78" s="14"/>
      <c r="S78" s="14"/>
      <c r="T78" s="14"/>
      <c r="U78" s="14"/>
      <c r="V78" s="14"/>
      <c r="W78" s="14"/>
    </row>
    <row r="79" spans="1:23" ht="24" hidden="1" customHeight="1">
      <c r="A79" s="36">
        <v>75</v>
      </c>
      <c r="B79" s="35"/>
      <c r="C79" s="35"/>
      <c r="D79" s="35"/>
      <c r="E79" s="35"/>
      <c r="F79" s="14"/>
      <c r="G79" s="14"/>
      <c r="H79" s="14"/>
      <c r="I79" s="14"/>
      <c r="J79" s="14"/>
      <c r="K79" s="14"/>
      <c r="L79" s="14"/>
      <c r="M79" s="14"/>
      <c r="N79" s="14"/>
      <c r="O79" s="14"/>
      <c r="P79" s="14"/>
      <c r="Q79" s="14"/>
      <c r="R79" s="14"/>
      <c r="S79" s="14"/>
      <c r="T79" s="14"/>
      <c r="U79" s="14"/>
      <c r="V79" s="14"/>
      <c r="W79" s="14"/>
    </row>
    <row r="80" spans="1:23" ht="24" hidden="1" customHeight="1">
      <c r="A80" s="36">
        <v>76</v>
      </c>
      <c r="B80" s="35"/>
      <c r="C80" s="35"/>
      <c r="D80" s="35"/>
      <c r="E80" s="35"/>
      <c r="F80" s="14"/>
      <c r="G80" s="14"/>
      <c r="H80" s="14"/>
      <c r="I80" s="14"/>
      <c r="J80" s="14"/>
      <c r="K80" s="14"/>
      <c r="L80" s="14"/>
      <c r="M80" s="14"/>
      <c r="N80" s="14"/>
      <c r="O80" s="14"/>
      <c r="P80" s="14"/>
      <c r="Q80" s="14"/>
      <c r="R80" s="14"/>
      <c r="S80" s="14"/>
      <c r="T80" s="14"/>
      <c r="U80" s="14"/>
      <c r="V80" s="14"/>
      <c r="W80" s="14"/>
    </row>
    <row r="81" spans="1:23" ht="24" hidden="1" customHeight="1">
      <c r="A81" s="36">
        <v>77</v>
      </c>
      <c r="B81" s="35"/>
      <c r="C81" s="35"/>
      <c r="D81" s="35"/>
      <c r="E81" s="35"/>
      <c r="F81" s="14"/>
      <c r="G81" s="14"/>
      <c r="H81" s="14"/>
      <c r="I81" s="14"/>
      <c r="J81" s="14"/>
      <c r="K81" s="14"/>
      <c r="L81" s="14"/>
      <c r="M81" s="14"/>
      <c r="N81" s="14"/>
      <c r="O81" s="14"/>
      <c r="P81" s="14"/>
      <c r="Q81" s="14"/>
      <c r="R81" s="14"/>
      <c r="S81" s="14"/>
      <c r="T81" s="14"/>
      <c r="U81" s="14"/>
      <c r="V81" s="14"/>
      <c r="W81" s="14"/>
    </row>
    <row r="82" spans="1:23" ht="24" hidden="1" customHeight="1">
      <c r="A82" s="36">
        <v>78</v>
      </c>
      <c r="B82" s="35"/>
      <c r="C82" s="35"/>
      <c r="D82" s="35"/>
      <c r="E82" s="35"/>
      <c r="F82" s="14"/>
      <c r="G82" s="14"/>
      <c r="H82" s="14"/>
      <c r="I82" s="14"/>
      <c r="J82" s="14"/>
      <c r="K82" s="14"/>
      <c r="L82" s="14"/>
      <c r="M82" s="14"/>
      <c r="N82" s="14"/>
      <c r="O82" s="14"/>
      <c r="P82" s="14"/>
      <c r="Q82" s="14"/>
      <c r="R82" s="14"/>
      <c r="S82" s="14"/>
      <c r="T82" s="14"/>
      <c r="U82" s="14"/>
      <c r="V82" s="14"/>
      <c r="W82" s="14"/>
    </row>
    <row r="83" spans="1:23" ht="24" hidden="1" customHeight="1">
      <c r="A83" s="36">
        <v>79</v>
      </c>
      <c r="B83" s="35"/>
      <c r="C83" s="35"/>
      <c r="D83" s="35"/>
      <c r="E83" s="35"/>
      <c r="F83" s="14"/>
      <c r="G83" s="14"/>
      <c r="H83" s="14"/>
      <c r="I83" s="14"/>
      <c r="J83" s="14"/>
      <c r="K83" s="14"/>
      <c r="L83" s="14"/>
      <c r="M83" s="14"/>
      <c r="N83" s="14"/>
      <c r="O83" s="14"/>
      <c r="P83" s="14"/>
      <c r="Q83" s="14"/>
      <c r="R83" s="14"/>
      <c r="S83" s="14"/>
      <c r="T83" s="14"/>
      <c r="U83" s="14"/>
      <c r="V83" s="14"/>
      <c r="W83" s="14"/>
    </row>
    <row r="84" spans="1:23" ht="24" hidden="1" customHeight="1">
      <c r="A84" s="36">
        <v>80</v>
      </c>
      <c r="B84" s="35"/>
      <c r="C84" s="35"/>
      <c r="D84" s="35"/>
      <c r="E84" s="35"/>
      <c r="F84" s="14"/>
      <c r="G84" s="14"/>
      <c r="H84" s="14"/>
      <c r="I84" s="14"/>
      <c r="J84" s="14"/>
      <c r="K84" s="14"/>
      <c r="L84" s="14"/>
      <c r="M84" s="14"/>
      <c r="N84" s="14"/>
      <c r="O84" s="14"/>
      <c r="P84" s="14"/>
      <c r="Q84" s="14"/>
      <c r="R84" s="14"/>
      <c r="S84" s="14"/>
      <c r="T84" s="14"/>
      <c r="U84" s="14"/>
      <c r="V84" s="14"/>
      <c r="W84" s="14"/>
    </row>
    <row r="85" spans="1:23" ht="24" hidden="1" customHeight="1">
      <c r="A85" s="36">
        <v>81</v>
      </c>
      <c r="B85" s="35"/>
      <c r="C85" s="35"/>
      <c r="D85" s="35"/>
      <c r="E85" s="35"/>
      <c r="F85" s="14"/>
      <c r="G85" s="14"/>
      <c r="H85" s="14"/>
      <c r="I85" s="14"/>
      <c r="J85" s="14"/>
      <c r="K85" s="14"/>
      <c r="L85" s="14"/>
      <c r="M85" s="14"/>
      <c r="N85" s="14"/>
      <c r="O85" s="14"/>
      <c r="P85" s="14"/>
      <c r="Q85" s="14"/>
      <c r="R85" s="14"/>
      <c r="S85" s="14"/>
      <c r="T85" s="14"/>
      <c r="U85" s="14"/>
      <c r="V85" s="14"/>
      <c r="W85" s="14"/>
    </row>
    <row r="86" spans="1:23" ht="24" hidden="1" customHeight="1">
      <c r="A86" s="36">
        <v>82</v>
      </c>
      <c r="B86" s="35"/>
      <c r="C86" s="35"/>
      <c r="D86" s="35"/>
      <c r="E86" s="35"/>
      <c r="F86" s="14"/>
      <c r="G86" s="14"/>
      <c r="H86" s="14"/>
      <c r="I86" s="14"/>
      <c r="J86" s="14"/>
      <c r="K86" s="14"/>
      <c r="L86" s="14"/>
      <c r="M86" s="14"/>
      <c r="N86" s="14"/>
      <c r="O86" s="14"/>
      <c r="P86" s="14"/>
      <c r="Q86" s="14"/>
      <c r="R86" s="14"/>
      <c r="S86" s="14"/>
      <c r="T86" s="14"/>
      <c r="U86" s="14"/>
      <c r="V86" s="14"/>
      <c r="W86" s="14"/>
    </row>
    <row r="87" spans="1:23" ht="24" hidden="1" customHeight="1">
      <c r="A87" s="36">
        <v>83</v>
      </c>
      <c r="B87" s="35"/>
      <c r="C87" s="35"/>
      <c r="D87" s="35"/>
      <c r="E87" s="35"/>
      <c r="F87" s="14"/>
      <c r="G87" s="14"/>
      <c r="H87" s="14"/>
      <c r="I87" s="14"/>
      <c r="J87" s="14"/>
      <c r="K87" s="14"/>
      <c r="L87" s="14"/>
      <c r="M87" s="14"/>
      <c r="N87" s="14"/>
      <c r="O87" s="14"/>
      <c r="P87" s="14"/>
      <c r="Q87" s="14"/>
      <c r="R87" s="14"/>
      <c r="S87" s="14"/>
      <c r="T87" s="14"/>
      <c r="U87" s="14"/>
      <c r="V87" s="14"/>
      <c r="W87" s="14"/>
    </row>
    <row r="88" spans="1:23" ht="24" hidden="1" customHeight="1">
      <c r="A88" s="36">
        <v>84</v>
      </c>
      <c r="B88" s="35"/>
      <c r="C88" s="35"/>
      <c r="D88" s="35"/>
      <c r="E88" s="35"/>
      <c r="F88" s="14"/>
      <c r="G88" s="14"/>
      <c r="H88" s="14"/>
      <c r="I88" s="14"/>
      <c r="J88" s="14"/>
      <c r="K88" s="14"/>
      <c r="L88" s="14"/>
      <c r="M88" s="14"/>
      <c r="N88" s="14"/>
      <c r="O88" s="14"/>
      <c r="P88" s="14"/>
      <c r="Q88" s="14"/>
      <c r="R88" s="14"/>
      <c r="S88" s="14"/>
      <c r="T88" s="14"/>
      <c r="U88" s="14"/>
      <c r="V88" s="14"/>
      <c r="W88" s="14"/>
    </row>
    <row r="89" spans="1:23" ht="24" hidden="1" customHeight="1">
      <c r="A89" s="36">
        <v>85</v>
      </c>
      <c r="B89" s="35"/>
      <c r="C89" s="35"/>
      <c r="D89" s="35"/>
      <c r="E89" s="35"/>
      <c r="F89" s="14"/>
      <c r="G89" s="14"/>
      <c r="H89" s="14"/>
      <c r="I89" s="14"/>
      <c r="J89" s="14"/>
      <c r="K89" s="14"/>
      <c r="L89" s="14"/>
      <c r="M89" s="14"/>
      <c r="N89" s="14"/>
      <c r="O89" s="14"/>
      <c r="P89" s="14"/>
      <c r="Q89" s="14"/>
      <c r="R89" s="14"/>
      <c r="S89" s="14"/>
      <c r="T89" s="14"/>
      <c r="U89" s="14"/>
      <c r="V89" s="14"/>
      <c r="W89" s="14"/>
    </row>
    <row r="90" spans="1:23" ht="24" hidden="1" customHeight="1">
      <c r="A90" s="36">
        <v>86</v>
      </c>
      <c r="B90" s="35"/>
      <c r="C90" s="35"/>
      <c r="D90" s="35"/>
      <c r="E90" s="35"/>
      <c r="F90" s="14"/>
      <c r="G90" s="14"/>
      <c r="H90" s="14"/>
      <c r="I90" s="14"/>
      <c r="J90" s="14"/>
      <c r="K90" s="14"/>
      <c r="L90" s="14"/>
      <c r="M90" s="14"/>
      <c r="N90" s="14"/>
      <c r="O90" s="14"/>
      <c r="P90" s="14"/>
      <c r="Q90" s="14"/>
      <c r="R90" s="14"/>
      <c r="S90" s="14"/>
      <c r="T90" s="14"/>
      <c r="U90" s="14"/>
      <c r="V90" s="14"/>
      <c r="W90" s="14"/>
    </row>
    <row r="91" spans="1:23" ht="24" hidden="1" customHeight="1">
      <c r="A91" s="36">
        <v>87</v>
      </c>
      <c r="B91" s="35"/>
      <c r="C91" s="35"/>
      <c r="D91" s="35"/>
      <c r="E91" s="35"/>
      <c r="F91" s="14"/>
      <c r="G91" s="14"/>
      <c r="H91" s="14"/>
      <c r="I91" s="14"/>
      <c r="J91" s="14"/>
      <c r="K91" s="14"/>
      <c r="L91" s="14"/>
      <c r="M91" s="14"/>
      <c r="N91" s="14"/>
      <c r="O91" s="14"/>
      <c r="P91" s="14"/>
      <c r="Q91" s="14"/>
      <c r="R91" s="14"/>
      <c r="S91" s="14"/>
      <c r="T91" s="14"/>
      <c r="U91" s="14"/>
      <c r="V91" s="14"/>
      <c r="W91" s="14"/>
    </row>
    <row r="92" spans="1:23" ht="24" hidden="1" customHeight="1">
      <c r="A92" s="36">
        <v>88</v>
      </c>
      <c r="B92" s="35"/>
      <c r="C92" s="35"/>
      <c r="D92" s="35"/>
      <c r="E92" s="35"/>
      <c r="F92" s="14"/>
      <c r="G92" s="14"/>
      <c r="H92" s="14"/>
      <c r="I92" s="14"/>
      <c r="J92" s="14"/>
      <c r="K92" s="14"/>
      <c r="L92" s="14"/>
      <c r="M92" s="14"/>
      <c r="N92" s="14"/>
      <c r="O92" s="14"/>
      <c r="P92" s="14"/>
      <c r="Q92" s="14"/>
      <c r="R92" s="14"/>
      <c r="S92" s="14"/>
      <c r="T92" s="14"/>
      <c r="U92" s="14"/>
      <c r="V92" s="14"/>
      <c r="W92" s="14"/>
    </row>
    <row r="93" spans="1:23" ht="24" hidden="1" customHeight="1">
      <c r="A93" s="36">
        <v>89</v>
      </c>
      <c r="B93" s="35"/>
      <c r="C93" s="35"/>
      <c r="D93" s="35"/>
      <c r="E93" s="35"/>
      <c r="F93" s="14"/>
      <c r="G93" s="14"/>
      <c r="H93" s="14"/>
      <c r="I93" s="14"/>
      <c r="J93" s="14"/>
      <c r="K93" s="14"/>
      <c r="L93" s="14"/>
      <c r="M93" s="14"/>
      <c r="N93" s="14"/>
      <c r="O93" s="14"/>
      <c r="P93" s="14"/>
      <c r="Q93" s="14"/>
      <c r="R93" s="14"/>
      <c r="S93" s="14"/>
      <c r="T93" s="14"/>
      <c r="U93" s="14"/>
      <c r="V93" s="14"/>
      <c r="W93" s="14"/>
    </row>
    <row r="94" spans="1:23" ht="24" hidden="1" customHeight="1">
      <c r="A94" s="36">
        <v>90</v>
      </c>
      <c r="B94" s="35"/>
      <c r="C94" s="35"/>
      <c r="D94" s="35"/>
      <c r="E94" s="35"/>
      <c r="F94" s="14"/>
      <c r="G94" s="14"/>
      <c r="H94" s="14"/>
      <c r="I94" s="14"/>
      <c r="J94" s="14"/>
      <c r="K94" s="14"/>
      <c r="L94" s="14"/>
      <c r="M94" s="14"/>
      <c r="N94" s="14"/>
      <c r="O94" s="14"/>
      <c r="P94" s="14"/>
      <c r="Q94" s="14"/>
      <c r="R94" s="14"/>
      <c r="S94" s="14"/>
      <c r="T94" s="14"/>
      <c r="U94" s="14"/>
      <c r="V94" s="14"/>
      <c r="W94" s="14"/>
    </row>
    <row r="95" spans="1:23" ht="24" hidden="1" customHeight="1">
      <c r="A95" s="36">
        <v>91</v>
      </c>
      <c r="B95" s="35"/>
      <c r="C95" s="35"/>
      <c r="D95" s="35"/>
      <c r="E95" s="35"/>
      <c r="F95" s="14"/>
      <c r="G95" s="14"/>
      <c r="H95" s="14"/>
      <c r="I95" s="14"/>
      <c r="J95" s="14"/>
      <c r="K95" s="14"/>
      <c r="L95" s="14"/>
      <c r="M95" s="14"/>
      <c r="N95" s="14"/>
      <c r="O95" s="14"/>
      <c r="P95" s="14"/>
      <c r="Q95" s="14"/>
      <c r="R95" s="14"/>
      <c r="S95" s="14"/>
      <c r="T95" s="14"/>
      <c r="U95" s="14"/>
      <c r="V95" s="14"/>
      <c r="W95" s="14"/>
    </row>
    <row r="96" spans="1:23" ht="24" hidden="1" customHeight="1">
      <c r="A96" s="36">
        <v>92</v>
      </c>
      <c r="B96" s="35"/>
      <c r="C96" s="35"/>
      <c r="D96" s="35"/>
      <c r="E96" s="35"/>
      <c r="F96" s="14"/>
      <c r="G96" s="14"/>
      <c r="H96" s="14"/>
      <c r="I96" s="14"/>
      <c r="J96" s="14"/>
      <c r="K96" s="14"/>
      <c r="L96" s="14"/>
      <c r="M96" s="14"/>
      <c r="N96" s="14"/>
      <c r="O96" s="14"/>
      <c r="P96" s="14"/>
      <c r="Q96" s="14"/>
      <c r="R96" s="14"/>
      <c r="S96" s="14"/>
      <c r="T96" s="14"/>
      <c r="U96" s="14"/>
      <c r="V96" s="14"/>
      <c r="W96" s="14"/>
    </row>
    <row r="97" spans="1:23" ht="24" hidden="1" customHeight="1">
      <c r="A97" s="36">
        <v>93</v>
      </c>
      <c r="B97" s="35"/>
      <c r="C97" s="35"/>
      <c r="D97" s="35"/>
      <c r="E97" s="35"/>
      <c r="F97" s="14"/>
      <c r="G97" s="14"/>
      <c r="H97" s="14"/>
      <c r="I97" s="14"/>
      <c r="J97" s="14"/>
      <c r="K97" s="14"/>
      <c r="L97" s="14"/>
      <c r="M97" s="14"/>
      <c r="N97" s="14"/>
      <c r="O97" s="14"/>
      <c r="P97" s="14"/>
      <c r="Q97" s="14"/>
      <c r="R97" s="14"/>
      <c r="S97" s="14"/>
      <c r="T97" s="14"/>
      <c r="U97" s="14"/>
      <c r="V97" s="14"/>
      <c r="W97" s="14"/>
    </row>
    <row r="98" spans="1:23" ht="24" hidden="1" customHeight="1">
      <c r="A98" s="36">
        <v>94</v>
      </c>
      <c r="B98" s="35"/>
      <c r="C98" s="35"/>
      <c r="D98" s="35"/>
      <c r="E98" s="35"/>
      <c r="F98" s="14"/>
      <c r="G98" s="14"/>
      <c r="H98" s="14"/>
      <c r="I98" s="14"/>
      <c r="J98" s="14"/>
      <c r="K98" s="14"/>
      <c r="L98" s="14"/>
      <c r="M98" s="14"/>
      <c r="N98" s="14"/>
      <c r="O98" s="14"/>
      <c r="P98" s="14"/>
      <c r="Q98" s="14"/>
      <c r="R98" s="14"/>
      <c r="S98" s="14"/>
      <c r="T98" s="14"/>
      <c r="U98" s="14"/>
      <c r="V98" s="14"/>
      <c r="W98" s="14"/>
    </row>
    <row r="99" spans="1:23" ht="24" hidden="1" customHeight="1">
      <c r="A99" s="36">
        <v>95</v>
      </c>
      <c r="B99" s="35"/>
      <c r="C99" s="35"/>
      <c r="D99" s="35"/>
      <c r="E99" s="35"/>
      <c r="F99" s="14"/>
      <c r="G99" s="14"/>
      <c r="H99" s="14"/>
      <c r="I99" s="14"/>
      <c r="J99" s="14"/>
      <c r="K99" s="14"/>
      <c r="L99" s="14"/>
      <c r="M99" s="14"/>
      <c r="N99" s="14"/>
      <c r="O99" s="14"/>
      <c r="P99" s="14"/>
      <c r="Q99" s="14"/>
      <c r="R99" s="14"/>
      <c r="S99" s="14"/>
      <c r="T99" s="14"/>
      <c r="U99" s="14"/>
      <c r="V99" s="14"/>
      <c r="W99" s="14"/>
    </row>
    <row r="100" spans="1:23" ht="24" hidden="1" customHeight="1">
      <c r="A100" s="36">
        <v>96</v>
      </c>
      <c r="B100" s="35"/>
      <c r="C100" s="35"/>
      <c r="D100" s="35"/>
      <c r="E100" s="35"/>
      <c r="F100" s="14"/>
      <c r="G100" s="14"/>
      <c r="H100" s="14"/>
      <c r="I100" s="14"/>
      <c r="J100" s="14"/>
      <c r="K100" s="14"/>
      <c r="L100" s="14"/>
      <c r="M100" s="14"/>
      <c r="N100" s="14"/>
      <c r="O100" s="14"/>
      <c r="P100" s="14"/>
      <c r="Q100" s="14"/>
      <c r="R100" s="14"/>
      <c r="S100" s="14"/>
      <c r="T100" s="14"/>
      <c r="U100" s="14"/>
      <c r="V100" s="14"/>
      <c r="W100" s="14"/>
    </row>
    <row r="101" spans="1:23" ht="24" hidden="1" customHeight="1">
      <c r="A101" s="36">
        <v>97</v>
      </c>
      <c r="B101" s="35"/>
      <c r="C101" s="35"/>
      <c r="D101" s="35"/>
      <c r="E101" s="35"/>
      <c r="F101" s="14"/>
      <c r="G101" s="14"/>
      <c r="H101" s="14"/>
      <c r="I101" s="14"/>
      <c r="J101" s="14"/>
      <c r="K101" s="14"/>
      <c r="L101" s="14"/>
      <c r="M101" s="14"/>
      <c r="N101" s="14"/>
      <c r="O101" s="14"/>
      <c r="P101" s="14"/>
      <c r="Q101" s="14"/>
      <c r="R101" s="14"/>
      <c r="S101" s="14"/>
      <c r="T101" s="14"/>
      <c r="U101" s="14"/>
      <c r="V101" s="14"/>
      <c r="W101" s="14"/>
    </row>
    <row r="102" spans="1:23" ht="24" hidden="1" customHeight="1">
      <c r="A102" s="36">
        <v>98</v>
      </c>
      <c r="B102" s="35"/>
      <c r="C102" s="35"/>
      <c r="D102" s="35"/>
      <c r="E102" s="35"/>
      <c r="F102" s="14"/>
      <c r="G102" s="14"/>
      <c r="H102" s="14"/>
      <c r="I102" s="14"/>
      <c r="J102" s="14"/>
      <c r="K102" s="14"/>
      <c r="L102" s="14"/>
      <c r="M102" s="14"/>
      <c r="N102" s="14"/>
      <c r="O102" s="14"/>
      <c r="P102" s="14"/>
      <c r="Q102" s="14"/>
      <c r="R102" s="14"/>
      <c r="S102" s="14"/>
      <c r="T102" s="14"/>
      <c r="U102" s="14"/>
      <c r="V102" s="14"/>
      <c r="W102" s="14"/>
    </row>
    <row r="103" spans="1:23" ht="24" hidden="1" customHeight="1">
      <c r="A103" s="36">
        <v>99</v>
      </c>
      <c r="B103" s="35"/>
      <c r="C103" s="35"/>
      <c r="D103" s="35"/>
      <c r="E103" s="35"/>
      <c r="F103" s="14"/>
      <c r="G103" s="14"/>
      <c r="H103" s="14"/>
      <c r="I103" s="14"/>
      <c r="J103" s="14"/>
      <c r="K103" s="14"/>
      <c r="L103" s="14"/>
      <c r="M103" s="14"/>
      <c r="N103" s="14"/>
      <c r="O103" s="14"/>
      <c r="P103" s="14"/>
      <c r="Q103" s="14"/>
      <c r="R103" s="14"/>
      <c r="S103" s="14"/>
      <c r="T103" s="14"/>
      <c r="U103" s="14"/>
      <c r="V103" s="14"/>
      <c r="W103" s="14"/>
    </row>
    <row r="104" spans="1:23" ht="24" hidden="1" customHeight="1">
      <c r="A104" s="36">
        <v>100</v>
      </c>
      <c r="B104" s="35"/>
      <c r="C104" s="35"/>
      <c r="D104" s="35"/>
      <c r="E104" s="35"/>
      <c r="F104" s="14"/>
      <c r="G104" s="14"/>
      <c r="H104" s="14"/>
      <c r="I104" s="14"/>
      <c r="J104" s="14"/>
      <c r="K104" s="14"/>
      <c r="L104" s="14"/>
      <c r="M104" s="14"/>
      <c r="N104" s="14"/>
      <c r="O104" s="14"/>
      <c r="P104" s="14"/>
      <c r="Q104" s="14"/>
      <c r="R104" s="14"/>
      <c r="S104" s="14"/>
      <c r="T104" s="14"/>
      <c r="U104" s="14"/>
      <c r="V104" s="14"/>
      <c r="W104" s="14"/>
    </row>
    <row r="105" spans="1:23" ht="24" hidden="1" customHeight="1">
      <c r="A105" s="36">
        <v>101</v>
      </c>
      <c r="B105" s="35"/>
      <c r="C105" s="35"/>
      <c r="D105" s="35"/>
      <c r="E105" s="35"/>
      <c r="F105" s="14"/>
      <c r="G105" s="14"/>
      <c r="H105" s="14"/>
      <c r="I105" s="14"/>
      <c r="J105" s="14"/>
      <c r="K105" s="14"/>
      <c r="L105" s="14"/>
      <c r="M105" s="14"/>
      <c r="N105" s="14"/>
      <c r="O105" s="14"/>
      <c r="P105" s="14"/>
      <c r="Q105" s="14"/>
      <c r="R105" s="14"/>
      <c r="S105" s="14"/>
      <c r="T105" s="14"/>
      <c r="U105" s="14"/>
      <c r="V105" s="14"/>
      <c r="W105" s="14"/>
    </row>
    <row r="106" spans="1:23" ht="24" hidden="1" customHeight="1">
      <c r="A106" s="36">
        <v>102</v>
      </c>
      <c r="B106" s="35"/>
      <c r="C106" s="35"/>
      <c r="D106" s="35"/>
      <c r="E106" s="35"/>
      <c r="F106" s="14"/>
      <c r="G106" s="14"/>
      <c r="H106" s="14"/>
      <c r="I106" s="14"/>
      <c r="J106" s="14"/>
      <c r="K106" s="14"/>
      <c r="L106" s="14"/>
      <c r="M106" s="14"/>
      <c r="N106" s="14"/>
      <c r="O106" s="14"/>
      <c r="P106" s="14"/>
      <c r="Q106" s="14"/>
      <c r="R106" s="14"/>
      <c r="S106" s="14"/>
      <c r="T106" s="14"/>
      <c r="U106" s="14"/>
      <c r="V106" s="14"/>
      <c r="W106" s="14"/>
    </row>
    <row r="107" spans="1:23" ht="24" hidden="1" customHeight="1">
      <c r="A107" s="36">
        <v>103</v>
      </c>
      <c r="B107" s="35"/>
      <c r="C107" s="35"/>
      <c r="D107" s="35"/>
      <c r="E107" s="35"/>
      <c r="F107" s="14"/>
      <c r="G107" s="14"/>
      <c r="H107" s="14"/>
      <c r="I107" s="14"/>
      <c r="J107" s="14"/>
      <c r="K107" s="14"/>
      <c r="L107" s="14"/>
      <c r="M107" s="14"/>
      <c r="N107" s="14"/>
      <c r="O107" s="14"/>
      <c r="P107" s="14"/>
      <c r="Q107" s="14"/>
      <c r="R107" s="14"/>
      <c r="S107" s="14"/>
      <c r="T107" s="14"/>
      <c r="U107" s="14"/>
      <c r="V107" s="14"/>
      <c r="W107" s="14"/>
    </row>
    <row r="108" spans="1:23" ht="24" hidden="1" customHeight="1">
      <c r="A108" s="36">
        <v>104</v>
      </c>
      <c r="B108" s="35"/>
      <c r="C108" s="35"/>
      <c r="D108" s="35"/>
      <c r="E108" s="35"/>
      <c r="F108" s="14"/>
      <c r="G108" s="14"/>
      <c r="H108" s="14"/>
      <c r="I108" s="14"/>
      <c r="J108" s="14"/>
      <c r="K108" s="14"/>
      <c r="L108" s="14"/>
      <c r="M108" s="14"/>
      <c r="N108" s="14"/>
      <c r="O108" s="14"/>
      <c r="P108" s="14"/>
      <c r="Q108" s="14"/>
      <c r="R108" s="14"/>
      <c r="S108" s="14"/>
      <c r="T108" s="14"/>
      <c r="U108" s="14"/>
      <c r="V108" s="14"/>
      <c r="W108" s="14"/>
    </row>
    <row r="109" spans="1:23" ht="24" hidden="1" customHeight="1">
      <c r="A109" s="36">
        <v>105</v>
      </c>
      <c r="B109" s="35"/>
      <c r="C109" s="35"/>
      <c r="D109" s="35"/>
      <c r="E109" s="35"/>
      <c r="F109" s="14"/>
      <c r="G109" s="14"/>
      <c r="H109" s="14"/>
      <c r="I109" s="14"/>
      <c r="J109" s="14"/>
      <c r="K109" s="14"/>
      <c r="L109" s="14"/>
      <c r="M109" s="14"/>
      <c r="N109" s="14"/>
      <c r="O109" s="14"/>
      <c r="P109" s="14"/>
      <c r="Q109" s="14"/>
      <c r="R109" s="14"/>
      <c r="S109" s="14"/>
      <c r="T109" s="14"/>
      <c r="U109" s="14"/>
      <c r="V109" s="14"/>
      <c r="W109" s="14"/>
    </row>
    <row r="110" spans="1:23" ht="24" hidden="1" customHeight="1">
      <c r="A110" s="36">
        <v>106</v>
      </c>
      <c r="B110" s="35"/>
      <c r="C110" s="35"/>
      <c r="D110" s="35"/>
      <c r="E110" s="35"/>
      <c r="F110" s="14"/>
      <c r="G110" s="14"/>
      <c r="H110" s="14"/>
      <c r="I110" s="14"/>
      <c r="J110" s="14"/>
      <c r="K110" s="14"/>
      <c r="L110" s="14"/>
      <c r="M110" s="14"/>
      <c r="N110" s="14"/>
      <c r="O110" s="14"/>
      <c r="P110" s="14"/>
      <c r="Q110" s="14"/>
      <c r="R110" s="14"/>
      <c r="S110" s="14"/>
      <c r="T110" s="14"/>
      <c r="U110" s="14"/>
      <c r="V110" s="14"/>
      <c r="W110" s="14"/>
    </row>
    <row r="111" spans="1:23" ht="24" hidden="1" customHeight="1">
      <c r="A111" s="36">
        <v>107</v>
      </c>
      <c r="B111" s="35"/>
      <c r="C111" s="35"/>
      <c r="D111" s="35"/>
      <c r="E111" s="35"/>
      <c r="F111" s="14"/>
      <c r="G111" s="14"/>
      <c r="H111" s="14"/>
      <c r="I111" s="14"/>
      <c r="J111" s="14"/>
      <c r="K111" s="14"/>
      <c r="L111" s="14"/>
      <c r="M111" s="14"/>
      <c r="N111" s="14"/>
      <c r="O111" s="14"/>
      <c r="P111" s="14"/>
      <c r="Q111" s="14"/>
      <c r="R111" s="14"/>
      <c r="S111" s="14"/>
      <c r="T111" s="14"/>
      <c r="U111" s="14"/>
      <c r="V111" s="14"/>
      <c r="W111" s="14"/>
    </row>
    <row r="112" spans="1:23" ht="24" hidden="1" customHeight="1">
      <c r="A112" s="36">
        <v>108</v>
      </c>
      <c r="B112" s="35"/>
      <c r="C112" s="35"/>
      <c r="D112" s="35"/>
      <c r="E112" s="35"/>
      <c r="F112" s="14"/>
      <c r="G112" s="14"/>
      <c r="H112" s="14"/>
      <c r="I112" s="14"/>
      <c r="J112" s="14"/>
      <c r="K112" s="14"/>
      <c r="L112" s="14"/>
      <c r="M112" s="14"/>
      <c r="N112" s="14"/>
      <c r="O112" s="14"/>
      <c r="P112" s="14"/>
      <c r="Q112" s="14"/>
      <c r="R112" s="14"/>
      <c r="S112" s="14"/>
      <c r="T112" s="14"/>
      <c r="U112" s="14"/>
      <c r="V112" s="14"/>
      <c r="W112" s="14"/>
    </row>
    <row r="113" spans="1:23" ht="24" hidden="1" customHeight="1">
      <c r="A113" s="36">
        <v>109</v>
      </c>
      <c r="B113" s="35"/>
      <c r="C113" s="35"/>
      <c r="D113" s="35"/>
      <c r="E113" s="35"/>
      <c r="F113" s="14"/>
      <c r="G113" s="14"/>
      <c r="H113" s="14"/>
      <c r="I113" s="14"/>
      <c r="J113" s="14"/>
      <c r="K113" s="14"/>
      <c r="L113" s="14"/>
      <c r="M113" s="14"/>
      <c r="N113" s="14"/>
      <c r="O113" s="14"/>
      <c r="P113" s="14"/>
      <c r="Q113" s="14"/>
      <c r="R113" s="14"/>
      <c r="S113" s="14"/>
      <c r="T113" s="14"/>
      <c r="U113" s="14"/>
      <c r="V113" s="14"/>
      <c r="W113" s="14"/>
    </row>
    <row r="114" spans="1:23" ht="24" hidden="1" customHeight="1">
      <c r="A114" s="36">
        <v>110</v>
      </c>
      <c r="B114" s="35"/>
      <c r="C114" s="35"/>
      <c r="D114" s="35"/>
      <c r="E114" s="35"/>
      <c r="F114" s="14"/>
      <c r="G114" s="14"/>
      <c r="H114" s="14"/>
      <c r="I114" s="14"/>
      <c r="J114" s="14"/>
      <c r="K114" s="14"/>
      <c r="L114" s="14"/>
      <c r="M114" s="14"/>
      <c r="N114" s="14"/>
      <c r="O114" s="14"/>
      <c r="P114" s="14"/>
      <c r="Q114" s="14"/>
      <c r="R114" s="14"/>
      <c r="S114" s="14"/>
      <c r="T114" s="14"/>
      <c r="U114" s="14"/>
      <c r="V114" s="14"/>
      <c r="W114" s="14"/>
    </row>
    <row r="115" spans="1:23" ht="24" hidden="1" customHeight="1">
      <c r="A115" s="36">
        <v>111</v>
      </c>
      <c r="B115" s="35"/>
      <c r="C115" s="35"/>
      <c r="D115" s="35"/>
      <c r="E115" s="35"/>
      <c r="F115" s="14"/>
      <c r="G115" s="14"/>
      <c r="H115" s="14"/>
      <c r="I115" s="14"/>
      <c r="J115" s="14"/>
      <c r="K115" s="14"/>
      <c r="L115" s="14"/>
      <c r="M115" s="14"/>
      <c r="N115" s="14"/>
      <c r="O115" s="14"/>
      <c r="P115" s="14"/>
      <c r="Q115" s="14"/>
      <c r="R115" s="14"/>
      <c r="S115" s="14"/>
      <c r="T115" s="14"/>
      <c r="U115" s="14"/>
      <c r="V115" s="14"/>
      <c r="W115" s="14"/>
    </row>
    <row r="116" spans="1:23" ht="24" hidden="1" customHeight="1">
      <c r="A116" s="36">
        <v>112</v>
      </c>
      <c r="B116" s="35"/>
      <c r="C116" s="35"/>
      <c r="D116" s="35"/>
      <c r="E116" s="35"/>
      <c r="F116" s="14"/>
      <c r="G116" s="14"/>
      <c r="H116" s="14"/>
      <c r="I116" s="14"/>
      <c r="J116" s="14"/>
      <c r="K116" s="14"/>
      <c r="L116" s="14"/>
      <c r="M116" s="14"/>
      <c r="N116" s="14"/>
      <c r="O116" s="14"/>
      <c r="P116" s="14"/>
      <c r="Q116" s="14"/>
      <c r="R116" s="14"/>
      <c r="S116" s="14"/>
      <c r="T116" s="14"/>
      <c r="U116" s="14"/>
      <c r="V116" s="14"/>
      <c r="W116" s="14"/>
    </row>
    <row r="117" spans="1:23" ht="24" hidden="1" customHeight="1">
      <c r="A117" s="36">
        <v>113</v>
      </c>
      <c r="B117" s="35"/>
      <c r="C117" s="35"/>
      <c r="D117" s="35"/>
      <c r="E117" s="35"/>
      <c r="F117" s="14"/>
      <c r="G117" s="14"/>
      <c r="H117" s="14"/>
      <c r="I117" s="14"/>
      <c r="J117" s="14"/>
      <c r="K117" s="14"/>
      <c r="L117" s="14"/>
      <c r="M117" s="14"/>
      <c r="N117" s="14"/>
      <c r="O117" s="14"/>
      <c r="P117" s="14"/>
      <c r="Q117" s="14"/>
      <c r="R117" s="14"/>
      <c r="S117" s="14"/>
      <c r="T117" s="14"/>
      <c r="U117" s="14"/>
      <c r="V117" s="14"/>
      <c r="W117" s="14"/>
    </row>
    <row r="118" spans="1:23" ht="24" hidden="1" customHeight="1">
      <c r="A118" s="36">
        <v>114</v>
      </c>
      <c r="B118" s="35"/>
      <c r="C118" s="35"/>
      <c r="D118" s="35"/>
      <c r="E118" s="35"/>
      <c r="F118" s="14"/>
      <c r="G118" s="14"/>
      <c r="H118" s="14"/>
      <c r="I118" s="14"/>
      <c r="J118" s="14"/>
      <c r="K118" s="14"/>
      <c r="L118" s="14"/>
      <c r="M118" s="14"/>
      <c r="N118" s="14"/>
      <c r="O118" s="14"/>
      <c r="P118" s="14"/>
      <c r="Q118" s="14"/>
      <c r="R118" s="14"/>
      <c r="S118" s="14"/>
      <c r="T118" s="14"/>
      <c r="U118" s="14"/>
      <c r="V118" s="14"/>
      <c r="W118" s="14"/>
    </row>
    <row r="119" spans="1:23" ht="24" hidden="1" customHeight="1">
      <c r="A119" s="36">
        <v>115</v>
      </c>
      <c r="B119" s="35"/>
      <c r="C119" s="35"/>
      <c r="D119" s="35"/>
      <c r="E119" s="35"/>
      <c r="F119" s="14"/>
      <c r="G119" s="14"/>
      <c r="H119" s="14"/>
      <c r="I119" s="14"/>
      <c r="J119" s="14"/>
      <c r="K119" s="14"/>
      <c r="L119" s="14"/>
      <c r="M119" s="14"/>
      <c r="N119" s="14"/>
      <c r="O119" s="14"/>
      <c r="P119" s="14"/>
      <c r="Q119" s="14"/>
      <c r="R119" s="14"/>
      <c r="S119" s="14"/>
      <c r="T119" s="14"/>
      <c r="U119" s="14"/>
      <c r="V119" s="14"/>
      <c r="W119" s="14"/>
    </row>
    <row r="120" spans="1:23" ht="24" hidden="1" customHeight="1">
      <c r="A120" s="36">
        <v>116</v>
      </c>
      <c r="B120" s="35"/>
      <c r="C120" s="35"/>
      <c r="D120" s="35"/>
      <c r="E120" s="35"/>
      <c r="F120" s="14"/>
      <c r="G120" s="14"/>
      <c r="H120" s="14"/>
      <c r="I120" s="14"/>
      <c r="J120" s="14"/>
      <c r="K120" s="14"/>
      <c r="L120" s="14"/>
      <c r="M120" s="14"/>
      <c r="N120" s="14"/>
      <c r="O120" s="14"/>
      <c r="P120" s="14"/>
      <c r="Q120" s="14"/>
      <c r="R120" s="14"/>
      <c r="S120" s="14"/>
      <c r="T120" s="14"/>
      <c r="U120" s="14"/>
      <c r="V120" s="14"/>
      <c r="W120" s="14"/>
    </row>
    <row r="121" spans="1:23" ht="24" hidden="1" customHeight="1">
      <c r="A121" s="36">
        <v>117</v>
      </c>
      <c r="B121" s="35"/>
      <c r="C121" s="35"/>
      <c r="D121" s="35"/>
      <c r="E121" s="35"/>
      <c r="F121" s="14"/>
      <c r="G121" s="14"/>
      <c r="H121" s="14"/>
      <c r="I121" s="14"/>
      <c r="J121" s="14"/>
      <c r="K121" s="14"/>
      <c r="L121" s="14"/>
      <c r="M121" s="14"/>
      <c r="N121" s="14"/>
      <c r="O121" s="14"/>
      <c r="P121" s="14"/>
      <c r="Q121" s="14"/>
      <c r="R121" s="14"/>
      <c r="S121" s="14"/>
      <c r="T121" s="14"/>
      <c r="U121" s="14"/>
      <c r="V121" s="14"/>
      <c r="W121" s="14"/>
    </row>
    <row r="122" spans="1:23" ht="24" hidden="1" customHeight="1">
      <c r="A122" s="36">
        <v>118</v>
      </c>
      <c r="B122" s="35"/>
      <c r="C122" s="35"/>
      <c r="D122" s="35"/>
      <c r="E122" s="35"/>
      <c r="F122" s="14"/>
      <c r="G122" s="14"/>
      <c r="H122" s="14"/>
      <c r="I122" s="14"/>
      <c r="J122" s="14"/>
      <c r="K122" s="14"/>
      <c r="L122" s="14"/>
      <c r="M122" s="14"/>
      <c r="N122" s="14"/>
      <c r="O122" s="14"/>
      <c r="P122" s="14"/>
      <c r="Q122" s="14"/>
      <c r="R122" s="14"/>
      <c r="S122" s="14"/>
      <c r="T122" s="14"/>
      <c r="U122" s="14"/>
      <c r="V122" s="14"/>
      <c r="W122" s="14"/>
    </row>
    <row r="123" spans="1:23" ht="24" hidden="1" customHeight="1">
      <c r="A123" s="36">
        <v>119</v>
      </c>
      <c r="B123" s="35"/>
      <c r="C123" s="35"/>
      <c r="D123" s="35"/>
      <c r="E123" s="35"/>
      <c r="F123" s="14"/>
      <c r="G123" s="14"/>
      <c r="H123" s="14"/>
      <c r="I123" s="14"/>
      <c r="J123" s="14"/>
      <c r="K123" s="14"/>
      <c r="L123" s="14"/>
      <c r="M123" s="14"/>
      <c r="N123" s="14"/>
      <c r="O123" s="14"/>
      <c r="P123" s="14"/>
      <c r="Q123" s="14"/>
      <c r="R123" s="14"/>
      <c r="S123" s="14"/>
      <c r="T123" s="14"/>
      <c r="U123" s="14"/>
      <c r="V123" s="14"/>
      <c r="W123" s="14"/>
    </row>
    <row r="124" spans="1:23" ht="24" hidden="1" customHeight="1">
      <c r="A124" s="36">
        <v>120</v>
      </c>
      <c r="B124" s="35"/>
      <c r="C124" s="35"/>
      <c r="D124" s="35"/>
      <c r="E124" s="35"/>
      <c r="F124" s="14"/>
      <c r="G124" s="14"/>
      <c r="H124" s="14"/>
      <c r="I124" s="14"/>
      <c r="J124" s="14"/>
      <c r="K124" s="14"/>
      <c r="L124" s="14"/>
      <c r="M124" s="14"/>
      <c r="N124" s="14"/>
      <c r="O124" s="14"/>
      <c r="P124" s="14"/>
      <c r="Q124" s="14"/>
      <c r="R124" s="14"/>
      <c r="S124" s="14"/>
      <c r="T124" s="14"/>
      <c r="U124" s="14"/>
      <c r="V124" s="14"/>
      <c r="W124" s="14"/>
    </row>
    <row r="125" spans="1:23" ht="24" hidden="1" customHeight="1">
      <c r="A125" s="36">
        <v>121</v>
      </c>
      <c r="B125" s="35"/>
      <c r="C125" s="35"/>
      <c r="D125" s="35"/>
      <c r="E125" s="35"/>
      <c r="F125" s="14"/>
      <c r="G125" s="14"/>
      <c r="H125" s="14"/>
      <c r="I125" s="14"/>
      <c r="J125" s="14"/>
      <c r="K125" s="14"/>
      <c r="L125" s="14"/>
      <c r="M125" s="14"/>
      <c r="N125" s="14"/>
      <c r="O125" s="14"/>
      <c r="P125" s="14"/>
      <c r="Q125" s="14"/>
      <c r="R125" s="14"/>
      <c r="S125" s="14"/>
      <c r="T125" s="14"/>
      <c r="U125" s="14"/>
      <c r="V125" s="14"/>
      <c r="W125" s="14"/>
    </row>
    <row r="126" spans="1:23" ht="24" hidden="1" customHeight="1">
      <c r="A126" s="36">
        <v>122</v>
      </c>
      <c r="B126" s="35"/>
      <c r="C126" s="35"/>
      <c r="D126" s="35"/>
      <c r="E126" s="35"/>
      <c r="F126" s="14"/>
      <c r="G126" s="14"/>
      <c r="H126" s="14"/>
      <c r="I126" s="14"/>
      <c r="J126" s="14"/>
      <c r="K126" s="14"/>
      <c r="L126" s="14"/>
      <c r="M126" s="14"/>
      <c r="N126" s="14"/>
      <c r="O126" s="14"/>
      <c r="P126" s="14"/>
      <c r="Q126" s="14"/>
      <c r="R126" s="14"/>
      <c r="S126" s="14"/>
      <c r="T126" s="14"/>
      <c r="U126" s="14"/>
      <c r="V126" s="14"/>
      <c r="W126" s="14"/>
    </row>
    <row r="127" spans="1:23" ht="24" hidden="1" customHeight="1">
      <c r="A127" s="36">
        <v>123</v>
      </c>
      <c r="B127" s="35"/>
      <c r="C127" s="35"/>
      <c r="D127" s="35"/>
      <c r="E127" s="35"/>
      <c r="F127" s="14"/>
      <c r="G127" s="14"/>
      <c r="H127" s="14"/>
      <c r="I127" s="14"/>
      <c r="J127" s="14"/>
      <c r="K127" s="14"/>
      <c r="L127" s="14"/>
      <c r="M127" s="14"/>
      <c r="N127" s="14"/>
      <c r="O127" s="14"/>
      <c r="P127" s="14"/>
      <c r="Q127" s="14"/>
      <c r="R127" s="14"/>
      <c r="S127" s="14"/>
      <c r="T127" s="14"/>
      <c r="U127" s="14"/>
      <c r="V127" s="14"/>
      <c r="W127" s="14"/>
    </row>
    <row r="128" spans="1:23" ht="24" hidden="1" customHeight="1">
      <c r="A128" s="36">
        <v>124</v>
      </c>
      <c r="B128" s="35"/>
      <c r="C128" s="35"/>
      <c r="D128" s="35"/>
      <c r="E128" s="35"/>
      <c r="F128" s="14"/>
      <c r="G128" s="14"/>
      <c r="H128" s="14"/>
      <c r="I128" s="14"/>
      <c r="J128" s="14"/>
      <c r="K128" s="14"/>
      <c r="L128" s="14"/>
      <c r="M128" s="14"/>
      <c r="N128" s="14"/>
      <c r="O128" s="14"/>
      <c r="P128" s="14"/>
      <c r="Q128" s="14"/>
      <c r="R128" s="14"/>
      <c r="S128" s="14"/>
      <c r="T128" s="14"/>
      <c r="U128" s="14"/>
      <c r="V128" s="14"/>
      <c r="W128" s="14"/>
    </row>
    <row r="129" spans="1:23" ht="24" hidden="1" customHeight="1">
      <c r="A129" s="36">
        <v>125</v>
      </c>
      <c r="B129" s="35"/>
      <c r="C129" s="35"/>
      <c r="D129" s="35"/>
      <c r="E129" s="35"/>
      <c r="F129" s="14"/>
      <c r="G129" s="14"/>
      <c r="H129" s="14"/>
      <c r="I129" s="14"/>
      <c r="J129" s="14"/>
      <c r="K129" s="14"/>
      <c r="L129" s="14"/>
      <c r="M129" s="14"/>
      <c r="N129" s="14"/>
      <c r="O129" s="14"/>
      <c r="P129" s="14"/>
      <c r="Q129" s="14"/>
      <c r="R129" s="14"/>
      <c r="S129" s="14"/>
      <c r="T129" s="14"/>
      <c r="U129" s="14"/>
      <c r="V129" s="14"/>
      <c r="W129" s="14"/>
    </row>
    <row r="130" spans="1:23" ht="24" hidden="1" customHeight="1">
      <c r="A130" s="36">
        <v>126</v>
      </c>
      <c r="B130" s="35"/>
      <c r="C130" s="35"/>
      <c r="D130" s="35"/>
      <c r="E130" s="35"/>
      <c r="F130" s="14"/>
      <c r="G130" s="14"/>
      <c r="H130" s="14"/>
      <c r="I130" s="14"/>
      <c r="J130" s="14"/>
      <c r="K130" s="14"/>
      <c r="L130" s="14"/>
      <c r="M130" s="14"/>
      <c r="N130" s="14"/>
      <c r="O130" s="14"/>
      <c r="P130" s="14"/>
      <c r="Q130" s="14"/>
      <c r="R130" s="14"/>
      <c r="S130" s="14"/>
      <c r="T130" s="14"/>
      <c r="U130" s="14"/>
      <c r="V130" s="14"/>
      <c r="W130" s="14"/>
    </row>
    <row r="131" spans="1:23" ht="24" hidden="1" customHeight="1">
      <c r="A131" s="36">
        <v>127</v>
      </c>
      <c r="B131" s="35"/>
      <c r="C131" s="35"/>
      <c r="D131" s="35"/>
      <c r="E131" s="35"/>
      <c r="F131" s="14"/>
      <c r="G131" s="14"/>
      <c r="H131" s="14"/>
      <c r="I131" s="14"/>
      <c r="J131" s="14"/>
      <c r="K131" s="14"/>
      <c r="L131" s="14"/>
      <c r="M131" s="14"/>
      <c r="N131" s="14"/>
      <c r="O131" s="14"/>
      <c r="P131" s="14"/>
      <c r="Q131" s="14"/>
      <c r="R131" s="14"/>
      <c r="S131" s="14"/>
      <c r="T131" s="14"/>
      <c r="U131" s="14"/>
      <c r="V131" s="14"/>
      <c r="W131" s="14"/>
    </row>
    <row r="132" spans="1:23" ht="24" hidden="1" customHeight="1">
      <c r="A132" s="36">
        <v>128</v>
      </c>
      <c r="B132" s="35"/>
      <c r="C132" s="35"/>
      <c r="D132" s="35"/>
      <c r="E132" s="35"/>
      <c r="F132" s="14"/>
      <c r="G132" s="14"/>
      <c r="H132" s="14"/>
      <c r="I132" s="14"/>
      <c r="J132" s="14"/>
      <c r="K132" s="14"/>
      <c r="L132" s="14"/>
      <c r="M132" s="14"/>
      <c r="N132" s="14"/>
      <c r="O132" s="14"/>
      <c r="P132" s="14"/>
      <c r="Q132" s="14"/>
      <c r="R132" s="14"/>
      <c r="S132" s="14"/>
      <c r="T132" s="14"/>
      <c r="U132" s="14"/>
      <c r="V132" s="14"/>
      <c r="W132" s="14"/>
    </row>
    <row r="133" spans="1:23" ht="24" hidden="1" customHeight="1">
      <c r="A133" s="36">
        <v>129</v>
      </c>
      <c r="B133" s="35"/>
      <c r="C133" s="35"/>
      <c r="D133" s="35"/>
      <c r="E133" s="35"/>
      <c r="F133" s="14"/>
      <c r="G133" s="14"/>
      <c r="H133" s="14"/>
      <c r="I133" s="14"/>
      <c r="J133" s="14"/>
      <c r="K133" s="14"/>
      <c r="L133" s="14"/>
      <c r="M133" s="14"/>
      <c r="N133" s="14"/>
      <c r="O133" s="14"/>
      <c r="P133" s="14"/>
      <c r="Q133" s="14"/>
      <c r="R133" s="14"/>
      <c r="S133" s="14"/>
      <c r="T133" s="14"/>
      <c r="U133" s="14"/>
      <c r="V133" s="14"/>
      <c r="W133" s="14"/>
    </row>
    <row r="134" spans="1:23" ht="24" hidden="1" customHeight="1">
      <c r="A134" s="36">
        <v>130</v>
      </c>
      <c r="B134" s="35"/>
      <c r="C134" s="35"/>
      <c r="D134" s="35"/>
      <c r="E134" s="35"/>
      <c r="F134" s="14"/>
      <c r="G134" s="14"/>
      <c r="H134" s="14"/>
      <c r="I134" s="14"/>
      <c r="J134" s="14"/>
      <c r="K134" s="14"/>
      <c r="L134" s="14"/>
      <c r="M134" s="14"/>
      <c r="N134" s="14"/>
      <c r="O134" s="14"/>
      <c r="P134" s="14"/>
      <c r="Q134" s="14"/>
      <c r="R134" s="14"/>
      <c r="S134" s="14"/>
      <c r="T134" s="14"/>
      <c r="U134" s="14"/>
      <c r="V134" s="14"/>
      <c r="W134" s="14"/>
    </row>
    <row r="135" spans="1:23" ht="24" hidden="1" customHeight="1">
      <c r="A135" s="36">
        <v>131</v>
      </c>
      <c r="B135" s="35"/>
      <c r="C135" s="35"/>
      <c r="D135" s="35"/>
      <c r="E135" s="35"/>
      <c r="F135" s="14"/>
      <c r="G135" s="14"/>
      <c r="H135" s="14"/>
      <c r="I135" s="14"/>
      <c r="J135" s="14"/>
      <c r="K135" s="14"/>
      <c r="L135" s="14"/>
      <c r="M135" s="14"/>
      <c r="N135" s="14"/>
      <c r="O135" s="14"/>
      <c r="P135" s="14"/>
      <c r="Q135" s="14"/>
      <c r="R135" s="14"/>
      <c r="S135" s="14"/>
      <c r="T135" s="14"/>
      <c r="U135" s="14"/>
      <c r="V135" s="14"/>
      <c r="W135" s="14"/>
    </row>
    <row r="136" spans="1:23" ht="24" hidden="1" customHeight="1">
      <c r="A136" s="36">
        <v>132</v>
      </c>
      <c r="B136" s="35"/>
      <c r="C136" s="35"/>
      <c r="D136" s="35"/>
      <c r="E136" s="35"/>
      <c r="F136" s="14"/>
      <c r="G136" s="14"/>
      <c r="H136" s="14"/>
      <c r="I136" s="14"/>
      <c r="J136" s="14"/>
      <c r="K136" s="14"/>
      <c r="L136" s="14"/>
      <c r="M136" s="14"/>
      <c r="N136" s="14"/>
      <c r="O136" s="14"/>
      <c r="P136" s="14"/>
      <c r="Q136" s="14"/>
      <c r="R136" s="14"/>
      <c r="S136" s="14"/>
      <c r="T136" s="14"/>
      <c r="U136" s="14"/>
      <c r="V136" s="14"/>
      <c r="W136" s="14"/>
    </row>
    <row r="137" spans="1:23" ht="24" hidden="1" customHeight="1">
      <c r="A137" s="36">
        <v>133</v>
      </c>
      <c r="B137" s="35"/>
      <c r="C137" s="35"/>
      <c r="D137" s="35"/>
      <c r="E137" s="35"/>
      <c r="F137" s="14"/>
      <c r="G137" s="14"/>
      <c r="H137" s="14"/>
      <c r="I137" s="14"/>
      <c r="J137" s="14"/>
      <c r="K137" s="14"/>
      <c r="L137" s="14"/>
      <c r="M137" s="14"/>
      <c r="N137" s="14"/>
      <c r="O137" s="14"/>
      <c r="P137" s="14"/>
      <c r="Q137" s="14"/>
      <c r="R137" s="14"/>
      <c r="S137" s="14"/>
      <c r="T137" s="14"/>
      <c r="U137" s="14"/>
      <c r="V137" s="14"/>
      <c r="W137" s="14"/>
    </row>
    <row r="138" spans="1:23" ht="24" hidden="1" customHeight="1">
      <c r="A138" s="36">
        <v>134</v>
      </c>
      <c r="B138" s="35"/>
      <c r="C138" s="35"/>
      <c r="D138" s="35"/>
      <c r="E138" s="35"/>
      <c r="F138" s="14"/>
      <c r="G138" s="14"/>
      <c r="H138" s="14"/>
      <c r="I138" s="14"/>
      <c r="J138" s="14"/>
      <c r="K138" s="14"/>
      <c r="L138" s="14"/>
      <c r="M138" s="14"/>
      <c r="N138" s="14"/>
      <c r="O138" s="14"/>
      <c r="P138" s="14"/>
      <c r="Q138" s="14"/>
      <c r="R138" s="14"/>
      <c r="S138" s="14"/>
      <c r="T138" s="14"/>
      <c r="U138" s="14"/>
      <c r="V138" s="14"/>
      <c r="W138" s="14"/>
    </row>
    <row r="139" spans="1:23" ht="24" hidden="1" customHeight="1">
      <c r="A139" s="36">
        <v>135</v>
      </c>
      <c r="B139" s="35"/>
      <c r="C139" s="35"/>
      <c r="D139" s="35"/>
      <c r="E139" s="35"/>
      <c r="F139" s="14"/>
      <c r="G139" s="14"/>
      <c r="H139" s="14"/>
      <c r="I139" s="14"/>
      <c r="J139" s="14"/>
      <c r="K139" s="14"/>
      <c r="L139" s="14"/>
      <c r="M139" s="14"/>
      <c r="N139" s="14"/>
      <c r="O139" s="14"/>
      <c r="P139" s="14"/>
      <c r="Q139" s="14"/>
      <c r="R139" s="14"/>
      <c r="S139" s="14"/>
      <c r="T139" s="14"/>
      <c r="U139" s="14"/>
      <c r="V139" s="14"/>
      <c r="W139" s="14"/>
    </row>
    <row r="140" spans="1:23" ht="24" hidden="1" customHeight="1">
      <c r="A140" s="36">
        <v>136</v>
      </c>
      <c r="B140" s="35"/>
      <c r="C140" s="35"/>
      <c r="D140" s="35"/>
      <c r="E140" s="35"/>
      <c r="F140" s="14"/>
      <c r="G140" s="14"/>
      <c r="H140" s="14"/>
      <c r="I140" s="14"/>
      <c r="J140" s="14"/>
      <c r="K140" s="14"/>
      <c r="L140" s="14"/>
      <c r="M140" s="14"/>
      <c r="N140" s="14"/>
      <c r="O140" s="14"/>
      <c r="P140" s="14"/>
      <c r="Q140" s="14"/>
      <c r="R140" s="14"/>
      <c r="S140" s="14"/>
      <c r="T140" s="14"/>
      <c r="U140" s="14"/>
      <c r="V140" s="14"/>
      <c r="W140" s="14"/>
    </row>
    <row r="141" spans="1:23" ht="24" hidden="1" customHeight="1">
      <c r="A141" s="36">
        <v>137</v>
      </c>
      <c r="B141" s="35"/>
      <c r="C141" s="35"/>
      <c r="D141" s="35"/>
      <c r="E141" s="35"/>
      <c r="F141" s="14"/>
      <c r="G141" s="14"/>
      <c r="H141" s="14"/>
      <c r="I141" s="14"/>
      <c r="J141" s="14"/>
      <c r="K141" s="14"/>
      <c r="L141" s="14"/>
      <c r="M141" s="14"/>
      <c r="N141" s="14"/>
      <c r="O141" s="14"/>
      <c r="P141" s="14"/>
      <c r="Q141" s="14"/>
      <c r="R141" s="14"/>
      <c r="S141" s="14"/>
      <c r="T141" s="14"/>
      <c r="U141" s="14"/>
      <c r="V141" s="14"/>
      <c r="W141" s="14"/>
    </row>
    <row r="142" spans="1:23" ht="24" hidden="1" customHeight="1">
      <c r="A142" s="36">
        <v>138</v>
      </c>
      <c r="B142" s="35"/>
      <c r="C142" s="35"/>
      <c r="D142" s="35"/>
      <c r="E142" s="35"/>
      <c r="F142" s="14"/>
      <c r="G142" s="14"/>
      <c r="H142" s="14"/>
      <c r="I142" s="14"/>
      <c r="J142" s="14"/>
      <c r="K142" s="14"/>
      <c r="L142" s="14"/>
      <c r="M142" s="14"/>
      <c r="N142" s="14"/>
      <c r="O142" s="14"/>
      <c r="P142" s="14"/>
      <c r="Q142" s="14"/>
      <c r="R142" s="14"/>
      <c r="S142" s="14"/>
      <c r="T142" s="14"/>
      <c r="U142" s="14"/>
      <c r="V142" s="14"/>
      <c r="W142" s="14"/>
    </row>
    <row r="143" spans="1:23" ht="24" hidden="1" customHeight="1">
      <c r="A143" s="36">
        <v>139</v>
      </c>
      <c r="B143" s="35"/>
      <c r="C143" s="35"/>
      <c r="D143" s="35"/>
      <c r="E143" s="35"/>
      <c r="F143" s="14"/>
      <c r="G143" s="14"/>
      <c r="H143" s="14"/>
      <c r="I143" s="14"/>
      <c r="J143" s="14"/>
      <c r="K143" s="14"/>
      <c r="L143" s="14"/>
      <c r="M143" s="14"/>
      <c r="N143" s="14"/>
      <c r="O143" s="14"/>
      <c r="P143" s="14"/>
      <c r="Q143" s="14"/>
      <c r="R143" s="14"/>
      <c r="S143" s="14"/>
      <c r="T143" s="14"/>
      <c r="U143" s="14"/>
      <c r="V143" s="14"/>
      <c r="W143" s="14"/>
    </row>
    <row r="144" spans="1:23" ht="24" hidden="1" customHeight="1">
      <c r="A144" s="36">
        <v>140</v>
      </c>
      <c r="B144" s="35"/>
      <c r="C144" s="35"/>
      <c r="D144" s="35"/>
      <c r="E144" s="35"/>
      <c r="F144" s="14"/>
      <c r="G144" s="14"/>
      <c r="H144" s="14"/>
      <c r="I144" s="14"/>
      <c r="J144" s="14"/>
      <c r="K144" s="14"/>
      <c r="L144" s="14"/>
      <c r="M144" s="14"/>
      <c r="N144" s="14"/>
      <c r="O144" s="14"/>
      <c r="P144" s="14"/>
      <c r="Q144" s="14"/>
      <c r="R144" s="14"/>
      <c r="S144" s="14"/>
      <c r="T144" s="14"/>
      <c r="U144" s="14"/>
      <c r="V144" s="14"/>
      <c r="W144" s="14"/>
    </row>
    <row r="145" spans="1:23" ht="24" hidden="1" customHeight="1">
      <c r="A145" s="36">
        <v>141</v>
      </c>
      <c r="B145" s="35"/>
      <c r="C145" s="35"/>
      <c r="D145" s="35"/>
      <c r="E145" s="35"/>
      <c r="F145" s="14"/>
      <c r="G145" s="14"/>
      <c r="H145" s="14"/>
      <c r="I145" s="14"/>
      <c r="J145" s="14"/>
      <c r="K145" s="14"/>
      <c r="L145" s="14"/>
      <c r="M145" s="14"/>
      <c r="N145" s="14"/>
      <c r="O145" s="14"/>
      <c r="P145" s="14"/>
      <c r="Q145" s="14"/>
      <c r="R145" s="14"/>
      <c r="S145" s="14"/>
      <c r="T145" s="14"/>
      <c r="U145" s="14"/>
      <c r="V145" s="14"/>
      <c r="W145" s="14"/>
    </row>
    <row r="146" spans="1:23" ht="24" hidden="1" customHeight="1">
      <c r="A146" s="36">
        <v>142</v>
      </c>
      <c r="B146" s="35"/>
      <c r="C146" s="35"/>
      <c r="D146" s="35"/>
      <c r="E146" s="35"/>
      <c r="F146" s="14"/>
      <c r="G146" s="14"/>
      <c r="H146" s="14"/>
      <c r="I146" s="14"/>
      <c r="J146" s="14"/>
      <c r="K146" s="14"/>
      <c r="L146" s="14"/>
      <c r="M146" s="14"/>
      <c r="N146" s="14"/>
      <c r="O146" s="14"/>
      <c r="P146" s="14"/>
      <c r="Q146" s="14"/>
      <c r="R146" s="14"/>
      <c r="S146" s="14"/>
      <c r="T146" s="14"/>
      <c r="U146" s="14"/>
      <c r="V146" s="14"/>
      <c r="W146" s="14"/>
    </row>
    <row r="147" spans="1:23" ht="24" hidden="1" customHeight="1">
      <c r="A147" s="36">
        <v>143</v>
      </c>
      <c r="B147" s="35"/>
      <c r="C147" s="35"/>
      <c r="D147" s="35"/>
      <c r="E147" s="35"/>
      <c r="F147" s="14"/>
      <c r="G147" s="14"/>
      <c r="H147" s="14"/>
      <c r="I147" s="14"/>
      <c r="J147" s="14"/>
      <c r="K147" s="14"/>
      <c r="L147" s="14"/>
      <c r="M147" s="14"/>
      <c r="N147" s="14"/>
      <c r="O147" s="14"/>
      <c r="P147" s="14"/>
      <c r="Q147" s="14"/>
      <c r="R147" s="14"/>
      <c r="S147" s="14"/>
      <c r="T147" s="14"/>
      <c r="U147" s="14"/>
      <c r="V147" s="14"/>
      <c r="W147" s="14"/>
    </row>
    <row r="148" spans="1:23" ht="24" hidden="1" customHeight="1">
      <c r="A148" s="36">
        <v>144</v>
      </c>
      <c r="B148" s="35"/>
      <c r="C148" s="35"/>
      <c r="D148" s="35"/>
      <c r="E148" s="35"/>
      <c r="F148" s="14"/>
      <c r="G148" s="14"/>
      <c r="H148" s="14"/>
      <c r="I148" s="14"/>
      <c r="J148" s="14"/>
      <c r="K148" s="14"/>
      <c r="L148" s="14"/>
      <c r="M148" s="14"/>
      <c r="N148" s="14"/>
      <c r="O148" s="14"/>
      <c r="P148" s="14"/>
      <c r="Q148" s="14"/>
      <c r="R148" s="14"/>
      <c r="S148" s="14"/>
      <c r="T148" s="14"/>
      <c r="U148" s="14"/>
      <c r="V148" s="14"/>
      <c r="W148" s="14"/>
    </row>
    <row r="149" spans="1:23" ht="24" hidden="1" customHeight="1">
      <c r="A149" s="36">
        <v>145</v>
      </c>
      <c r="B149" s="35"/>
      <c r="C149" s="35"/>
      <c r="D149" s="35"/>
      <c r="E149" s="35"/>
      <c r="F149" s="14"/>
      <c r="G149" s="14"/>
      <c r="H149" s="14"/>
      <c r="I149" s="14"/>
      <c r="J149" s="14"/>
      <c r="K149" s="14"/>
      <c r="L149" s="14"/>
      <c r="M149" s="14"/>
      <c r="N149" s="14"/>
      <c r="O149" s="14"/>
      <c r="P149" s="14"/>
      <c r="Q149" s="14"/>
      <c r="R149" s="14"/>
      <c r="S149" s="14"/>
      <c r="T149" s="14"/>
      <c r="U149" s="14"/>
      <c r="V149" s="14"/>
      <c r="W149" s="14"/>
    </row>
    <row r="150" spans="1:23" ht="24" hidden="1" customHeight="1">
      <c r="A150" s="36">
        <v>146</v>
      </c>
      <c r="B150" s="35"/>
      <c r="C150" s="35"/>
      <c r="D150" s="35"/>
      <c r="E150" s="35"/>
      <c r="F150" s="14"/>
      <c r="G150" s="14"/>
      <c r="H150" s="14"/>
      <c r="I150" s="14"/>
      <c r="J150" s="14"/>
      <c r="K150" s="14"/>
      <c r="L150" s="14"/>
      <c r="M150" s="14"/>
      <c r="N150" s="14"/>
      <c r="O150" s="14"/>
      <c r="P150" s="14"/>
      <c r="Q150" s="14"/>
      <c r="R150" s="14"/>
      <c r="S150" s="14"/>
      <c r="T150" s="14"/>
      <c r="U150" s="14"/>
      <c r="V150" s="14"/>
      <c r="W150" s="14"/>
    </row>
    <row r="151" spans="1:23" ht="24" hidden="1" customHeight="1">
      <c r="A151" s="36">
        <v>147</v>
      </c>
      <c r="B151" s="35"/>
      <c r="C151" s="35"/>
      <c r="D151" s="35"/>
      <c r="E151" s="35"/>
      <c r="F151" s="14"/>
      <c r="G151" s="14"/>
      <c r="H151" s="14"/>
      <c r="I151" s="14"/>
      <c r="J151" s="14"/>
      <c r="K151" s="14"/>
      <c r="L151" s="14"/>
      <c r="M151" s="14"/>
      <c r="N151" s="14"/>
      <c r="O151" s="14"/>
      <c r="P151" s="14"/>
      <c r="Q151" s="14"/>
      <c r="R151" s="14"/>
      <c r="S151" s="14"/>
      <c r="T151" s="14"/>
      <c r="U151" s="14"/>
      <c r="V151" s="14"/>
      <c r="W151" s="14"/>
    </row>
    <row r="152" spans="1:23" ht="24" hidden="1" customHeight="1">
      <c r="A152" s="36">
        <v>148</v>
      </c>
      <c r="B152" s="35"/>
      <c r="C152" s="35"/>
      <c r="D152" s="35"/>
      <c r="E152" s="35"/>
      <c r="F152" s="14"/>
      <c r="G152" s="14"/>
      <c r="H152" s="14"/>
      <c r="I152" s="14"/>
      <c r="J152" s="14"/>
      <c r="K152" s="14"/>
      <c r="L152" s="14"/>
      <c r="M152" s="14"/>
      <c r="N152" s="14"/>
      <c r="O152" s="14"/>
      <c r="P152" s="14"/>
      <c r="Q152" s="14"/>
      <c r="R152" s="14"/>
      <c r="S152" s="14"/>
      <c r="T152" s="14"/>
      <c r="U152" s="14"/>
      <c r="V152" s="14"/>
      <c r="W152" s="14"/>
    </row>
    <row r="153" spans="1:23" ht="24" hidden="1" customHeight="1">
      <c r="A153" s="36">
        <v>149</v>
      </c>
      <c r="B153" s="35"/>
      <c r="C153" s="35"/>
      <c r="D153" s="35"/>
      <c r="E153" s="35"/>
      <c r="F153" s="14"/>
      <c r="G153" s="14"/>
      <c r="H153" s="14"/>
      <c r="I153" s="14"/>
      <c r="J153" s="14"/>
      <c r="K153" s="14"/>
      <c r="L153" s="14"/>
      <c r="M153" s="14"/>
      <c r="N153" s="14"/>
      <c r="O153" s="14"/>
      <c r="P153" s="14"/>
      <c r="Q153" s="14"/>
      <c r="R153" s="14"/>
      <c r="S153" s="14"/>
      <c r="T153" s="14"/>
      <c r="U153" s="14"/>
      <c r="V153" s="14"/>
      <c r="W153" s="14"/>
    </row>
    <row r="154" spans="1:23" ht="24" hidden="1" customHeight="1">
      <c r="A154" s="36">
        <v>150</v>
      </c>
      <c r="B154" s="35"/>
      <c r="C154" s="35"/>
      <c r="D154" s="35"/>
      <c r="E154" s="35"/>
      <c r="F154" s="14"/>
      <c r="G154" s="14"/>
      <c r="H154" s="14"/>
      <c r="I154" s="14"/>
      <c r="J154" s="14"/>
      <c r="K154" s="14"/>
      <c r="L154" s="14"/>
      <c r="M154" s="14"/>
      <c r="N154" s="14"/>
      <c r="O154" s="14"/>
      <c r="P154" s="14"/>
      <c r="Q154" s="14"/>
      <c r="R154" s="14"/>
      <c r="S154" s="14"/>
      <c r="T154" s="14"/>
      <c r="U154" s="14"/>
      <c r="V154" s="14"/>
      <c r="W154" s="14"/>
    </row>
    <row r="155" spans="1:23" ht="24" hidden="1" customHeight="1">
      <c r="A155" s="36">
        <v>151</v>
      </c>
      <c r="B155" s="35"/>
      <c r="C155" s="35"/>
      <c r="D155" s="35"/>
      <c r="E155" s="35"/>
      <c r="F155" s="14"/>
      <c r="G155" s="14"/>
      <c r="H155" s="14"/>
      <c r="I155" s="14"/>
      <c r="J155" s="14"/>
      <c r="K155" s="14"/>
      <c r="L155" s="14"/>
      <c r="M155" s="14"/>
      <c r="N155" s="14"/>
      <c r="O155" s="14"/>
      <c r="P155" s="14"/>
      <c r="Q155" s="14"/>
      <c r="R155" s="14"/>
      <c r="S155" s="14"/>
      <c r="T155" s="14"/>
      <c r="U155" s="14"/>
      <c r="V155" s="14"/>
      <c r="W155" s="14"/>
    </row>
    <row r="156" spans="1:23" ht="24" hidden="1" customHeight="1">
      <c r="A156" s="36">
        <v>152</v>
      </c>
      <c r="B156" s="35"/>
      <c r="C156" s="35"/>
      <c r="D156" s="35"/>
      <c r="E156" s="35"/>
      <c r="F156" s="14"/>
      <c r="G156" s="14"/>
      <c r="H156" s="14"/>
      <c r="I156" s="14"/>
      <c r="J156" s="14"/>
      <c r="K156" s="14"/>
      <c r="L156" s="14"/>
      <c r="M156" s="14"/>
      <c r="N156" s="14"/>
      <c r="O156" s="14"/>
      <c r="P156" s="14"/>
      <c r="Q156" s="14"/>
      <c r="R156" s="14"/>
      <c r="S156" s="14"/>
      <c r="T156" s="14"/>
      <c r="U156" s="14"/>
      <c r="V156" s="14"/>
      <c r="W156" s="14"/>
    </row>
    <row r="157" spans="1:23" ht="24" hidden="1" customHeight="1">
      <c r="A157" s="36">
        <v>153</v>
      </c>
      <c r="B157" s="35"/>
      <c r="C157" s="35"/>
      <c r="D157" s="35"/>
      <c r="E157" s="35"/>
      <c r="F157" s="14"/>
      <c r="G157" s="14"/>
      <c r="H157" s="14"/>
      <c r="I157" s="14"/>
      <c r="J157" s="14"/>
      <c r="K157" s="14"/>
      <c r="L157" s="14"/>
      <c r="M157" s="14"/>
      <c r="N157" s="14"/>
      <c r="O157" s="14"/>
      <c r="P157" s="14"/>
      <c r="Q157" s="14"/>
      <c r="R157" s="14"/>
      <c r="S157" s="14"/>
      <c r="T157" s="14"/>
      <c r="U157" s="14"/>
      <c r="V157" s="14"/>
      <c r="W157" s="14"/>
    </row>
    <row r="158" spans="1:23" ht="24" hidden="1" customHeight="1">
      <c r="A158" s="36">
        <v>154</v>
      </c>
      <c r="B158" s="35"/>
      <c r="C158" s="35"/>
      <c r="D158" s="35"/>
      <c r="E158" s="35"/>
      <c r="F158" s="14"/>
      <c r="G158" s="14"/>
      <c r="H158" s="14"/>
      <c r="I158" s="14"/>
      <c r="J158" s="14"/>
      <c r="K158" s="14"/>
      <c r="L158" s="14"/>
      <c r="M158" s="14"/>
      <c r="N158" s="14"/>
      <c r="O158" s="14"/>
      <c r="P158" s="14"/>
      <c r="Q158" s="14"/>
      <c r="R158" s="14"/>
      <c r="S158" s="14"/>
      <c r="T158" s="14"/>
      <c r="U158" s="14"/>
      <c r="V158" s="14"/>
      <c r="W158" s="14"/>
    </row>
    <row r="159" spans="1:23" ht="24" hidden="1" customHeight="1">
      <c r="A159" s="36">
        <v>155</v>
      </c>
      <c r="B159" s="35"/>
      <c r="C159" s="35"/>
      <c r="D159" s="35"/>
      <c r="E159" s="35"/>
      <c r="F159" s="14"/>
      <c r="G159" s="14"/>
      <c r="H159" s="14"/>
      <c r="I159" s="14"/>
      <c r="J159" s="14"/>
      <c r="K159" s="14"/>
      <c r="L159" s="14"/>
      <c r="M159" s="14"/>
      <c r="N159" s="14"/>
      <c r="O159" s="14"/>
      <c r="P159" s="14"/>
      <c r="Q159" s="14"/>
      <c r="R159" s="14"/>
      <c r="S159" s="14"/>
      <c r="T159" s="14"/>
      <c r="U159" s="14"/>
      <c r="V159" s="14"/>
      <c r="W159" s="14"/>
    </row>
    <row r="160" spans="1:23" ht="24" hidden="1" customHeight="1">
      <c r="A160" s="36">
        <v>156</v>
      </c>
      <c r="B160" s="35"/>
      <c r="C160" s="35"/>
      <c r="D160" s="35"/>
      <c r="E160" s="35"/>
      <c r="F160" s="14"/>
      <c r="G160" s="14"/>
      <c r="H160" s="14"/>
      <c r="I160" s="14"/>
      <c r="J160" s="14"/>
      <c r="K160" s="14"/>
      <c r="L160" s="14"/>
      <c r="M160" s="14"/>
      <c r="N160" s="14"/>
      <c r="O160" s="14"/>
      <c r="P160" s="14"/>
      <c r="Q160" s="14"/>
      <c r="R160" s="14"/>
      <c r="S160" s="14"/>
      <c r="T160" s="14"/>
      <c r="U160" s="14"/>
      <c r="V160" s="14"/>
      <c r="W160" s="14"/>
    </row>
    <row r="161" spans="1:23" ht="24" hidden="1" customHeight="1">
      <c r="A161" s="36">
        <v>157</v>
      </c>
      <c r="B161" s="35"/>
      <c r="C161" s="35"/>
      <c r="D161" s="35"/>
      <c r="E161" s="35"/>
      <c r="F161" s="14"/>
      <c r="G161" s="14"/>
      <c r="H161" s="14"/>
      <c r="I161" s="14"/>
      <c r="J161" s="14"/>
      <c r="K161" s="14"/>
      <c r="L161" s="14"/>
      <c r="M161" s="14"/>
      <c r="N161" s="14"/>
      <c r="O161" s="14"/>
      <c r="P161" s="14"/>
      <c r="Q161" s="14"/>
      <c r="R161" s="14"/>
      <c r="S161" s="14"/>
      <c r="T161" s="14"/>
      <c r="U161" s="14"/>
      <c r="V161" s="14"/>
      <c r="W161" s="14"/>
    </row>
    <row r="162" spans="1:23" ht="24" hidden="1" customHeight="1">
      <c r="A162" s="36">
        <v>158</v>
      </c>
      <c r="B162" s="35"/>
      <c r="C162" s="35"/>
      <c r="D162" s="35"/>
      <c r="E162" s="35"/>
      <c r="F162" s="14"/>
      <c r="G162" s="14"/>
      <c r="H162" s="14"/>
      <c r="I162" s="14"/>
      <c r="J162" s="14"/>
      <c r="K162" s="14"/>
      <c r="L162" s="14"/>
      <c r="M162" s="14"/>
      <c r="N162" s="14"/>
      <c r="O162" s="14"/>
      <c r="P162" s="14"/>
      <c r="Q162" s="14"/>
      <c r="R162" s="14"/>
      <c r="S162" s="14"/>
      <c r="T162" s="14"/>
      <c r="U162" s="14"/>
      <c r="V162" s="14"/>
      <c r="W162" s="14"/>
    </row>
    <row r="163" spans="1:23" ht="24" hidden="1" customHeight="1">
      <c r="A163" s="36">
        <v>159</v>
      </c>
      <c r="B163" s="35"/>
      <c r="C163" s="35"/>
      <c r="D163" s="35"/>
      <c r="E163" s="35"/>
      <c r="F163" s="14"/>
      <c r="G163" s="14"/>
      <c r="H163" s="14"/>
      <c r="I163" s="14"/>
      <c r="J163" s="14"/>
      <c r="K163" s="14"/>
      <c r="L163" s="14"/>
      <c r="M163" s="14"/>
      <c r="N163" s="14"/>
      <c r="O163" s="14"/>
      <c r="P163" s="14"/>
      <c r="Q163" s="14"/>
      <c r="R163" s="14"/>
      <c r="S163" s="14"/>
      <c r="T163" s="14"/>
      <c r="U163" s="14"/>
      <c r="V163" s="14"/>
      <c r="W163" s="14"/>
    </row>
    <row r="164" spans="1:23" ht="24" hidden="1" customHeight="1">
      <c r="A164" s="36">
        <v>160</v>
      </c>
      <c r="B164" s="35"/>
      <c r="C164" s="35"/>
      <c r="D164" s="35"/>
      <c r="E164" s="35"/>
      <c r="F164" s="14"/>
      <c r="G164" s="14"/>
      <c r="H164" s="14"/>
      <c r="I164" s="14"/>
      <c r="J164" s="14"/>
      <c r="K164" s="14"/>
      <c r="L164" s="14"/>
      <c r="M164" s="14"/>
      <c r="N164" s="14"/>
      <c r="O164" s="14"/>
      <c r="P164" s="14"/>
      <c r="Q164" s="14"/>
      <c r="R164" s="14"/>
      <c r="S164" s="14"/>
      <c r="T164" s="14"/>
      <c r="U164" s="14"/>
      <c r="V164" s="14"/>
      <c r="W164" s="14"/>
    </row>
    <row r="165" spans="1:23" ht="24" hidden="1" customHeight="1">
      <c r="A165" s="36">
        <v>161</v>
      </c>
      <c r="B165" s="35"/>
      <c r="C165" s="35"/>
      <c r="D165" s="35"/>
      <c r="E165" s="35"/>
      <c r="F165" s="14"/>
      <c r="G165" s="14"/>
      <c r="H165" s="14"/>
      <c r="I165" s="14"/>
      <c r="J165" s="14"/>
      <c r="K165" s="14"/>
      <c r="L165" s="14"/>
      <c r="M165" s="14"/>
      <c r="N165" s="14"/>
      <c r="O165" s="14"/>
      <c r="P165" s="14"/>
      <c r="Q165" s="14"/>
      <c r="R165" s="14"/>
      <c r="S165" s="14"/>
      <c r="T165" s="14"/>
      <c r="U165" s="14"/>
      <c r="V165" s="14"/>
      <c r="W165" s="14"/>
    </row>
    <row r="166" spans="1:23" ht="24" hidden="1" customHeight="1">
      <c r="A166" s="36">
        <v>162</v>
      </c>
      <c r="B166" s="35"/>
      <c r="C166" s="35"/>
      <c r="D166" s="35"/>
      <c r="E166" s="35"/>
      <c r="F166" s="14"/>
      <c r="G166" s="14"/>
      <c r="H166" s="14"/>
      <c r="I166" s="14"/>
      <c r="J166" s="14"/>
      <c r="K166" s="14"/>
      <c r="L166" s="14"/>
      <c r="M166" s="14"/>
      <c r="N166" s="14"/>
      <c r="O166" s="14"/>
      <c r="P166" s="14"/>
      <c r="Q166" s="14"/>
      <c r="R166" s="14"/>
      <c r="S166" s="14"/>
      <c r="T166" s="14"/>
      <c r="U166" s="14"/>
      <c r="V166" s="14"/>
      <c r="W166" s="14"/>
    </row>
    <row r="167" spans="1:23" ht="24" hidden="1" customHeight="1">
      <c r="A167" s="36">
        <v>163</v>
      </c>
      <c r="B167" s="35"/>
      <c r="C167" s="35"/>
      <c r="D167" s="35"/>
      <c r="E167" s="35"/>
      <c r="F167" s="14"/>
      <c r="G167" s="14"/>
      <c r="H167" s="14"/>
      <c r="I167" s="14"/>
      <c r="J167" s="14"/>
      <c r="K167" s="14"/>
      <c r="L167" s="14"/>
      <c r="M167" s="14"/>
      <c r="N167" s="14"/>
      <c r="O167" s="14"/>
      <c r="P167" s="14"/>
      <c r="Q167" s="14"/>
      <c r="R167" s="14"/>
      <c r="S167" s="14"/>
      <c r="T167" s="14"/>
      <c r="U167" s="14"/>
      <c r="V167" s="14"/>
      <c r="W167" s="14"/>
    </row>
    <row r="168" spans="1:23" ht="24" hidden="1" customHeight="1">
      <c r="A168" s="36">
        <v>164</v>
      </c>
      <c r="B168" s="35"/>
      <c r="C168" s="35"/>
      <c r="D168" s="35"/>
      <c r="E168" s="35"/>
      <c r="F168" s="14"/>
      <c r="G168" s="14"/>
      <c r="H168" s="14"/>
      <c r="I168" s="14"/>
      <c r="J168" s="14"/>
      <c r="K168" s="14"/>
      <c r="L168" s="14"/>
      <c r="M168" s="14"/>
      <c r="N168" s="14"/>
      <c r="O168" s="14"/>
      <c r="P168" s="14"/>
      <c r="Q168" s="14"/>
      <c r="R168" s="14"/>
      <c r="S168" s="14"/>
      <c r="T168" s="14"/>
      <c r="U168" s="14"/>
      <c r="V168" s="14"/>
      <c r="W168" s="14"/>
    </row>
    <row r="169" spans="1:23" ht="24" hidden="1" customHeight="1">
      <c r="A169" s="36">
        <v>165</v>
      </c>
      <c r="B169" s="35"/>
      <c r="C169" s="35"/>
      <c r="D169" s="35"/>
      <c r="E169" s="35"/>
      <c r="F169" s="14"/>
      <c r="G169" s="14"/>
      <c r="H169" s="14"/>
      <c r="I169" s="14"/>
      <c r="J169" s="14"/>
      <c r="K169" s="14"/>
      <c r="L169" s="14"/>
      <c r="M169" s="14"/>
      <c r="N169" s="14"/>
      <c r="O169" s="14"/>
      <c r="P169" s="14"/>
      <c r="Q169" s="14"/>
      <c r="R169" s="14"/>
      <c r="S169" s="14"/>
      <c r="T169" s="14"/>
      <c r="U169" s="14"/>
      <c r="V169" s="14"/>
      <c r="W169" s="14"/>
    </row>
    <row r="170" spans="1:23" ht="24" hidden="1" customHeight="1">
      <c r="A170" s="36">
        <v>166</v>
      </c>
      <c r="B170" s="35"/>
      <c r="C170" s="35"/>
      <c r="D170" s="35"/>
      <c r="E170" s="35"/>
      <c r="F170" s="14"/>
      <c r="G170" s="14"/>
      <c r="H170" s="14"/>
      <c r="I170" s="14"/>
      <c r="J170" s="14"/>
      <c r="K170" s="14"/>
      <c r="L170" s="14"/>
      <c r="M170" s="14"/>
      <c r="N170" s="14"/>
      <c r="O170" s="14"/>
      <c r="P170" s="14"/>
      <c r="Q170" s="14"/>
      <c r="R170" s="14"/>
      <c r="S170" s="14"/>
      <c r="T170" s="14"/>
      <c r="U170" s="14"/>
      <c r="V170" s="14"/>
      <c r="W170" s="14"/>
    </row>
    <row r="171" spans="1:23" ht="24" hidden="1" customHeight="1">
      <c r="A171" s="36">
        <v>167</v>
      </c>
      <c r="B171" s="35"/>
      <c r="C171" s="35"/>
      <c r="D171" s="35"/>
      <c r="E171" s="35"/>
      <c r="F171" s="14"/>
      <c r="G171" s="14"/>
      <c r="H171" s="14"/>
      <c r="I171" s="14"/>
      <c r="J171" s="14"/>
      <c r="K171" s="14"/>
      <c r="L171" s="14"/>
      <c r="M171" s="14"/>
      <c r="N171" s="14"/>
      <c r="O171" s="14"/>
      <c r="P171" s="14"/>
      <c r="Q171" s="14"/>
      <c r="R171" s="14"/>
      <c r="S171" s="14"/>
      <c r="T171" s="14"/>
      <c r="U171" s="14"/>
      <c r="V171" s="14"/>
      <c r="W171" s="14"/>
    </row>
    <row r="172" spans="1:23" ht="24" hidden="1" customHeight="1">
      <c r="A172" s="36">
        <v>168</v>
      </c>
      <c r="B172" s="35"/>
      <c r="C172" s="35"/>
      <c r="D172" s="35"/>
      <c r="E172" s="35"/>
      <c r="F172" s="14"/>
      <c r="G172" s="14"/>
      <c r="H172" s="14"/>
      <c r="I172" s="14"/>
      <c r="J172" s="14"/>
      <c r="K172" s="14"/>
      <c r="L172" s="14"/>
      <c r="M172" s="14"/>
      <c r="N172" s="14"/>
      <c r="O172" s="14"/>
      <c r="P172" s="14"/>
      <c r="Q172" s="14"/>
      <c r="R172" s="14"/>
      <c r="S172" s="14"/>
      <c r="T172" s="14"/>
      <c r="U172" s="14"/>
      <c r="V172" s="14"/>
      <c r="W172" s="14"/>
    </row>
    <row r="173" spans="1:23" ht="24" hidden="1" customHeight="1">
      <c r="A173" s="36">
        <v>169</v>
      </c>
      <c r="B173" s="35"/>
      <c r="C173" s="35"/>
      <c r="D173" s="35"/>
      <c r="E173" s="35"/>
      <c r="F173" s="14"/>
      <c r="G173" s="14"/>
      <c r="H173" s="14"/>
      <c r="I173" s="14"/>
      <c r="J173" s="14"/>
      <c r="K173" s="14"/>
      <c r="L173" s="14"/>
      <c r="M173" s="14"/>
      <c r="N173" s="14"/>
      <c r="O173" s="14"/>
      <c r="P173" s="14"/>
      <c r="Q173" s="14"/>
      <c r="R173" s="14"/>
      <c r="S173" s="14"/>
      <c r="T173" s="14"/>
      <c r="U173" s="14"/>
      <c r="V173" s="14"/>
      <c r="W173" s="14"/>
    </row>
    <row r="174" spans="1:23" ht="24" hidden="1" customHeight="1">
      <c r="A174" s="36">
        <v>170</v>
      </c>
      <c r="B174" s="35"/>
      <c r="C174" s="35"/>
      <c r="D174" s="35"/>
      <c r="E174" s="35"/>
      <c r="F174" s="14"/>
      <c r="G174" s="14"/>
      <c r="H174" s="14"/>
      <c r="I174" s="14"/>
      <c r="J174" s="14"/>
      <c r="K174" s="14"/>
      <c r="L174" s="14"/>
      <c r="M174" s="14"/>
      <c r="N174" s="14"/>
      <c r="O174" s="14"/>
      <c r="P174" s="14"/>
      <c r="Q174" s="14"/>
      <c r="R174" s="14"/>
      <c r="S174" s="14"/>
      <c r="T174" s="14"/>
      <c r="U174" s="14"/>
      <c r="V174" s="14"/>
      <c r="W174" s="14"/>
    </row>
    <row r="175" spans="1:23" ht="24" hidden="1" customHeight="1">
      <c r="A175" s="36">
        <v>171</v>
      </c>
      <c r="B175" s="35"/>
      <c r="C175" s="35"/>
      <c r="D175" s="35"/>
      <c r="E175" s="35"/>
      <c r="F175" s="14"/>
      <c r="G175" s="14"/>
      <c r="H175" s="14"/>
      <c r="I175" s="14"/>
      <c r="J175" s="14"/>
      <c r="K175" s="14"/>
      <c r="L175" s="14"/>
      <c r="M175" s="14"/>
      <c r="N175" s="14"/>
      <c r="O175" s="14"/>
      <c r="P175" s="14"/>
      <c r="Q175" s="14"/>
      <c r="R175" s="14"/>
      <c r="S175" s="14"/>
      <c r="T175" s="14"/>
      <c r="U175" s="14"/>
      <c r="V175" s="14"/>
      <c r="W175" s="14"/>
    </row>
    <row r="176" spans="1:23" ht="24" hidden="1" customHeight="1">
      <c r="A176" s="36">
        <v>172</v>
      </c>
      <c r="B176" s="35"/>
      <c r="C176" s="35"/>
      <c r="D176" s="35"/>
      <c r="E176" s="35"/>
      <c r="F176" s="14"/>
      <c r="G176" s="14"/>
      <c r="H176" s="14"/>
      <c r="I176" s="14"/>
      <c r="J176" s="14"/>
      <c r="K176" s="14"/>
      <c r="L176" s="14"/>
      <c r="M176" s="14"/>
      <c r="N176" s="14"/>
      <c r="O176" s="14"/>
      <c r="P176" s="14"/>
      <c r="Q176" s="14"/>
      <c r="R176" s="14"/>
      <c r="S176" s="14"/>
      <c r="T176" s="14"/>
      <c r="U176" s="14"/>
      <c r="V176" s="14"/>
      <c r="W176" s="14"/>
    </row>
    <row r="177" spans="1:23" ht="24" hidden="1" customHeight="1">
      <c r="A177" s="36">
        <v>173</v>
      </c>
      <c r="B177" s="35"/>
      <c r="C177" s="35"/>
      <c r="D177" s="35"/>
      <c r="E177" s="35"/>
      <c r="F177" s="14"/>
      <c r="G177" s="14"/>
      <c r="H177" s="14"/>
      <c r="I177" s="14"/>
      <c r="J177" s="14"/>
      <c r="K177" s="14"/>
      <c r="L177" s="14"/>
      <c r="M177" s="14"/>
      <c r="N177" s="14"/>
      <c r="O177" s="14"/>
      <c r="P177" s="14"/>
      <c r="Q177" s="14"/>
      <c r="R177" s="14"/>
      <c r="S177" s="14"/>
      <c r="T177" s="14"/>
      <c r="U177" s="14"/>
      <c r="V177" s="14"/>
      <c r="W177" s="14"/>
    </row>
    <row r="178" spans="1:23" ht="24" hidden="1" customHeight="1">
      <c r="A178" s="36">
        <v>174</v>
      </c>
      <c r="B178" s="35"/>
      <c r="C178" s="35"/>
      <c r="D178" s="35"/>
      <c r="E178" s="35"/>
      <c r="F178" s="14"/>
      <c r="G178" s="14"/>
      <c r="H178" s="14"/>
      <c r="I178" s="14"/>
      <c r="J178" s="14"/>
      <c r="K178" s="14"/>
      <c r="L178" s="14"/>
      <c r="M178" s="14"/>
      <c r="N178" s="14"/>
      <c r="O178" s="14"/>
      <c r="P178" s="14"/>
      <c r="Q178" s="14"/>
      <c r="R178" s="14"/>
      <c r="S178" s="14"/>
      <c r="T178" s="14"/>
      <c r="U178" s="14"/>
      <c r="V178" s="14"/>
      <c r="W178" s="14"/>
    </row>
    <row r="179" spans="1:23" ht="24" hidden="1" customHeight="1">
      <c r="A179" s="36">
        <v>175</v>
      </c>
      <c r="B179" s="35"/>
      <c r="C179" s="35"/>
      <c r="D179" s="35"/>
      <c r="E179" s="35"/>
      <c r="F179" s="14"/>
      <c r="G179" s="14"/>
      <c r="H179" s="14"/>
      <c r="I179" s="14"/>
      <c r="J179" s="14"/>
      <c r="K179" s="14"/>
      <c r="L179" s="14"/>
      <c r="M179" s="14"/>
      <c r="N179" s="14"/>
      <c r="O179" s="14"/>
      <c r="P179" s="14"/>
      <c r="Q179" s="14"/>
      <c r="R179" s="14"/>
      <c r="S179" s="14"/>
      <c r="T179" s="14"/>
      <c r="U179" s="14"/>
      <c r="V179" s="14"/>
      <c r="W179" s="14"/>
    </row>
    <row r="180" spans="1:23" ht="24" hidden="1" customHeight="1">
      <c r="A180" s="36">
        <v>176</v>
      </c>
      <c r="B180" s="35"/>
      <c r="C180" s="35"/>
      <c r="D180" s="35"/>
      <c r="E180" s="35"/>
      <c r="F180" s="14"/>
      <c r="G180" s="14"/>
      <c r="H180" s="14"/>
      <c r="I180" s="14"/>
      <c r="J180" s="14"/>
      <c r="K180" s="14"/>
      <c r="L180" s="14"/>
      <c r="M180" s="14"/>
      <c r="N180" s="14"/>
      <c r="O180" s="14"/>
      <c r="P180" s="14"/>
      <c r="Q180" s="14"/>
      <c r="R180" s="14"/>
      <c r="S180" s="14"/>
      <c r="T180" s="14"/>
      <c r="U180" s="14"/>
      <c r="V180" s="14"/>
      <c r="W180" s="14"/>
    </row>
    <row r="181" spans="1:23" ht="24" hidden="1" customHeight="1">
      <c r="A181" s="36">
        <v>177</v>
      </c>
      <c r="B181" s="35"/>
      <c r="C181" s="35"/>
      <c r="D181" s="35"/>
      <c r="E181" s="35"/>
      <c r="F181" s="14"/>
      <c r="G181" s="14"/>
      <c r="H181" s="14"/>
      <c r="I181" s="14"/>
      <c r="J181" s="14"/>
      <c r="K181" s="14"/>
      <c r="L181" s="14"/>
      <c r="M181" s="14"/>
      <c r="N181" s="14"/>
      <c r="O181" s="14"/>
      <c r="P181" s="14"/>
      <c r="Q181" s="14"/>
      <c r="R181" s="14"/>
      <c r="S181" s="14"/>
      <c r="T181" s="14"/>
      <c r="U181" s="14"/>
      <c r="V181" s="14"/>
      <c r="W181" s="14"/>
    </row>
    <row r="182" spans="1:23" ht="24" hidden="1" customHeight="1">
      <c r="A182" s="36">
        <v>178</v>
      </c>
      <c r="B182" s="35"/>
      <c r="C182" s="35"/>
      <c r="D182" s="35"/>
      <c r="E182" s="35"/>
      <c r="F182" s="14"/>
      <c r="G182" s="14"/>
      <c r="H182" s="14"/>
      <c r="I182" s="14"/>
      <c r="J182" s="14"/>
      <c r="K182" s="14"/>
      <c r="L182" s="14"/>
      <c r="M182" s="14"/>
      <c r="N182" s="14"/>
      <c r="O182" s="14"/>
      <c r="P182" s="14"/>
      <c r="Q182" s="14"/>
      <c r="R182" s="14"/>
      <c r="S182" s="14"/>
      <c r="T182" s="14"/>
      <c r="U182" s="14"/>
      <c r="V182" s="14"/>
      <c r="W182" s="14"/>
    </row>
    <row r="183" spans="1:23" ht="24" hidden="1" customHeight="1">
      <c r="A183" s="36">
        <v>179</v>
      </c>
      <c r="B183" s="35"/>
      <c r="C183" s="35"/>
      <c r="D183" s="35"/>
      <c r="E183" s="35"/>
      <c r="F183" s="14"/>
      <c r="G183" s="14"/>
      <c r="H183" s="14"/>
      <c r="I183" s="14"/>
      <c r="J183" s="14"/>
      <c r="K183" s="14"/>
      <c r="L183" s="14"/>
      <c r="M183" s="14"/>
      <c r="N183" s="14"/>
      <c r="O183" s="14"/>
      <c r="P183" s="14"/>
      <c r="Q183" s="14"/>
      <c r="R183" s="14"/>
      <c r="S183" s="14"/>
      <c r="T183" s="14"/>
      <c r="U183" s="14"/>
      <c r="V183" s="14"/>
      <c r="W183" s="14"/>
    </row>
    <row r="184" spans="1:23" ht="24" hidden="1" customHeight="1">
      <c r="A184" s="36">
        <v>180</v>
      </c>
      <c r="B184" s="35"/>
      <c r="C184" s="35"/>
      <c r="D184" s="35"/>
      <c r="E184" s="35"/>
      <c r="F184" s="14"/>
      <c r="G184" s="14"/>
      <c r="H184" s="14"/>
      <c r="I184" s="14"/>
      <c r="J184" s="14"/>
      <c r="K184" s="14"/>
      <c r="L184" s="14"/>
      <c r="M184" s="14"/>
      <c r="N184" s="14"/>
      <c r="O184" s="14"/>
      <c r="P184" s="14"/>
      <c r="Q184" s="14"/>
      <c r="R184" s="14"/>
      <c r="S184" s="14"/>
      <c r="T184" s="14"/>
      <c r="U184" s="14"/>
      <c r="V184" s="14"/>
      <c r="W184" s="14"/>
    </row>
    <row r="185" spans="1:23" ht="24" hidden="1" customHeight="1">
      <c r="A185" s="36">
        <v>181</v>
      </c>
      <c r="B185" s="35"/>
      <c r="C185" s="35"/>
      <c r="D185" s="35"/>
      <c r="E185" s="35"/>
      <c r="F185" s="14"/>
      <c r="G185" s="14"/>
      <c r="H185" s="14"/>
      <c r="I185" s="14"/>
      <c r="J185" s="14"/>
      <c r="K185" s="14"/>
      <c r="L185" s="14"/>
      <c r="M185" s="14"/>
      <c r="N185" s="14"/>
      <c r="O185" s="14"/>
      <c r="P185" s="14"/>
      <c r="Q185" s="14"/>
      <c r="R185" s="14"/>
      <c r="S185" s="14"/>
      <c r="T185" s="14"/>
      <c r="U185" s="14"/>
      <c r="V185" s="14"/>
      <c r="W185" s="14"/>
    </row>
    <row r="186" spans="1:23" ht="24" hidden="1" customHeight="1">
      <c r="A186" s="36">
        <v>182</v>
      </c>
      <c r="B186" s="35"/>
      <c r="C186" s="35"/>
      <c r="D186" s="35"/>
      <c r="E186" s="35"/>
      <c r="F186" s="14"/>
      <c r="G186" s="14"/>
      <c r="H186" s="14"/>
      <c r="I186" s="14"/>
      <c r="J186" s="14"/>
      <c r="K186" s="14"/>
      <c r="L186" s="14"/>
      <c r="M186" s="14"/>
      <c r="N186" s="14"/>
      <c r="O186" s="14"/>
      <c r="P186" s="14"/>
      <c r="Q186" s="14"/>
      <c r="R186" s="14"/>
      <c r="S186" s="14"/>
      <c r="T186" s="14"/>
      <c r="U186" s="14"/>
      <c r="V186" s="14"/>
      <c r="W186" s="14"/>
    </row>
    <row r="187" spans="1:23" ht="24" hidden="1" customHeight="1">
      <c r="A187" s="36">
        <v>183</v>
      </c>
      <c r="B187" s="35"/>
      <c r="C187" s="35"/>
      <c r="D187" s="35"/>
      <c r="E187" s="35"/>
      <c r="F187" s="14"/>
      <c r="G187" s="14"/>
      <c r="H187" s="14"/>
      <c r="I187" s="14"/>
      <c r="J187" s="14"/>
      <c r="K187" s="14"/>
      <c r="L187" s="14"/>
      <c r="M187" s="14"/>
      <c r="N187" s="14"/>
      <c r="O187" s="14"/>
      <c r="P187" s="14"/>
      <c r="Q187" s="14"/>
      <c r="R187" s="14"/>
      <c r="S187" s="14"/>
      <c r="T187" s="14"/>
      <c r="U187" s="14"/>
      <c r="V187" s="14"/>
      <c r="W187" s="14"/>
    </row>
    <row r="188" spans="1:23" ht="24" hidden="1" customHeight="1">
      <c r="A188" s="36">
        <v>184</v>
      </c>
      <c r="B188" s="35"/>
      <c r="C188" s="35"/>
      <c r="D188" s="35"/>
      <c r="E188" s="35"/>
      <c r="F188" s="14"/>
      <c r="G188" s="14"/>
      <c r="H188" s="14"/>
      <c r="I188" s="14"/>
      <c r="J188" s="14"/>
      <c r="K188" s="14"/>
      <c r="L188" s="14"/>
      <c r="M188" s="14"/>
      <c r="N188" s="14"/>
      <c r="O188" s="14"/>
      <c r="P188" s="14"/>
      <c r="Q188" s="14"/>
      <c r="R188" s="14"/>
      <c r="S188" s="14"/>
      <c r="T188" s="14"/>
      <c r="U188" s="14"/>
      <c r="V188" s="14"/>
      <c r="W188" s="14"/>
    </row>
    <row r="189" spans="1:23" ht="24" hidden="1" customHeight="1">
      <c r="A189" s="36">
        <v>185</v>
      </c>
      <c r="B189" s="35"/>
      <c r="C189" s="35"/>
      <c r="D189" s="35"/>
      <c r="E189" s="35"/>
      <c r="F189" s="14"/>
      <c r="G189" s="14"/>
      <c r="H189" s="14"/>
      <c r="I189" s="14"/>
      <c r="J189" s="14"/>
      <c r="K189" s="14"/>
      <c r="L189" s="14"/>
      <c r="M189" s="14"/>
      <c r="N189" s="14"/>
      <c r="O189" s="14"/>
      <c r="P189" s="14"/>
      <c r="Q189" s="14"/>
      <c r="R189" s="14"/>
      <c r="S189" s="14"/>
      <c r="T189" s="14"/>
      <c r="U189" s="14"/>
      <c r="V189" s="14"/>
      <c r="W189" s="14"/>
    </row>
    <row r="190" spans="1:23" ht="24" hidden="1" customHeight="1">
      <c r="A190" s="36">
        <v>186</v>
      </c>
      <c r="B190" s="35"/>
      <c r="C190" s="35"/>
      <c r="D190" s="35"/>
      <c r="E190" s="35"/>
      <c r="F190" s="14"/>
      <c r="G190" s="14"/>
      <c r="H190" s="14"/>
      <c r="I190" s="14"/>
      <c r="J190" s="14"/>
      <c r="K190" s="14"/>
      <c r="L190" s="14"/>
      <c r="M190" s="14"/>
      <c r="N190" s="14"/>
      <c r="O190" s="14"/>
      <c r="P190" s="14"/>
      <c r="Q190" s="14"/>
      <c r="R190" s="14"/>
      <c r="S190" s="14"/>
      <c r="T190" s="14"/>
      <c r="U190" s="14"/>
      <c r="V190" s="14"/>
      <c r="W190" s="14"/>
    </row>
    <row r="191" spans="1:23" ht="24" hidden="1" customHeight="1">
      <c r="A191" s="36">
        <v>187</v>
      </c>
      <c r="B191" s="35"/>
      <c r="C191" s="35"/>
      <c r="D191" s="35"/>
      <c r="E191" s="35"/>
      <c r="F191" s="14"/>
      <c r="G191" s="14"/>
      <c r="H191" s="14"/>
      <c r="I191" s="14"/>
      <c r="J191" s="14"/>
      <c r="K191" s="14"/>
      <c r="L191" s="14"/>
      <c r="M191" s="14"/>
      <c r="N191" s="14"/>
      <c r="O191" s="14"/>
      <c r="P191" s="14"/>
      <c r="Q191" s="14"/>
      <c r="R191" s="14"/>
      <c r="S191" s="14"/>
      <c r="T191" s="14"/>
      <c r="U191" s="14"/>
      <c r="V191" s="14"/>
      <c r="W191" s="14"/>
    </row>
    <row r="192" spans="1:23" ht="24" hidden="1" customHeight="1">
      <c r="A192" s="36">
        <v>188</v>
      </c>
      <c r="B192" s="35"/>
      <c r="C192" s="35"/>
      <c r="D192" s="35"/>
      <c r="E192" s="35"/>
      <c r="F192" s="14"/>
      <c r="G192" s="14"/>
      <c r="H192" s="14"/>
      <c r="I192" s="14"/>
      <c r="J192" s="14"/>
      <c r="K192" s="14"/>
      <c r="L192" s="14"/>
      <c r="M192" s="14"/>
      <c r="N192" s="14"/>
      <c r="O192" s="14"/>
      <c r="P192" s="14"/>
      <c r="Q192" s="14"/>
      <c r="R192" s="14"/>
      <c r="S192" s="14"/>
      <c r="T192" s="14"/>
      <c r="U192" s="14"/>
      <c r="V192" s="14"/>
      <c r="W192" s="14"/>
    </row>
    <row r="193" spans="1:23" ht="24" hidden="1" customHeight="1">
      <c r="A193" s="36">
        <v>189</v>
      </c>
      <c r="B193" s="35"/>
      <c r="C193" s="35"/>
      <c r="D193" s="35"/>
      <c r="E193" s="35"/>
      <c r="F193" s="14"/>
      <c r="G193" s="14"/>
      <c r="H193" s="14"/>
      <c r="I193" s="14"/>
      <c r="J193" s="14"/>
      <c r="K193" s="14"/>
      <c r="L193" s="14"/>
      <c r="M193" s="14"/>
      <c r="N193" s="14"/>
      <c r="O193" s="14"/>
      <c r="P193" s="14"/>
      <c r="Q193" s="14"/>
      <c r="R193" s="14"/>
      <c r="S193" s="14"/>
      <c r="T193" s="14"/>
      <c r="U193" s="14"/>
      <c r="V193" s="14"/>
      <c r="W193" s="14"/>
    </row>
    <row r="194" spans="1:23" ht="24" hidden="1" customHeight="1">
      <c r="A194" s="36">
        <v>190</v>
      </c>
      <c r="B194" s="35"/>
      <c r="C194" s="35"/>
      <c r="D194" s="35"/>
      <c r="E194" s="35"/>
      <c r="F194" s="14"/>
      <c r="G194" s="14"/>
      <c r="H194" s="14"/>
      <c r="I194" s="14"/>
      <c r="J194" s="14"/>
      <c r="K194" s="14"/>
      <c r="L194" s="14"/>
      <c r="M194" s="14"/>
      <c r="N194" s="14"/>
      <c r="O194" s="14"/>
      <c r="P194" s="14"/>
      <c r="Q194" s="14"/>
      <c r="R194" s="14"/>
      <c r="S194" s="14"/>
      <c r="T194" s="14"/>
      <c r="U194" s="14"/>
      <c r="V194" s="14"/>
      <c r="W194" s="14"/>
    </row>
    <row r="195" spans="1:23" ht="24" hidden="1" customHeight="1">
      <c r="A195" s="36">
        <v>191</v>
      </c>
      <c r="B195" s="35"/>
      <c r="C195" s="35"/>
      <c r="D195" s="35"/>
      <c r="E195" s="35"/>
      <c r="F195" s="14"/>
      <c r="G195" s="14"/>
      <c r="H195" s="14"/>
      <c r="I195" s="14"/>
      <c r="J195" s="14"/>
      <c r="K195" s="14"/>
      <c r="L195" s="14"/>
      <c r="M195" s="14"/>
      <c r="N195" s="14"/>
      <c r="O195" s="14"/>
      <c r="P195" s="14"/>
      <c r="Q195" s="14"/>
      <c r="R195" s="14"/>
      <c r="S195" s="14"/>
      <c r="T195" s="14"/>
      <c r="U195" s="14"/>
      <c r="V195" s="14"/>
      <c r="W195" s="14"/>
    </row>
    <row r="196" spans="1:23" ht="24" hidden="1" customHeight="1">
      <c r="A196" s="36">
        <v>192</v>
      </c>
      <c r="B196" s="35"/>
      <c r="C196" s="35"/>
      <c r="D196" s="35"/>
      <c r="E196" s="35"/>
      <c r="F196" s="14"/>
      <c r="G196" s="14"/>
      <c r="H196" s="14"/>
      <c r="I196" s="14"/>
      <c r="J196" s="14"/>
      <c r="K196" s="14"/>
      <c r="L196" s="14"/>
      <c r="M196" s="14"/>
      <c r="N196" s="14"/>
      <c r="O196" s="14"/>
      <c r="P196" s="14"/>
      <c r="Q196" s="14"/>
      <c r="R196" s="14"/>
      <c r="S196" s="14"/>
      <c r="T196" s="14"/>
      <c r="U196" s="14"/>
      <c r="V196" s="14"/>
      <c r="W196" s="14"/>
    </row>
    <row r="197" spans="1:23" ht="24" hidden="1" customHeight="1">
      <c r="A197" s="36">
        <v>193</v>
      </c>
      <c r="B197" s="35"/>
      <c r="C197" s="35"/>
      <c r="D197" s="35"/>
      <c r="E197" s="35"/>
      <c r="F197" s="14"/>
      <c r="G197" s="14"/>
      <c r="H197" s="14"/>
      <c r="I197" s="14"/>
      <c r="J197" s="14"/>
      <c r="K197" s="14"/>
      <c r="L197" s="14"/>
      <c r="M197" s="14"/>
      <c r="N197" s="14"/>
      <c r="O197" s="14"/>
      <c r="P197" s="14"/>
      <c r="Q197" s="14"/>
      <c r="R197" s="14"/>
      <c r="S197" s="14"/>
      <c r="T197" s="14"/>
      <c r="U197" s="14"/>
      <c r="V197" s="14"/>
      <c r="W197" s="14"/>
    </row>
    <row r="198" spans="1:23" ht="24" hidden="1" customHeight="1">
      <c r="A198" s="36">
        <v>194</v>
      </c>
      <c r="B198" s="35"/>
      <c r="C198" s="35"/>
      <c r="D198" s="35"/>
      <c r="E198" s="35"/>
      <c r="F198" s="14"/>
      <c r="G198" s="14"/>
      <c r="H198" s="14"/>
      <c r="I198" s="14"/>
      <c r="J198" s="14"/>
      <c r="K198" s="14"/>
      <c r="L198" s="14"/>
      <c r="M198" s="14"/>
      <c r="N198" s="14"/>
      <c r="O198" s="14"/>
      <c r="P198" s="14"/>
      <c r="Q198" s="14"/>
      <c r="R198" s="14"/>
      <c r="S198" s="14"/>
      <c r="T198" s="14"/>
      <c r="U198" s="14"/>
      <c r="V198" s="14"/>
      <c r="W198" s="14"/>
    </row>
    <row r="199" spans="1:23" ht="24" hidden="1" customHeight="1">
      <c r="A199" s="36">
        <v>195</v>
      </c>
      <c r="B199" s="35"/>
      <c r="C199" s="35"/>
      <c r="D199" s="35"/>
      <c r="E199" s="35"/>
      <c r="F199" s="14"/>
      <c r="G199" s="14"/>
      <c r="H199" s="14"/>
      <c r="I199" s="14"/>
      <c r="J199" s="14"/>
      <c r="K199" s="14"/>
      <c r="L199" s="14"/>
      <c r="M199" s="14"/>
      <c r="N199" s="14"/>
      <c r="O199" s="14"/>
      <c r="P199" s="14"/>
      <c r="Q199" s="14"/>
      <c r="R199" s="14"/>
      <c r="S199" s="14"/>
      <c r="T199" s="14"/>
      <c r="U199" s="14"/>
      <c r="V199" s="14"/>
      <c r="W199" s="14"/>
    </row>
    <row r="200" spans="1:23" ht="24" hidden="1" customHeight="1">
      <c r="A200" s="36">
        <v>196</v>
      </c>
      <c r="B200" s="35"/>
      <c r="C200" s="35"/>
      <c r="D200" s="35"/>
      <c r="E200" s="35"/>
      <c r="F200" s="14"/>
      <c r="G200" s="14"/>
      <c r="H200" s="14"/>
      <c r="I200" s="14"/>
      <c r="J200" s="14"/>
      <c r="K200" s="14"/>
      <c r="L200" s="14"/>
      <c r="M200" s="14"/>
      <c r="N200" s="14"/>
      <c r="O200" s="14"/>
      <c r="P200" s="14"/>
      <c r="Q200" s="14"/>
      <c r="R200" s="14"/>
      <c r="S200" s="14"/>
      <c r="T200" s="14"/>
      <c r="U200" s="14"/>
      <c r="V200" s="14"/>
      <c r="W200" s="14"/>
    </row>
    <row r="201" spans="1:23" ht="24" hidden="1" customHeight="1">
      <c r="A201" s="36">
        <v>197</v>
      </c>
      <c r="B201" s="35"/>
      <c r="C201" s="35"/>
      <c r="D201" s="35"/>
      <c r="E201" s="35"/>
      <c r="F201" s="14"/>
      <c r="G201" s="14"/>
      <c r="H201" s="14"/>
      <c r="I201" s="14"/>
      <c r="J201" s="14"/>
      <c r="K201" s="14"/>
      <c r="L201" s="14"/>
      <c r="M201" s="14"/>
      <c r="N201" s="14"/>
      <c r="O201" s="14"/>
      <c r="P201" s="14"/>
      <c r="Q201" s="14"/>
      <c r="R201" s="14"/>
      <c r="S201" s="14"/>
      <c r="T201" s="14"/>
      <c r="U201" s="14"/>
      <c r="V201" s="14"/>
      <c r="W201" s="14"/>
    </row>
    <row r="202" spans="1:23" ht="24" hidden="1" customHeight="1">
      <c r="A202" s="36">
        <v>198</v>
      </c>
      <c r="B202" s="35"/>
      <c r="C202" s="35"/>
      <c r="D202" s="35"/>
      <c r="E202" s="35"/>
      <c r="F202" s="14"/>
      <c r="G202" s="14"/>
      <c r="H202" s="14"/>
      <c r="I202" s="14"/>
      <c r="J202" s="14"/>
      <c r="K202" s="14"/>
      <c r="L202" s="14"/>
      <c r="M202" s="14"/>
      <c r="N202" s="14"/>
      <c r="O202" s="14"/>
      <c r="P202" s="14"/>
      <c r="Q202" s="14"/>
      <c r="R202" s="14"/>
      <c r="S202" s="14"/>
      <c r="T202" s="14"/>
      <c r="U202" s="14"/>
      <c r="V202" s="14"/>
      <c r="W202" s="14"/>
    </row>
    <row r="203" spans="1:23" ht="24" hidden="1" customHeight="1">
      <c r="A203" s="36">
        <v>199</v>
      </c>
      <c r="B203" s="35"/>
      <c r="C203" s="35"/>
      <c r="D203" s="35"/>
      <c r="E203" s="35"/>
      <c r="F203" s="14"/>
      <c r="G203" s="14"/>
      <c r="H203" s="14"/>
      <c r="I203" s="14"/>
      <c r="J203" s="14"/>
      <c r="K203" s="14"/>
      <c r="L203" s="14"/>
      <c r="M203" s="14"/>
      <c r="N203" s="14"/>
      <c r="O203" s="14"/>
      <c r="P203" s="14"/>
      <c r="Q203" s="14"/>
      <c r="R203" s="14"/>
      <c r="S203" s="14"/>
      <c r="T203" s="14"/>
      <c r="U203" s="14"/>
      <c r="V203" s="14"/>
      <c r="W203" s="14"/>
    </row>
    <row r="204" spans="1:23" ht="24" hidden="1" customHeight="1">
      <c r="A204" s="36">
        <v>200</v>
      </c>
      <c r="B204" s="35"/>
      <c r="C204" s="35"/>
      <c r="D204" s="35"/>
      <c r="E204" s="35"/>
      <c r="F204" s="14"/>
      <c r="G204" s="14"/>
      <c r="H204" s="14"/>
      <c r="I204" s="14"/>
      <c r="J204" s="14"/>
      <c r="K204" s="14"/>
      <c r="L204" s="14"/>
      <c r="M204" s="14"/>
      <c r="N204" s="14"/>
      <c r="O204" s="14"/>
      <c r="P204" s="14"/>
      <c r="Q204" s="14"/>
      <c r="R204" s="14"/>
      <c r="S204" s="14"/>
      <c r="T204" s="14"/>
      <c r="U204" s="14"/>
      <c r="V204" s="14"/>
      <c r="W204" s="14"/>
    </row>
    <row r="205" spans="1:23" ht="24" hidden="1" customHeight="1">
      <c r="A205" s="36">
        <v>201</v>
      </c>
      <c r="B205" s="35"/>
      <c r="C205" s="35"/>
      <c r="D205" s="35"/>
      <c r="E205" s="35"/>
      <c r="F205" s="14"/>
      <c r="G205" s="14"/>
      <c r="H205" s="14"/>
      <c r="I205" s="14"/>
      <c r="J205" s="14"/>
      <c r="K205" s="14"/>
      <c r="L205" s="14"/>
      <c r="M205" s="14"/>
      <c r="N205" s="14"/>
      <c r="O205" s="14"/>
      <c r="P205" s="14"/>
      <c r="Q205" s="14"/>
      <c r="R205" s="14"/>
      <c r="S205" s="14"/>
      <c r="T205" s="14"/>
      <c r="U205" s="14"/>
      <c r="V205" s="14"/>
      <c r="W205" s="14"/>
    </row>
    <row r="206" spans="1:23" ht="24" hidden="1" customHeight="1">
      <c r="A206" s="36">
        <v>202</v>
      </c>
      <c r="B206" s="35"/>
      <c r="C206" s="35"/>
      <c r="D206" s="35"/>
      <c r="E206" s="35"/>
      <c r="F206" s="14"/>
      <c r="G206" s="14"/>
      <c r="H206" s="14"/>
      <c r="I206" s="14"/>
      <c r="J206" s="14"/>
      <c r="K206" s="14"/>
      <c r="L206" s="14"/>
      <c r="M206" s="14"/>
      <c r="N206" s="14"/>
      <c r="O206" s="14"/>
      <c r="P206" s="14"/>
      <c r="Q206" s="14"/>
      <c r="R206" s="14"/>
      <c r="S206" s="14"/>
      <c r="T206" s="14"/>
      <c r="U206" s="14"/>
      <c r="V206" s="14"/>
      <c r="W206" s="14"/>
    </row>
    <row r="207" spans="1:23" ht="24" hidden="1" customHeight="1">
      <c r="A207" s="36">
        <v>203</v>
      </c>
      <c r="B207" s="35"/>
      <c r="C207" s="35"/>
      <c r="D207" s="35"/>
      <c r="E207" s="35"/>
      <c r="F207" s="14"/>
      <c r="G207" s="14"/>
      <c r="H207" s="14"/>
      <c r="I207" s="14"/>
      <c r="J207" s="14"/>
      <c r="K207" s="14"/>
      <c r="L207" s="14"/>
      <c r="M207" s="14"/>
      <c r="N207" s="14"/>
      <c r="O207" s="14"/>
      <c r="P207" s="14"/>
      <c r="Q207" s="14"/>
      <c r="R207" s="14"/>
      <c r="S207" s="14"/>
      <c r="T207" s="14"/>
      <c r="U207" s="14"/>
      <c r="V207" s="14"/>
      <c r="W207" s="14"/>
    </row>
    <row r="208" spans="1:23" ht="24" hidden="1" customHeight="1">
      <c r="A208" s="36">
        <v>204</v>
      </c>
      <c r="B208" s="35"/>
      <c r="C208" s="35"/>
      <c r="D208" s="35"/>
      <c r="E208" s="35"/>
      <c r="F208" s="14"/>
      <c r="G208" s="14"/>
      <c r="H208" s="14"/>
      <c r="I208" s="14"/>
      <c r="J208" s="14"/>
      <c r="K208" s="14"/>
      <c r="L208" s="14"/>
      <c r="M208" s="14"/>
      <c r="N208" s="14"/>
      <c r="O208" s="14"/>
      <c r="P208" s="14"/>
      <c r="Q208" s="14"/>
      <c r="R208" s="14"/>
      <c r="S208" s="14"/>
      <c r="T208" s="14"/>
      <c r="U208" s="14"/>
      <c r="V208" s="14"/>
      <c r="W208" s="14"/>
    </row>
    <row r="209" spans="1:23" ht="24" hidden="1" customHeight="1">
      <c r="A209" s="36">
        <v>205</v>
      </c>
      <c r="B209" s="35"/>
      <c r="C209" s="35"/>
      <c r="D209" s="35"/>
      <c r="E209" s="35"/>
      <c r="F209" s="14"/>
      <c r="G209" s="14"/>
      <c r="H209" s="14"/>
      <c r="I209" s="14"/>
      <c r="J209" s="14"/>
      <c r="K209" s="14"/>
      <c r="L209" s="14"/>
      <c r="M209" s="14"/>
      <c r="N209" s="14"/>
      <c r="O209" s="14"/>
      <c r="P209" s="14"/>
      <c r="Q209" s="14"/>
      <c r="R209" s="14"/>
      <c r="S209" s="14"/>
      <c r="T209" s="14"/>
      <c r="U209" s="14"/>
      <c r="V209" s="14"/>
      <c r="W209" s="14"/>
    </row>
    <row r="210" spans="1:23" ht="24" hidden="1" customHeight="1">
      <c r="A210" s="36">
        <v>206</v>
      </c>
      <c r="B210" s="35"/>
      <c r="C210" s="35"/>
      <c r="D210" s="35"/>
      <c r="E210" s="35"/>
      <c r="F210" s="14"/>
      <c r="G210" s="14"/>
      <c r="H210" s="14"/>
      <c r="I210" s="14"/>
      <c r="J210" s="14"/>
      <c r="K210" s="14"/>
      <c r="L210" s="14"/>
      <c r="M210" s="14"/>
      <c r="N210" s="14"/>
      <c r="O210" s="14"/>
      <c r="P210" s="14"/>
      <c r="Q210" s="14"/>
      <c r="R210" s="14"/>
      <c r="S210" s="14"/>
      <c r="T210" s="14"/>
      <c r="U210" s="14"/>
      <c r="V210" s="14"/>
      <c r="W210" s="14"/>
    </row>
    <row r="211" spans="1:23" ht="24" hidden="1" customHeight="1">
      <c r="A211" s="36">
        <v>207</v>
      </c>
      <c r="B211" s="35"/>
      <c r="C211" s="35"/>
      <c r="D211" s="35"/>
      <c r="E211" s="35"/>
      <c r="F211" s="14"/>
      <c r="G211" s="14"/>
      <c r="H211" s="14"/>
      <c r="I211" s="14"/>
      <c r="J211" s="14"/>
      <c r="K211" s="14"/>
      <c r="L211" s="14"/>
      <c r="M211" s="14"/>
      <c r="N211" s="14"/>
      <c r="O211" s="14"/>
      <c r="P211" s="14"/>
      <c r="Q211" s="14"/>
      <c r="R211" s="14"/>
      <c r="S211" s="14"/>
      <c r="T211" s="14"/>
      <c r="U211" s="14"/>
      <c r="V211" s="14"/>
      <c r="W211" s="14"/>
    </row>
    <row r="212" spans="1:23" ht="24" hidden="1" customHeight="1">
      <c r="A212" s="36">
        <v>208</v>
      </c>
      <c r="B212" s="35"/>
      <c r="C212" s="35"/>
      <c r="D212" s="35"/>
      <c r="E212" s="35"/>
      <c r="F212" s="14"/>
      <c r="G212" s="14"/>
      <c r="H212" s="14"/>
      <c r="I212" s="14"/>
      <c r="J212" s="14"/>
      <c r="K212" s="14"/>
      <c r="L212" s="14"/>
      <c r="M212" s="14"/>
      <c r="N212" s="14"/>
      <c r="O212" s="14"/>
      <c r="P212" s="14"/>
      <c r="Q212" s="14"/>
      <c r="R212" s="14"/>
      <c r="S212" s="14"/>
      <c r="T212" s="14"/>
      <c r="U212" s="14"/>
      <c r="V212" s="14"/>
      <c r="W212" s="14"/>
    </row>
    <row r="213" spans="1:23" ht="24" hidden="1" customHeight="1">
      <c r="A213" s="36">
        <v>209</v>
      </c>
      <c r="B213" s="35"/>
      <c r="C213" s="35"/>
      <c r="D213" s="35"/>
      <c r="E213" s="35"/>
      <c r="F213" s="14"/>
      <c r="G213" s="14"/>
      <c r="H213" s="14"/>
      <c r="I213" s="14"/>
      <c r="J213" s="14"/>
      <c r="K213" s="14"/>
      <c r="L213" s="14"/>
      <c r="M213" s="14"/>
      <c r="N213" s="14"/>
      <c r="O213" s="14"/>
      <c r="P213" s="14"/>
      <c r="Q213" s="14"/>
      <c r="R213" s="14"/>
      <c r="S213" s="14"/>
      <c r="T213" s="14"/>
      <c r="U213" s="14"/>
      <c r="V213" s="14"/>
      <c r="W213" s="14"/>
    </row>
    <row r="214" spans="1:23" ht="24" hidden="1" customHeight="1">
      <c r="A214" s="36">
        <v>210</v>
      </c>
      <c r="B214" s="35"/>
      <c r="C214" s="35"/>
      <c r="D214" s="35"/>
      <c r="E214" s="35"/>
      <c r="F214" s="14"/>
      <c r="G214" s="14"/>
      <c r="H214" s="14"/>
      <c r="I214" s="14"/>
      <c r="J214" s="14"/>
      <c r="K214" s="14"/>
      <c r="L214" s="14"/>
      <c r="M214" s="14"/>
      <c r="N214" s="14"/>
      <c r="O214" s="14"/>
      <c r="P214" s="14"/>
      <c r="Q214" s="14"/>
      <c r="R214" s="14"/>
      <c r="S214" s="14"/>
      <c r="T214" s="14"/>
      <c r="U214" s="14"/>
      <c r="V214" s="14"/>
      <c r="W214" s="14"/>
    </row>
    <row r="215" spans="1:23" ht="24" hidden="1" customHeight="1">
      <c r="A215" s="36">
        <v>211</v>
      </c>
      <c r="B215" s="35"/>
      <c r="C215" s="35"/>
      <c r="D215" s="35"/>
      <c r="E215" s="35"/>
      <c r="F215" s="14"/>
      <c r="G215" s="14"/>
      <c r="H215" s="14"/>
      <c r="I215" s="14"/>
      <c r="J215" s="14"/>
      <c r="K215" s="14"/>
      <c r="L215" s="14"/>
      <c r="M215" s="14"/>
      <c r="N215" s="14"/>
      <c r="O215" s="14"/>
      <c r="P215" s="14"/>
      <c r="Q215" s="14"/>
      <c r="R215" s="14"/>
      <c r="S215" s="14"/>
      <c r="T215" s="14"/>
      <c r="U215" s="14"/>
      <c r="V215" s="14"/>
      <c r="W215" s="14"/>
    </row>
    <row r="216" spans="1:23" ht="24" hidden="1" customHeight="1">
      <c r="A216" s="36">
        <v>212</v>
      </c>
      <c r="B216" s="35"/>
      <c r="C216" s="35"/>
      <c r="D216" s="35"/>
      <c r="E216" s="35"/>
      <c r="F216" s="14"/>
      <c r="G216" s="14"/>
      <c r="H216" s="14"/>
      <c r="I216" s="14"/>
      <c r="J216" s="14"/>
      <c r="K216" s="14"/>
      <c r="L216" s="14"/>
      <c r="M216" s="14"/>
      <c r="N216" s="14"/>
      <c r="O216" s="14"/>
      <c r="P216" s="14"/>
      <c r="Q216" s="14"/>
      <c r="R216" s="14"/>
      <c r="S216" s="14"/>
      <c r="T216" s="14"/>
      <c r="U216" s="14"/>
      <c r="V216" s="14"/>
      <c r="W216" s="14"/>
    </row>
    <row r="217" spans="1:23" ht="24" hidden="1" customHeight="1">
      <c r="A217" s="36">
        <v>213</v>
      </c>
      <c r="B217" s="35"/>
      <c r="C217" s="35"/>
      <c r="D217" s="35"/>
      <c r="E217" s="35"/>
      <c r="F217" s="14"/>
      <c r="G217" s="14"/>
      <c r="H217" s="14"/>
      <c r="I217" s="14"/>
      <c r="J217" s="14"/>
      <c r="K217" s="14"/>
      <c r="L217" s="14"/>
      <c r="M217" s="14"/>
      <c r="N217" s="14"/>
      <c r="O217" s="14"/>
      <c r="P217" s="14"/>
      <c r="Q217" s="14"/>
      <c r="R217" s="14"/>
      <c r="S217" s="14"/>
      <c r="T217" s="14"/>
      <c r="U217" s="14"/>
      <c r="V217" s="14"/>
      <c r="W217" s="14"/>
    </row>
    <row r="218" spans="1:23" ht="24" hidden="1" customHeight="1">
      <c r="A218" s="36">
        <v>214</v>
      </c>
      <c r="B218" s="35"/>
      <c r="C218" s="35"/>
      <c r="D218" s="35"/>
      <c r="E218" s="35"/>
      <c r="F218" s="14"/>
      <c r="G218" s="14"/>
      <c r="H218" s="14"/>
      <c r="I218" s="14"/>
      <c r="J218" s="14"/>
      <c r="K218" s="14"/>
      <c r="L218" s="14"/>
      <c r="M218" s="14"/>
      <c r="N218" s="14"/>
      <c r="O218" s="14"/>
      <c r="P218" s="14"/>
      <c r="Q218" s="14"/>
      <c r="R218" s="14"/>
      <c r="S218" s="14"/>
      <c r="T218" s="14"/>
      <c r="U218" s="14"/>
      <c r="V218" s="14"/>
      <c r="W218" s="14"/>
    </row>
    <row r="219" spans="1:23" ht="24" hidden="1" customHeight="1">
      <c r="A219" s="36">
        <v>215</v>
      </c>
      <c r="B219" s="35"/>
      <c r="C219" s="35"/>
      <c r="D219" s="35"/>
      <c r="E219" s="35"/>
      <c r="F219" s="14"/>
      <c r="G219" s="14"/>
      <c r="H219" s="14"/>
      <c r="I219" s="14"/>
      <c r="J219" s="14"/>
      <c r="K219" s="14"/>
      <c r="L219" s="14"/>
      <c r="M219" s="14"/>
      <c r="N219" s="14"/>
      <c r="O219" s="14"/>
      <c r="P219" s="14"/>
      <c r="Q219" s="14"/>
      <c r="R219" s="14"/>
      <c r="S219" s="14"/>
      <c r="T219" s="14"/>
      <c r="U219" s="14"/>
      <c r="V219" s="14"/>
      <c r="W219" s="14"/>
    </row>
    <row r="220" spans="1:23" ht="24" hidden="1" customHeight="1">
      <c r="A220" s="36">
        <v>216</v>
      </c>
      <c r="B220" s="35"/>
      <c r="C220" s="35"/>
      <c r="D220" s="35"/>
      <c r="E220" s="35"/>
      <c r="F220" s="14"/>
      <c r="G220" s="14"/>
      <c r="H220" s="14"/>
      <c r="I220" s="14"/>
      <c r="J220" s="14"/>
      <c r="K220" s="14"/>
      <c r="L220" s="14"/>
      <c r="M220" s="14"/>
      <c r="N220" s="14"/>
      <c r="O220" s="14"/>
      <c r="P220" s="14"/>
      <c r="Q220" s="14"/>
      <c r="R220" s="14"/>
      <c r="S220" s="14"/>
      <c r="T220" s="14"/>
      <c r="U220" s="14"/>
      <c r="V220" s="14"/>
      <c r="W220" s="14"/>
    </row>
    <row r="221" spans="1:23" ht="24" hidden="1" customHeight="1">
      <c r="A221" s="36">
        <v>217</v>
      </c>
      <c r="B221" s="35"/>
      <c r="C221" s="35"/>
      <c r="D221" s="35"/>
      <c r="E221" s="35"/>
      <c r="F221" s="14"/>
      <c r="G221" s="14"/>
      <c r="H221" s="14"/>
      <c r="I221" s="14"/>
      <c r="J221" s="14"/>
      <c r="K221" s="14"/>
      <c r="L221" s="14"/>
      <c r="M221" s="14"/>
      <c r="N221" s="14"/>
      <c r="O221" s="14"/>
      <c r="P221" s="14"/>
      <c r="Q221" s="14"/>
      <c r="R221" s="14"/>
      <c r="S221" s="14"/>
      <c r="T221" s="14"/>
      <c r="U221" s="14"/>
      <c r="V221" s="14"/>
      <c r="W221" s="14"/>
    </row>
    <row r="222" spans="1:23" ht="24" hidden="1" customHeight="1">
      <c r="A222" s="36">
        <v>218</v>
      </c>
      <c r="B222" s="35"/>
      <c r="C222" s="35"/>
      <c r="D222" s="35"/>
      <c r="E222" s="35"/>
      <c r="F222" s="14"/>
      <c r="G222" s="14"/>
      <c r="H222" s="14"/>
      <c r="I222" s="14"/>
      <c r="J222" s="14"/>
      <c r="K222" s="14"/>
      <c r="L222" s="14"/>
      <c r="M222" s="14"/>
      <c r="N222" s="14"/>
      <c r="O222" s="14"/>
      <c r="P222" s="14"/>
      <c r="Q222" s="14"/>
      <c r="R222" s="14"/>
      <c r="S222" s="14"/>
      <c r="T222" s="14"/>
      <c r="U222" s="14"/>
      <c r="V222" s="14"/>
      <c r="W222" s="14"/>
    </row>
    <row r="223" spans="1:23" ht="24" hidden="1" customHeight="1">
      <c r="A223" s="36">
        <v>219</v>
      </c>
      <c r="B223" s="35"/>
      <c r="C223" s="35"/>
      <c r="D223" s="35"/>
      <c r="E223" s="35"/>
      <c r="F223" s="14"/>
      <c r="G223" s="14"/>
      <c r="H223" s="14"/>
      <c r="I223" s="14"/>
      <c r="J223" s="14"/>
      <c r="K223" s="14"/>
      <c r="L223" s="14"/>
      <c r="M223" s="14"/>
      <c r="N223" s="14"/>
      <c r="O223" s="14"/>
      <c r="P223" s="14"/>
      <c r="Q223" s="14"/>
      <c r="R223" s="14"/>
      <c r="S223" s="14"/>
      <c r="T223" s="14"/>
      <c r="U223" s="14"/>
      <c r="V223" s="14"/>
      <c r="W223" s="14"/>
    </row>
    <row r="224" spans="1:23" ht="24" hidden="1" customHeight="1">
      <c r="A224" s="36">
        <v>220</v>
      </c>
      <c r="B224" s="35"/>
      <c r="C224" s="35"/>
      <c r="D224" s="35"/>
      <c r="E224" s="35"/>
      <c r="F224" s="14"/>
      <c r="G224" s="14"/>
      <c r="H224" s="14"/>
      <c r="I224" s="14"/>
      <c r="J224" s="14"/>
      <c r="K224" s="14"/>
      <c r="L224" s="14"/>
      <c r="M224" s="14"/>
      <c r="N224" s="14"/>
      <c r="O224" s="14"/>
      <c r="P224" s="14"/>
      <c r="Q224" s="14"/>
      <c r="R224" s="14"/>
      <c r="S224" s="14"/>
      <c r="T224" s="14"/>
      <c r="U224" s="14"/>
      <c r="V224" s="14"/>
      <c r="W224" s="14"/>
    </row>
    <row r="225" spans="1:23" ht="24" hidden="1" customHeight="1">
      <c r="A225" s="36">
        <v>221</v>
      </c>
      <c r="B225" s="35"/>
      <c r="C225" s="35"/>
      <c r="D225" s="35"/>
      <c r="E225" s="35"/>
      <c r="F225" s="14"/>
      <c r="G225" s="14"/>
      <c r="H225" s="14"/>
      <c r="I225" s="14"/>
      <c r="J225" s="14"/>
      <c r="K225" s="14"/>
      <c r="L225" s="14"/>
      <c r="M225" s="14"/>
      <c r="N225" s="14"/>
      <c r="O225" s="14"/>
      <c r="P225" s="14"/>
      <c r="Q225" s="14"/>
      <c r="R225" s="14"/>
      <c r="S225" s="14"/>
      <c r="T225" s="14"/>
      <c r="U225" s="14"/>
      <c r="V225" s="14"/>
      <c r="W225" s="14"/>
    </row>
    <row r="226" spans="1:23" ht="24" hidden="1" customHeight="1">
      <c r="A226" s="36">
        <v>222</v>
      </c>
      <c r="B226" s="35"/>
      <c r="C226" s="35"/>
      <c r="D226" s="35"/>
      <c r="E226" s="35"/>
      <c r="F226" s="14"/>
      <c r="G226" s="14"/>
      <c r="H226" s="14"/>
      <c r="I226" s="14"/>
      <c r="J226" s="14"/>
      <c r="K226" s="14"/>
      <c r="L226" s="14"/>
      <c r="M226" s="14"/>
      <c r="N226" s="14"/>
      <c r="O226" s="14"/>
      <c r="P226" s="14"/>
      <c r="Q226" s="14"/>
      <c r="R226" s="14"/>
      <c r="S226" s="14"/>
      <c r="T226" s="14"/>
      <c r="U226" s="14"/>
      <c r="V226" s="14"/>
      <c r="W226" s="14"/>
    </row>
    <row r="227" spans="1:23" ht="24" hidden="1" customHeight="1">
      <c r="A227" s="36">
        <v>223</v>
      </c>
      <c r="B227" s="35"/>
      <c r="C227" s="35"/>
      <c r="D227" s="35"/>
      <c r="E227" s="35"/>
      <c r="F227" s="14"/>
      <c r="G227" s="14"/>
      <c r="H227" s="14"/>
      <c r="I227" s="14"/>
      <c r="J227" s="14"/>
      <c r="K227" s="14"/>
      <c r="L227" s="14"/>
      <c r="M227" s="14"/>
      <c r="N227" s="14"/>
      <c r="O227" s="14"/>
      <c r="P227" s="14"/>
      <c r="Q227" s="14"/>
      <c r="R227" s="14"/>
      <c r="S227" s="14"/>
      <c r="T227" s="14"/>
      <c r="U227" s="14"/>
      <c r="V227" s="14"/>
      <c r="W227" s="14"/>
    </row>
    <row r="228" spans="1:23" ht="24" hidden="1" customHeight="1">
      <c r="A228" s="36">
        <v>224</v>
      </c>
      <c r="B228" s="35"/>
      <c r="C228" s="35"/>
      <c r="D228" s="35"/>
      <c r="E228" s="35"/>
      <c r="F228" s="14"/>
      <c r="G228" s="14"/>
      <c r="H228" s="14"/>
      <c r="I228" s="14"/>
      <c r="J228" s="14"/>
      <c r="K228" s="14"/>
      <c r="L228" s="14"/>
      <c r="M228" s="14"/>
      <c r="N228" s="14"/>
      <c r="O228" s="14"/>
      <c r="P228" s="14"/>
      <c r="Q228" s="14"/>
      <c r="R228" s="14"/>
      <c r="S228" s="14"/>
      <c r="T228" s="14"/>
      <c r="U228" s="14"/>
      <c r="V228" s="14"/>
      <c r="W228" s="14"/>
    </row>
    <row r="229" spans="1:23" ht="24" hidden="1" customHeight="1">
      <c r="A229" s="36">
        <v>225</v>
      </c>
      <c r="B229" s="35"/>
      <c r="C229" s="35"/>
      <c r="D229" s="35"/>
      <c r="E229" s="35"/>
      <c r="F229" s="14"/>
      <c r="G229" s="14"/>
      <c r="H229" s="14"/>
      <c r="I229" s="14"/>
      <c r="J229" s="14"/>
      <c r="K229" s="14"/>
      <c r="L229" s="14"/>
      <c r="M229" s="14"/>
      <c r="N229" s="14"/>
      <c r="O229" s="14"/>
      <c r="P229" s="14"/>
      <c r="Q229" s="14"/>
      <c r="R229" s="14"/>
      <c r="S229" s="14"/>
      <c r="T229" s="14"/>
      <c r="U229" s="14"/>
      <c r="V229" s="14"/>
      <c r="W229" s="14"/>
    </row>
    <row r="230" spans="1:23" ht="24" hidden="1" customHeight="1">
      <c r="A230" s="36">
        <v>226</v>
      </c>
      <c r="B230" s="35"/>
      <c r="C230" s="35"/>
      <c r="D230" s="35"/>
      <c r="E230" s="35"/>
      <c r="F230" s="14"/>
      <c r="G230" s="14"/>
      <c r="H230" s="14"/>
      <c r="I230" s="14"/>
      <c r="J230" s="14"/>
      <c r="K230" s="14"/>
      <c r="L230" s="14"/>
      <c r="M230" s="14"/>
      <c r="N230" s="14"/>
      <c r="O230" s="14"/>
      <c r="P230" s="14"/>
      <c r="Q230" s="14"/>
      <c r="R230" s="14"/>
      <c r="S230" s="14"/>
      <c r="T230" s="14"/>
      <c r="U230" s="14"/>
      <c r="V230" s="14"/>
      <c r="W230" s="14"/>
    </row>
    <row r="231" spans="1:23" ht="24" hidden="1" customHeight="1">
      <c r="A231" s="36">
        <v>227</v>
      </c>
      <c r="B231" s="35"/>
      <c r="C231" s="35"/>
      <c r="D231" s="35"/>
      <c r="E231" s="35"/>
      <c r="F231" s="14"/>
      <c r="G231" s="14"/>
      <c r="H231" s="14"/>
      <c r="I231" s="14"/>
      <c r="J231" s="14"/>
      <c r="K231" s="14"/>
      <c r="L231" s="14"/>
      <c r="M231" s="14"/>
      <c r="N231" s="14"/>
      <c r="O231" s="14"/>
      <c r="P231" s="14"/>
      <c r="Q231" s="14"/>
      <c r="R231" s="14"/>
      <c r="S231" s="14"/>
      <c r="T231" s="14"/>
      <c r="U231" s="14"/>
      <c r="V231" s="14"/>
      <c r="W231" s="14"/>
    </row>
    <row r="232" spans="1:23" ht="24" hidden="1" customHeight="1">
      <c r="A232" s="36">
        <v>228</v>
      </c>
      <c r="B232" s="35"/>
      <c r="C232" s="35"/>
      <c r="D232" s="35"/>
      <c r="E232" s="35"/>
      <c r="F232" s="14"/>
      <c r="G232" s="14"/>
      <c r="H232" s="14"/>
      <c r="I232" s="14"/>
      <c r="J232" s="14"/>
      <c r="K232" s="14"/>
      <c r="L232" s="14"/>
      <c r="M232" s="14"/>
      <c r="N232" s="14"/>
      <c r="O232" s="14"/>
      <c r="P232" s="14"/>
      <c r="Q232" s="14"/>
      <c r="R232" s="14"/>
      <c r="S232" s="14"/>
      <c r="T232" s="14"/>
      <c r="U232" s="14"/>
      <c r="V232" s="14"/>
      <c r="W232" s="14"/>
    </row>
    <row r="233" spans="1:23" ht="24" hidden="1" customHeight="1">
      <c r="A233" s="36">
        <v>229</v>
      </c>
      <c r="B233" s="35"/>
      <c r="C233" s="35"/>
      <c r="D233" s="35"/>
      <c r="E233" s="35"/>
      <c r="F233" s="14"/>
      <c r="G233" s="14"/>
      <c r="H233" s="14"/>
      <c r="I233" s="14"/>
      <c r="J233" s="14"/>
      <c r="K233" s="14"/>
      <c r="L233" s="14"/>
      <c r="M233" s="14"/>
      <c r="N233" s="14"/>
      <c r="O233" s="14"/>
      <c r="P233" s="14"/>
      <c r="Q233" s="14"/>
      <c r="R233" s="14"/>
      <c r="S233" s="14"/>
      <c r="T233" s="14"/>
      <c r="U233" s="14"/>
      <c r="V233" s="14"/>
      <c r="W233" s="14"/>
    </row>
    <row r="234" spans="1:23" ht="24" hidden="1" customHeight="1">
      <c r="A234" s="36">
        <v>230</v>
      </c>
      <c r="B234" s="35"/>
      <c r="C234" s="35"/>
      <c r="D234" s="35"/>
      <c r="E234" s="35"/>
      <c r="F234" s="14"/>
      <c r="G234" s="14"/>
      <c r="H234" s="14"/>
      <c r="I234" s="14"/>
      <c r="J234" s="14"/>
      <c r="K234" s="14"/>
      <c r="L234" s="14"/>
      <c r="M234" s="14"/>
      <c r="N234" s="14"/>
      <c r="O234" s="14"/>
      <c r="P234" s="14"/>
      <c r="Q234" s="14"/>
      <c r="R234" s="14"/>
      <c r="S234" s="14"/>
      <c r="T234" s="14"/>
      <c r="U234" s="14"/>
      <c r="V234" s="14"/>
      <c r="W234" s="14"/>
    </row>
    <row r="235" spans="1:23" ht="24" hidden="1" customHeight="1">
      <c r="A235" s="36">
        <v>231</v>
      </c>
      <c r="B235" s="35"/>
      <c r="C235" s="35"/>
      <c r="D235" s="35"/>
      <c r="E235" s="35"/>
      <c r="F235" s="14"/>
      <c r="G235" s="14"/>
      <c r="H235" s="14"/>
      <c r="I235" s="14"/>
      <c r="J235" s="14"/>
      <c r="K235" s="14"/>
      <c r="L235" s="14"/>
      <c r="M235" s="14"/>
      <c r="N235" s="14"/>
      <c r="O235" s="14"/>
      <c r="P235" s="14"/>
      <c r="Q235" s="14"/>
      <c r="R235" s="14"/>
      <c r="S235" s="14"/>
      <c r="T235" s="14"/>
      <c r="U235" s="14"/>
      <c r="V235" s="14"/>
      <c r="W235" s="14"/>
    </row>
    <row r="236" spans="1:23" ht="24" hidden="1" customHeight="1">
      <c r="A236" s="36">
        <v>232</v>
      </c>
      <c r="B236" s="35"/>
      <c r="C236" s="35"/>
      <c r="D236" s="35"/>
      <c r="E236" s="35"/>
      <c r="F236" s="14"/>
      <c r="G236" s="14"/>
      <c r="H236" s="14"/>
      <c r="I236" s="14"/>
      <c r="J236" s="14"/>
      <c r="K236" s="14"/>
      <c r="L236" s="14"/>
      <c r="M236" s="14"/>
      <c r="N236" s="14"/>
      <c r="O236" s="14"/>
      <c r="P236" s="14"/>
      <c r="Q236" s="14"/>
      <c r="R236" s="14"/>
      <c r="S236" s="14"/>
      <c r="T236" s="14"/>
      <c r="U236" s="14"/>
      <c r="V236" s="14"/>
      <c r="W236" s="14"/>
    </row>
    <row r="237" spans="1:23" ht="24" hidden="1" customHeight="1">
      <c r="A237" s="36">
        <v>233</v>
      </c>
      <c r="B237" s="35"/>
      <c r="C237" s="35"/>
      <c r="D237" s="35"/>
      <c r="E237" s="35"/>
      <c r="F237" s="14"/>
      <c r="G237" s="14"/>
      <c r="H237" s="14"/>
      <c r="I237" s="14"/>
      <c r="J237" s="14"/>
      <c r="K237" s="14"/>
      <c r="L237" s="14"/>
      <c r="M237" s="14"/>
      <c r="N237" s="14"/>
      <c r="O237" s="14"/>
      <c r="P237" s="14"/>
      <c r="Q237" s="14"/>
      <c r="R237" s="14"/>
      <c r="S237" s="14"/>
      <c r="T237" s="14"/>
      <c r="U237" s="14"/>
      <c r="V237" s="14"/>
      <c r="W237" s="14"/>
    </row>
    <row r="238" spans="1:23" ht="24" hidden="1" customHeight="1">
      <c r="A238" s="36">
        <v>234</v>
      </c>
      <c r="B238" s="35"/>
      <c r="C238" s="35"/>
      <c r="D238" s="35"/>
      <c r="E238" s="35"/>
      <c r="F238" s="14"/>
      <c r="G238" s="14"/>
      <c r="H238" s="14"/>
      <c r="I238" s="14"/>
      <c r="J238" s="14"/>
      <c r="K238" s="14"/>
      <c r="L238" s="14"/>
      <c r="M238" s="14"/>
      <c r="N238" s="14"/>
      <c r="O238" s="14"/>
      <c r="P238" s="14"/>
      <c r="Q238" s="14"/>
      <c r="R238" s="14"/>
      <c r="S238" s="14"/>
      <c r="T238" s="14"/>
      <c r="U238" s="14"/>
      <c r="V238" s="14"/>
      <c r="W238" s="14"/>
    </row>
    <row r="239" spans="1:23" ht="24" hidden="1" customHeight="1">
      <c r="A239" s="36">
        <v>235</v>
      </c>
      <c r="B239" s="35"/>
      <c r="C239" s="35"/>
      <c r="D239" s="35"/>
      <c r="E239" s="35"/>
      <c r="F239" s="14"/>
      <c r="G239" s="14"/>
      <c r="H239" s="14"/>
      <c r="I239" s="14"/>
      <c r="J239" s="14"/>
      <c r="K239" s="14"/>
      <c r="L239" s="14"/>
      <c r="M239" s="14"/>
      <c r="N239" s="14"/>
      <c r="O239" s="14"/>
      <c r="P239" s="14"/>
      <c r="Q239" s="14"/>
      <c r="R239" s="14"/>
      <c r="S239" s="14"/>
      <c r="T239" s="14"/>
      <c r="U239" s="14"/>
      <c r="V239" s="14"/>
      <c r="W239" s="14"/>
    </row>
    <row r="240" spans="1:23" ht="24" hidden="1" customHeight="1">
      <c r="A240" s="36">
        <v>236</v>
      </c>
      <c r="B240" s="35"/>
      <c r="C240" s="35"/>
      <c r="D240" s="35"/>
      <c r="E240" s="35"/>
      <c r="F240" s="14"/>
      <c r="G240" s="14"/>
      <c r="H240" s="14"/>
      <c r="I240" s="14"/>
      <c r="J240" s="14"/>
      <c r="K240" s="14"/>
      <c r="L240" s="14"/>
      <c r="M240" s="14"/>
      <c r="N240" s="14"/>
      <c r="O240" s="14"/>
      <c r="P240" s="14"/>
      <c r="Q240" s="14"/>
      <c r="R240" s="14"/>
      <c r="S240" s="14"/>
      <c r="T240" s="14"/>
      <c r="U240" s="14"/>
      <c r="V240" s="14"/>
      <c r="W240" s="14"/>
    </row>
    <row r="241" spans="1:23" ht="24" hidden="1" customHeight="1">
      <c r="A241" s="36">
        <v>237</v>
      </c>
      <c r="B241" s="35"/>
      <c r="C241" s="35"/>
      <c r="D241" s="35"/>
      <c r="E241" s="35"/>
      <c r="F241" s="14"/>
      <c r="G241" s="14"/>
      <c r="H241" s="14"/>
      <c r="I241" s="14"/>
      <c r="J241" s="14"/>
      <c r="K241" s="14"/>
      <c r="L241" s="14"/>
      <c r="M241" s="14"/>
      <c r="N241" s="14"/>
      <c r="O241" s="14"/>
      <c r="P241" s="14"/>
      <c r="Q241" s="14"/>
      <c r="R241" s="14"/>
      <c r="S241" s="14"/>
      <c r="T241" s="14"/>
      <c r="U241" s="14"/>
      <c r="V241" s="14"/>
      <c r="W241" s="14"/>
    </row>
    <row r="242" spans="1:23" ht="24" hidden="1" customHeight="1">
      <c r="A242" s="36">
        <v>238</v>
      </c>
      <c r="B242" s="35"/>
      <c r="C242" s="35"/>
      <c r="D242" s="35"/>
      <c r="E242" s="35"/>
      <c r="F242" s="14"/>
      <c r="G242" s="14"/>
      <c r="H242" s="14"/>
      <c r="I242" s="14"/>
      <c r="J242" s="14"/>
      <c r="K242" s="14"/>
      <c r="L242" s="14"/>
      <c r="M242" s="14"/>
      <c r="N242" s="14"/>
      <c r="O242" s="14"/>
      <c r="P242" s="14"/>
      <c r="Q242" s="14"/>
      <c r="R242" s="14"/>
      <c r="S242" s="14"/>
      <c r="T242" s="14"/>
      <c r="U242" s="14"/>
      <c r="V242" s="14"/>
      <c r="W242" s="14"/>
    </row>
    <row r="243" spans="1:23" ht="24" hidden="1" customHeight="1">
      <c r="A243" s="36">
        <v>239</v>
      </c>
      <c r="B243" s="35"/>
      <c r="C243" s="35"/>
      <c r="D243" s="35"/>
      <c r="E243" s="35"/>
      <c r="F243" s="14"/>
      <c r="G243" s="14"/>
      <c r="H243" s="14"/>
      <c r="I243" s="14"/>
      <c r="J243" s="14"/>
      <c r="K243" s="14"/>
      <c r="L243" s="14"/>
      <c r="M243" s="14"/>
      <c r="N243" s="14"/>
      <c r="O243" s="14"/>
      <c r="P243" s="14"/>
      <c r="Q243" s="14"/>
      <c r="R243" s="14"/>
      <c r="S243" s="14"/>
      <c r="T243" s="14"/>
      <c r="U243" s="14"/>
      <c r="V243" s="14"/>
      <c r="W243" s="14"/>
    </row>
    <row r="244" spans="1:23" ht="24" hidden="1" customHeight="1">
      <c r="A244" s="36">
        <v>240</v>
      </c>
      <c r="B244" s="35"/>
      <c r="C244" s="35"/>
      <c r="D244" s="35"/>
      <c r="E244" s="35"/>
      <c r="F244" s="14"/>
      <c r="G244" s="14"/>
      <c r="H244" s="14"/>
      <c r="I244" s="14"/>
      <c r="J244" s="14"/>
      <c r="K244" s="14"/>
      <c r="L244" s="14"/>
      <c r="M244" s="14"/>
      <c r="N244" s="14"/>
      <c r="O244" s="14"/>
      <c r="P244" s="14"/>
      <c r="Q244" s="14"/>
      <c r="R244" s="14"/>
      <c r="S244" s="14"/>
      <c r="T244" s="14"/>
      <c r="U244" s="14"/>
      <c r="V244" s="14"/>
      <c r="W244" s="14"/>
    </row>
    <row r="245" spans="1:23" ht="24" hidden="1" customHeight="1">
      <c r="A245" s="36">
        <v>241</v>
      </c>
      <c r="B245" s="35"/>
      <c r="C245" s="35"/>
      <c r="D245" s="35"/>
      <c r="E245" s="35"/>
      <c r="F245" s="14"/>
      <c r="G245" s="14"/>
      <c r="H245" s="14"/>
      <c r="I245" s="14"/>
      <c r="J245" s="14"/>
      <c r="K245" s="14"/>
      <c r="L245" s="14"/>
      <c r="M245" s="14"/>
      <c r="N245" s="14"/>
      <c r="O245" s="14"/>
      <c r="P245" s="14"/>
      <c r="Q245" s="14"/>
      <c r="R245" s="14"/>
      <c r="S245" s="14"/>
      <c r="T245" s="14"/>
      <c r="U245" s="14"/>
      <c r="V245" s="14"/>
      <c r="W245" s="14"/>
    </row>
    <row r="246" spans="1:23" ht="24" hidden="1" customHeight="1">
      <c r="A246" s="36">
        <v>242</v>
      </c>
      <c r="B246" s="35"/>
      <c r="C246" s="35"/>
      <c r="D246" s="35"/>
      <c r="E246" s="35"/>
      <c r="F246" s="14"/>
      <c r="G246" s="14"/>
      <c r="H246" s="14"/>
      <c r="I246" s="14"/>
      <c r="J246" s="14"/>
      <c r="K246" s="14"/>
      <c r="L246" s="14"/>
      <c r="M246" s="14"/>
      <c r="N246" s="14"/>
      <c r="O246" s="14"/>
      <c r="P246" s="14"/>
      <c r="Q246" s="14"/>
      <c r="R246" s="14"/>
      <c r="S246" s="14"/>
      <c r="T246" s="14"/>
      <c r="U246" s="14"/>
      <c r="V246" s="14"/>
      <c r="W246" s="14"/>
    </row>
    <row r="247" spans="1:23" ht="24" hidden="1" customHeight="1">
      <c r="A247" s="36">
        <v>243</v>
      </c>
      <c r="B247" s="35"/>
      <c r="C247" s="35"/>
      <c r="D247" s="35"/>
      <c r="E247" s="35"/>
      <c r="F247" s="14"/>
      <c r="G247" s="14"/>
      <c r="H247" s="14"/>
      <c r="I247" s="14"/>
      <c r="J247" s="14"/>
      <c r="K247" s="14"/>
      <c r="L247" s="14"/>
      <c r="M247" s="14"/>
      <c r="N247" s="14"/>
      <c r="O247" s="14"/>
      <c r="P247" s="14"/>
      <c r="Q247" s="14"/>
      <c r="R247" s="14"/>
      <c r="S247" s="14"/>
      <c r="T247" s="14"/>
      <c r="U247" s="14"/>
      <c r="V247" s="14"/>
      <c r="W247" s="14"/>
    </row>
    <row r="248" spans="1:23" ht="24" hidden="1" customHeight="1">
      <c r="A248" s="36">
        <v>244</v>
      </c>
      <c r="B248" s="35"/>
      <c r="C248" s="35"/>
      <c r="D248" s="35"/>
      <c r="E248" s="35"/>
      <c r="F248" s="14"/>
      <c r="G248" s="14"/>
      <c r="H248" s="14"/>
      <c r="I248" s="14"/>
      <c r="J248" s="14"/>
      <c r="K248" s="14"/>
      <c r="L248" s="14"/>
      <c r="M248" s="14"/>
      <c r="N248" s="14"/>
      <c r="O248" s="14"/>
      <c r="P248" s="14"/>
      <c r="Q248" s="14"/>
      <c r="R248" s="14"/>
      <c r="S248" s="14"/>
      <c r="T248" s="14"/>
      <c r="U248" s="14"/>
      <c r="V248" s="14"/>
      <c r="W248" s="14"/>
    </row>
    <row r="249" spans="1:23" ht="24" hidden="1" customHeight="1">
      <c r="A249" s="36">
        <v>245</v>
      </c>
      <c r="B249" s="35"/>
      <c r="C249" s="35"/>
      <c r="D249" s="35"/>
      <c r="E249" s="35"/>
      <c r="F249" s="14"/>
      <c r="G249" s="14"/>
      <c r="H249" s="14"/>
      <c r="I249" s="14"/>
      <c r="J249" s="14"/>
      <c r="K249" s="14"/>
      <c r="L249" s="14"/>
      <c r="M249" s="14"/>
      <c r="N249" s="14"/>
      <c r="O249" s="14"/>
      <c r="P249" s="14"/>
      <c r="Q249" s="14"/>
      <c r="R249" s="14"/>
      <c r="S249" s="14"/>
      <c r="T249" s="14"/>
      <c r="U249" s="14"/>
      <c r="V249" s="14"/>
      <c r="W249" s="14"/>
    </row>
    <row r="250" spans="1:23" ht="24" hidden="1" customHeight="1">
      <c r="A250" s="36">
        <v>246</v>
      </c>
      <c r="B250" s="35"/>
      <c r="C250" s="35"/>
      <c r="D250" s="35"/>
      <c r="E250" s="35"/>
      <c r="F250" s="14"/>
      <c r="G250" s="14"/>
      <c r="H250" s="14"/>
      <c r="I250" s="14"/>
      <c r="J250" s="14"/>
      <c r="K250" s="14"/>
      <c r="L250" s="14"/>
      <c r="M250" s="14"/>
      <c r="N250" s="14"/>
      <c r="O250" s="14"/>
      <c r="P250" s="14"/>
      <c r="Q250" s="14"/>
      <c r="R250" s="14"/>
      <c r="S250" s="14"/>
      <c r="T250" s="14"/>
      <c r="U250" s="14"/>
      <c r="V250" s="14"/>
      <c r="W250" s="14"/>
    </row>
    <row r="251" spans="1:23" ht="24" hidden="1" customHeight="1">
      <c r="A251" s="36">
        <v>247</v>
      </c>
      <c r="B251" s="35"/>
      <c r="C251" s="35"/>
      <c r="D251" s="35"/>
      <c r="E251" s="35"/>
      <c r="F251" s="14"/>
      <c r="G251" s="14"/>
      <c r="H251" s="14"/>
      <c r="I251" s="14"/>
      <c r="J251" s="14"/>
      <c r="K251" s="14"/>
      <c r="L251" s="14"/>
      <c r="M251" s="14"/>
      <c r="N251" s="14"/>
      <c r="O251" s="14"/>
      <c r="P251" s="14"/>
      <c r="Q251" s="14"/>
      <c r="R251" s="14"/>
      <c r="S251" s="14"/>
      <c r="T251" s="14"/>
      <c r="U251" s="14"/>
      <c r="V251" s="14"/>
      <c r="W251" s="14"/>
    </row>
    <row r="252" spans="1:23" ht="24" hidden="1" customHeight="1">
      <c r="A252" s="36">
        <v>248</v>
      </c>
      <c r="B252" s="35"/>
      <c r="C252" s="35"/>
      <c r="D252" s="35"/>
      <c r="E252" s="35"/>
      <c r="F252" s="14"/>
      <c r="G252" s="14"/>
      <c r="H252" s="14"/>
      <c r="I252" s="14"/>
      <c r="J252" s="14"/>
      <c r="K252" s="14"/>
      <c r="L252" s="14"/>
      <c r="M252" s="14"/>
      <c r="N252" s="14"/>
      <c r="O252" s="14"/>
      <c r="P252" s="14"/>
      <c r="Q252" s="14"/>
      <c r="R252" s="14"/>
      <c r="S252" s="14"/>
      <c r="T252" s="14"/>
      <c r="U252" s="14"/>
      <c r="V252" s="14"/>
      <c r="W252" s="14"/>
    </row>
    <row r="253" spans="1:23" ht="24" hidden="1" customHeight="1">
      <c r="A253" s="36">
        <v>249</v>
      </c>
      <c r="B253" s="35"/>
      <c r="C253" s="35"/>
      <c r="D253" s="35"/>
      <c r="E253" s="35"/>
      <c r="F253" s="14"/>
      <c r="G253" s="14"/>
      <c r="H253" s="14"/>
      <c r="I253" s="14"/>
      <c r="J253" s="14"/>
      <c r="K253" s="14"/>
      <c r="L253" s="14"/>
      <c r="M253" s="14"/>
      <c r="N253" s="14"/>
      <c r="O253" s="14"/>
      <c r="P253" s="14"/>
      <c r="Q253" s="14"/>
      <c r="R253" s="14"/>
      <c r="S253" s="14"/>
      <c r="T253" s="14"/>
      <c r="U253" s="14"/>
      <c r="V253" s="14"/>
      <c r="W253" s="14"/>
    </row>
    <row r="254" spans="1:23" ht="24" hidden="1" customHeight="1">
      <c r="A254" s="36">
        <v>250</v>
      </c>
      <c r="B254" s="35"/>
      <c r="C254" s="35"/>
      <c r="D254" s="35"/>
      <c r="E254" s="35"/>
      <c r="F254" s="14"/>
      <c r="G254" s="14"/>
      <c r="H254" s="14"/>
      <c r="I254" s="14"/>
      <c r="J254" s="14"/>
      <c r="K254" s="14"/>
      <c r="L254" s="14"/>
      <c r="M254" s="14"/>
      <c r="N254" s="14"/>
      <c r="O254" s="14"/>
      <c r="P254" s="14"/>
      <c r="Q254" s="14"/>
      <c r="R254" s="14"/>
      <c r="S254" s="14"/>
      <c r="T254" s="14"/>
      <c r="U254" s="14"/>
      <c r="V254" s="14"/>
      <c r="W254" s="14"/>
    </row>
    <row r="255" spans="1:23" ht="24" hidden="1" customHeight="1">
      <c r="A255" s="36">
        <v>251</v>
      </c>
      <c r="B255" s="35"/>
      <c r="C255" s="35"/>
      <c r="D255" s="35"/>
      <c r="E255" s="35"/>
      <c r="F255" s="14"/>
      <c r="G255" s="14"/>
      <c r="H255" s="14"/>
      <c r="I255" s="14"/>
      <c r="J255" s="14"/>
      <c r="K255" s="14"/>
      <c r="L255" s="14"/>
      <c r="M255" s="14"/>
      <c r="N255" s="14"/>
      <c r="O255" s="14"/>
      <c r="P255" s="14"/>
      <c r="Q255" s="14"/>
      <c r="R255" s="14"/>
      <c r="S255" s="14"/>
      <c r="T255" s="14"/>
      <c r="U255" s="14"/>
      <c r="V255" s="14"/>
      <c r="W255" s="14"/>
    </row>
    <row r="256" spans="1:23" ht="24" hidden="1" customHeight="1">
      <c r="A256" s="36">
        <v>252</v>
      </c>
      <c r="B256" s="35"/>
      <c r="C256" s="35"/>
      <c r="D256" s="35"/>
      <c r="E256" s="35"/>
      <c r="F256" s="14"/>
      <c r="G256" s="14"/>
      <c r="H256" s="14"/>
      <c r="I256" s="14"/>
      <c r="J256" s="14"/>
      <c r="K256" s="14"/>
      <c r="L256" s="14"/>
      <c r="M256" s="14"/>
      <c r="N256" s="14"/>
      <c r="O256" s="14"/>
      <c r="P256" s="14"/>
      <c r="Q256" s="14"/>
      <c r="R256" s="14"/>
      <c r="S256" s="14"/>
      <c r="T256" s="14"/>
      <c r="U256" s="14"/>
      <c r="V256" s="14"/>
      <c r="W256" s="14"/>
    </row>
    <row r="257" spans="1:23" ht="24" hidden="1" customHeight="1">
      <c r="A257" s="36">
        <v>253</v>
      </c>
      <c r="B257" s="35"/>
      <c r="C257" s="35"/>
      <c r="D257" s="35"/>
      <c r="E257" s="35"/>
      <c r="F257" s="14"/>
      <c r="G257" s="14"/>
      <c r="H257" s="14"/>
      <c r="I257" s="14"/>
      <c r="J257" s="14"/>
      <c r="K257" s="14"/>
      <c r="L257" s="14"/>
      <c r="M257" s="14"/>
      <c r="N257" s="14"/>
      <c r="O257" s="14"/>
      <c r="P257" s="14"/>
      <c r="Q257" s="14"/>
      <c r="R257" s="14"/>
      <c r="S257" s="14"/>
      <c r="T257" s="14"/>
      <c r="U257" s="14"/>
      <c r="V257" s="14"/>
      <c r="W257" s="14"/>
    </row>
    <row r="258" spans="1:23" ht="24" hidden="1" customHeight="1">
      <c r="A258" s="36">
        <v>254</v>
      </c>
      <c r="B258" s="35"/>
      <c r="C258" s="35"/>
      <c r="D258" s="35"/>
      <c r="E258" s="35"/>
      <c r="F258" s="14"/>
      <c r="G258" s="14"/>
      <c r="H258" s="14"/>
      <c r="I258" s="14"/>
      <c r="J258" s="14"/>
      <c r="K258" s="14"/>
      <c r="L258" s="14"/>
      <c r="M258" s="14"/>
      <c r="N258" s="14"/>
      <c r="O258" s="14"/>
      <c r="P258" s="14"/>
      <c r="Q258" s="14"/>
      <c r="R258" s="14"/>
      <c r="S258" s="14"/>
      <c r="T258" s="14"/>
      <c r="U258" s="14"/>
      <c r="V258" s="14"/>
      <c r="W258" s="14"/>
    </row>
    <row r="259" spans="1:23" ht="24" hidden="1" customHeight="1">
      <c r="A259" s="36">
        <v>255</v>
      </c>
      <c r="B259" s="35"/>
      <c r="C259" s="35"/>
      <c r="D259" s="35"/>
      <c r="E259" s="35"/>
      <c r="F259" s="14"/>
      <c r="G259" s="14"/>
      <c r="H259" s="14"/>
      <c r="I259" s="14"/>
      <c r="J259" s="14"/>
      <c r="K259" s="14"/>
      <c r="L259" s="14"/>
      <c r="M259" s="14"/>
      <c r="N259" s="14"/>
      <c r="O259" s="14"/>
      <c r="P259" s="14"/>
      <c r="Q259" s="14"/>
      <c r="R259" s="14"/>
      <c r="S259" s="14"/>
      <c r="T259" s="14"/>
      <c r="U259" s="14"/>
      <c r="V259" s="14"/>
      <c r="W259" s="14"/>
    </row>
    <row r="260" spans="1:23" ht="24" hidden="1" customHeight="1">
      <c r="A260" s="36">
        <v>256</v>
      </c>
      <c r="B260" s="35"/>
      <c r="C260" s="35"/>
      <c r="D260" s="35"/>
      <c r="E260" s="35"/>
      <c r="F260" s="14"/>
      <c r="G260" s="14"/>
      <c r="H260" s="14"/>
      <c r="I260" s="14"/>
      <c r="J260" s="14"/>
      <c r="K260" s="14"/>
      <c r="L260" s="14"/>
      <c r="M260" s="14"/>
      <c r="N260" s="14"/>
      <c r="O260" s="14"/>
      <c r="P260" s="14"/>
      <c r="Q260" s="14"/>
      <c r="R260" s="14"/>
      <c r="S260" s="14"/>
      <c r="T260" s="14"/>
      <c r="U260" s="14"/>
      <c r="V260" s="14"/>
      <c r="W260" s="14"/>
    </row>
    <row r="261" spans="1:23" ht="24" hidden="1" customHeight="1">
      <c r="A261" s="36">
        <v>257</v>
      </c>
      <c r="B261" s="35"/>
      <c r="C261" s="35"/>
      <c r="D261" s="35"/>
      <c r="E261" s="35"/>
      <c r="F261" s="14"/>
      <c r="G261" s="14"/>
      <c r="H261" s="14"/>
      <c r="I261" s="14"/>
      <c r="J261" s="14"/>
      <c r="K261" s="14"/>
      <c r="L261" s="14"/>
      <c r="M261" s="14"/>
      <c r="N261" s="14"/>
      <c r="O261" s="14"/>
      <c r="P261" s="14"/>
      <c r="Q261" s="14"/>
      <c r="R261" s="14"/>
      <c r="S261" s="14"/>
      <c r="T261" s="14"/>
      <c r="U261" s="14"/>
      <c r="V261" s="14"/>
      <c r="W261" s="14"/>
    </row>
    <row r="262" spans="1:23" ht="24" hidden="1" customHeight="1">
      <c r="A262" s="36">
        <v>258</v>
      </c>
      <c r="B262" s="35"/>
      <c r="C262" s="35"/>
      <c r="D262" s="35"/>
      <c r="E262" s="35"/>
      <c r="F262" s="14"/>
      <c r="G262" s="14"/>
      <c r="H262" s="14"/>
      <c r="I262" s="14"/>
      <c r="J262" s="14"/>
      <c r="K262" s="14"/>
      <c r="L262" s="14"/>
      <c r="M262" s="14"/>
      <c r="N262" s="14"/>
      <c r="O262" s="14"/>
      <c r="P262" s="14"/>
      <c r="Q262" s="14"/>
      <c r="R262" s="14"/>
      <c r="S262" s="14"/>
      <c r="T262" s="14"/>
      <c r="U262" s="14"/>
      <c r="V262" s="14"/>
      <c r="W262" s="14"/>
    </row>
    <row r="263" spans="1:23" ht="24" hidden="1" customHeight="1">
      <c r="A263" s="36">
        <v>259</v>
      </c>
      <c r="B263" s="35"/>
      <c r="C263" s="35"/>
      <c r="D263" s="35"/>
      <c r="E263" s="35"/>
      <c r="F263" s="14"/>
      <c r="G263" s="14"/>
      <c r="H263" s="14"/>
      <c r="I263" s="14"/>
      <c r="J263" s="14"/>
      <c r="K263" s="14"/>
      <c r="L263" s="14"/>
      <c r="M263" s="14"/>
      <c r="N263" s="14"/>
      <c r="O263" s="14"/>
      <c r="P263" s="14"/>
      <c r="Q263" s="14"/>
      <c r="R263" s="14"/>
      <c r="S263" s="14"/>
      <c r="T263" s="14"/>
      <c r="U263" s="14"/>
      <c r="V263" s="14"/>
      <c r="W263" s="14"/>
    </row>
    <row r="264" spans="1:23" ht="24" hidden="1" customHeight="1">
      <c r="A264" s="36">
        <v>260</v>
      </c>
      <c r="B264" s="35"/>
      <c r="C264" s="35"/>
      <c r="D264" s="35"/>
      <c r="E264" s="35"/>
      <c r="F264" s="14"/>
      <c r="G264" s="14"/>
      <c r="H264" s="14"/>
      <c r="I264" s="14"/>
      <c r="J264" s="14"/>
      <c r="K264" s="14"/>
      <c r="L264" s="14"/>
      <c r="M264" s="14"/>
      <c r="N264" s="14"/>
      <c r="O264" s="14"/>
      <c r="P264" s="14"/>
      <c r="Q264" s="14"/>
      <c r="R264" s="14"/>
      <c r="S264" s="14"/>
      <c r="T264" s="14"/>
      <c r="U264" s="14"/>
      <c r="V264" s="14"/>
      <c r="W264" s="14"/>
    </row>
    <row r="265" spans="1:23" ht="24" hidden="1" customHeight="1">
      <c r="A265" s="36">
        <v>261</v>
      </c>
      <c r="B265" s="35"/>
      <c r="C265" s="35"/>
      <c r="D265" s="35"/>
      <c r="E265" s="35"/>
      <c r="F265" s="14"/>
      <c r="G265" s="14"/>
      <c r="H265" s="14"/>
      <c r="I265" s="14"/>
      <c r="J265" s="14"/>
      <c r="K265" s="14"/>
      <c r="L265" s="14"/>
      <c r="M265" s="14"/>
      <c r="N265" s="14"/>
      <c r="O265" s="14"/>
      <c r="P265" s="14"/>
      <c r="Q265" s="14"/>
      <c r="R265" s="14"/>
      <c r="S265" s="14"/>
      <c r="T265" s="14"/>
      <c r="U265" s="14"/>
      <c r="V265" s="14"/>
      <c r="W265" s="14"/>
    </row>
    <row r="266" spans="1:23" ht="24" hidden="1" customHeight="1">
      <c r="A266" s="36">
        <v>262</v>
      </c>
      <c r="B266" s="35"/>
      <c r="C266" s="35"/>
      <c r="D266" s="35"/>
      <c r="E266" s="35"/>
      <c r="F266" s="14"/>
      <c r="G266" s="14"/>
      <c r="H266" s="14"/>
      <c r="I266" s="14"/>
      <c r="J266" s="14"/>
      <c r="K266" s="14"/>
      <c r="L266" s="14"/>
      <c r="M266" s="14"/>
      <c r="N266" s="14"/>
      <c r="O266" s="14"/>
      <c r="P266" s="14"/>
      <c r="Q266" s="14"/>
      <c r="R266" s="14"/>
      <c r="S266" s="14"/>
      <c r="T266" s="14"/>
      <c r="U266" s="14"/>
      <c r="V266" s="14"/>
      <c r="W266" s="14"/>
    </row>
    <row r="267" spans="1:23" ht="24" hidden="1" customHeight="1">
      <c r="A267" s="36">
        <v>263</v>
      </c>
      <c r="B267" s="35"/>
      <c r="C267" s="35"/>
      <c r="D267" s="35"/>
      <c r="E267" s="35"/>
      <c r="F267" s="14"/>
      <c r="G267" s="14"/>
      <c r="H267" s="14"/>
      <c r="I267" s="14"/>
      <c r="J267" s="14"/>
      <c r="K267" s="14"/>
      <c r="L267" s="14"/>
      <c r="M267" s="14"/>
      <c r="N267" s="14"/>
      <c r="O267" s="14"/>
      <c r="P267" s="14"/>
      <c r="Q267" s="14"/>
      <c r="R267" s="14"/>
      <c r="S267" s="14"/>
      <c r="T267" s="14"/>
      <c r="U267" s="14"/>
      <c r="V267" s="14"/>
      <c r="W267" s="14"/>
    </row>
    <row r="268" spans="1:23" ht="24" hidden="1" customHeight="1">
      <c r="A268" s="36">
        <v>264</v>
      </c>
      <c r="B268" s="35"/>
      <c r="C268" s="35"/>
      <c r="D268" s="35"/>
      <c r="E268" s="35"/>
      <c r="F268" s="14"/>
      <c r="G268" s="14"/>
      <c r="H268" s="14"/>
      <c r="I268" s="14"/>
      <c r="J268" s="14"/>
      <c r="K268" s="14"/>
      <c r="L268" s="14"/>
      <c r="M268" s="14"/>
      <c r="N268" s="14"/>
      <c r="O268" s="14"/>
      <c r="P268" s="14"/>
      <c r="Q268" s="14"/>
      <c r="R268" s="14"/>
      <c r="S268" s="14"/>
      <c r="T268" s="14"/>
      <c r="U268" s="14"/>
      <c r="V268" s="14"/>
      <c r="W268" s="14"/>
    </row>
    <row r="269" spans="1:23" ht="24" hidden="1" customHeight="1">
      <c r="A269" s="36">
        <v>265</v>
      </c>
      <c r="B269" s="35"/>
      <c r="C269" s="35"/>
      <c r="D269" s="35"/>
      <c r="E269" s="35"/>
      <c r="F269" s="14"/>
      <c r="G269" s="14"/>
      <c r="H269" s="14"/>
      <c r="I269" s="14"/>
      <c r="J269" s="14"/>
      <c r="K269" s="14"/>
      <c r="L269" s="14"/>
      <c r="M269" s="14"/>
      <c r="N269" s="14"/>
      <c r="O269" s="14"/>
      <c r="P269" s="14"/>
      <c r="Q269" s="14"/>
      <c r="R269" s="14"/>
      <c r="S269" s="14"/>
      <c r="T269" s="14"/>
      <c r="U269" s="14"/>
      <c r="V269" s="14"/>
      <c r="W269" s="14"/>
    </row>
    <row r="270" spans="1:23" ht="24" hidden="1" customHeight="1">
      <c r="A270" s="36">
        <v>266</v>
      </c>
      <c r="B270" s="35"/>
      <c r="C270" s="35"/>
      <c r="D270" s="35"/>
      <c r="E270" s="35"/>
      <c r="F270" s="14"/>
      <c r="G270" s="14"/>
      <c r="H270" s="14"/>
      <c r="I270" s="14"/>
      <c r="J270" s="14"/>
      <c r="K270" s="14"/>
      <c r="L270" s="14"/>
      <c r="M270" s="14"/>
      <c r="N270" s="14"/>
      <c r="O270" s="14"/>
      <c r="P270" s="14"/>
      <c r="Q270" s="14"/>
      <c r="R270" s="14"/>
      <c r="S270" s="14"/>
      <c r="T270" s="14"/>
      <c r="U270" s="14"/>
      <c r="V270" s="14"/>
      <c r="W270" s="14"/>
    </row>
    <row r="271" spans="1:23" ht="24" hidden="1" customHeight="1">
      <c r="A271" s="36">
        <v>267</v>
      </c>
      <c r="B271" s="35"/>
      <c r="C271" s="35"/>
      <c r="D271" s="35"/>
      <c r="E271" s="35"/>
      <c r="F271" s="14"/>
      <c r="G271" s="14"/>
      <c r="H271" s="14"/>
      <c r="I271" s="14"/>
      <c r="J271" s="14"/>
      <c r="K271" s="14"/>
      <c r="L271" s="14"/>
      <c r="M271" s="14"/>
      <c r="N271" s="14"/>
      <c r="O271" s="14"/>
      <c r="P271" s="14"/>
      <c r="Q271" s="14"/>
      <c r="R271" s="14"/>
      <c r="S271" s="14"/>
      <c r="T271" s="14"/>
      <c r="U271" s="14"/>
      <c r="V271" s="14"/>
      <c r="W271" s="14"/>
    </row>
    <row r="272" spans="1:23" ht="24" hidden="1" customHeight="1">
      <c r="A272" s="36">
        <v>268</v>
      </c>
      <c r="B272" s="35"/>
      <c r="C272" s="35"/>
      <c r="D272" s="35"/>
      <c r="E272" s="35"/>
      <c r="F272" s="14"/>
      <c r="G272" s="14"/>
      <c r="H272" s="14"/>
      <c r="I272" s="14"/>
      <c r="J272" s="14"/>
      <c r="K272" s="14"/>
      <c r="L272" s="14"/>
      <c r="M272" s="14"/>
      <c r="N272" s="14"/>
      <c r="O272" s="14"/>
      <c r="P272" s="14"/>
      <c r="Q272" s="14"/>
      <c r="R272" s="14"/>
      <c r="S272" s="14"/>
      <c r="T272" s="14"/>
      <c r="U272" s="14"/>
      <c r="V272" s="14"/>
      <c r="W272" s="14"/>
    </row>
    <row r="273" spans="1:23" ht="24" hidden="1" customHeight="1">
      <c r="A273" s="36">
        <v>269</v>
      </c>
      <c r="B273" s="35"/>
      <c r="C273" s="35"/>
      <c r="D273" s="35"/>
      <c r="E273" s="35"/>
      <c r="F273" s="14"/>
      <c r="G273" s="14"/>
      <c r="H273" s="14"/>
      <c r="I273" s="14"/>
      <c r="J273" s="14"/>
      <c r="K273" s="14"/>
      <c r="L273" s="14"/>
      <c r="M273" s="14"/>
      <c r="N273" s="14"/>
      <c r="O273" s="14"/>
      <c r="P273" s="14"/>
      <c r="Q273" s="14"/>
      <c r="R273" s="14"/>
      <c r="S273" s="14"/>
      <c r="T273" s="14"/>
      <c r="U273" s="14"/>
      <c r="V273" s="14"/>
      <c r="W273" s="14"/>
    </row>
    <row r="274" spans="1:23" ht="24" hidden="1" customHeight="1">
      <c r="A274" s="36">
        <v>270</v>
      </c>
      <c r="B274" s="35"/>
      <c r="C274" s="35"/>
      <c r="D274" s="35"/>
      <c r="E274" s="35"/>
      <c r="F274" s="14"/>
      <c r="G274" s="14"/>
      <c r="H274" s="14"/>
      <c r="I274" s="14"/>
      <c r="J274" s="14"/>
      <c r="K274" s="14"/>
      <c r="L274" s="14"/>
      <c r="M274" s="14"/>
      <c r="N274" s="14"/>
      <c r="O274" s="14"/>
      <c r="P274" s="14"/>
      <c r="Q274" s="14"/>
      <c r="R274" s="14"/>
      <c r="S274" s="14"/>
      <c r="T274" s="14"/>
      <c r="U274" s="14"/>
      <c r="V274" s="14"/>
      <c r="W274" s="14"/>
    </row>
    <row r="275" spans="1:23" ht="24" hidden="1" customHeight="1">
      <c r="A275" s="36">
        <v>271</v>
      </c>
      <c r="B275" s="35"/>
      <c r="C275" s="35"/>
      <c r="D275" s="35"/>
      <c r="E275" s="35"/>
      <c r="F275" s="14"/>
      <c r="G275" s="14"/>
      <c r="H275" s="14"/>
      <c r="I275" s="14"/>
      <c r="J275" s="14"/>
      <c r="K275" s="14"/>
      <c r="L275" s="14"/>
      <c r="M275" s="14"/>
      <c r="N275" s="14"/>
      <c r="O275" s="14"/>
      <c r="P275" s="14"/>
      <c r="Q275" s="14"/>
      <c r="R275" s="14"/>
      <c r="S275" s="14"/>
      <c r="T275" s="14"/>
      <c r="U275" s="14"/>
      <c r="V275" s="14"/>
      <c r="W275" s="14"/>
    </row>
    <row r="276" spans="1:23" ht="24" hidden="1" customHeight="1">
      <c r="A276" s="36">
        <v>272</v>
      </c>
      <c r="B276" s="35"/>
      <c r="C276" s="35"/>
      <c r="D276" s="35"/>
      <c r="E276" s="35"/>
      <c r="F276" s="14"/>
      <c r="G276" s="14"/>
      <c r="H276" s="14"/>
      <c r="I276" s="14"/>
      <c r="J276" s="14"/>
      <c r="K276" s="14"/>
      <c r="L276" s="14"/>
      <c r="M276" s="14"/>
      <c r="N276" s="14"/>
      <c r="O276" s="14"/>
      <c r="P276" s="14"/>
      <c r="Q276" s="14"/>
      <c r="R276" s="14"/>
      <c r="S276" s="14"/>
      <c r="T276" s="14"/>
      <c r="U276" s="14"/>
      <c r="V276" s="14"/>
      <c r="W276" s="14"/>
    </row>
    <row r="277" spans="1:23" ht="24" hidden="1" customHeight="1">
      <c r="A277" s="36">
        <v>273</v>
      </c>
      <c r="B277" s="35"/>
      <c r="C277" s="35"/>
      <c r="D277" s="35"/>
      <c r="E277" s="35"/>
      <c r="F277" s="14"/>
      <c r="G277" s="14"/>
      <c r="H277" s="14"/>
      <c r="I277" s="14"/>
      <c r="J277" s="14"/>
      <c r="K277" s="14"/>
      <c r="L277" s="14"/>
      <c r="M277" s="14"/>
      <c r="N277" s="14"/>
      <c r="O277" s="14"/>
      <c r="P277" s="14"/>
      <c r="Q277" s="14"/>
      <c r="R277" s="14"/>
      <c r="S277" s="14"/>
      <c r="T277" s="14"/>
      <c r="U277" s="14"/>
      <c r="V277" s="14"/>
      <c r="W277" s="14"/>
    </row>
    <row r="278" spans="1:23" ht="24" hidden="1" customHeight="1">
      <c r="A278" s="36">
        <v>274</v>
      </c>
      <c r="B278" s="35"/>
      <c r="C278" s="35"/>
      <c r="D278" s="35"/>
      <c r="E278" s="35"/>
      <c r="F278" s="14"/>
      <c r="G278" s="14"/>
      <c r="H278" s="14"/>
      <c r="I278" s="14"/>
      <c r="J278" s="14"/>
      <c r="K278" s="14"/>
      <c r="L278" s="14"/>
      <c r="M278" s="14"/>
      <c r="N278" s="14"/>
      <c r="O278" s="14"/>
      <c r="P278" s="14"/>
      <c r="Q278" s="14"/>
      <c r="R278" s="14"/>
      <c r="S278" s="14"/>
      <c r="T278" s="14"/>
      <c r="U278" s="14"/>
      <c r="V278" s="14"/>
      <c r="W278" s="14"/>
    </row>
    <row r="279" spans="1:23" ht="24" hidden="1" customHeight="1">
      <c r="A279" s="36">
        <v>275</v>
      </c>
      <c r="B279" s="35"/>
      <c r="C279" s="35"/>
      <c r="D279" s="35"/>
      <c r="E279" s="35"/>
      <c r="F279" s="14"/>
      <c r="G279" s="14"/>
      <c r="H279" s="14"/>
      <c r="I279" s="14"/>
      <c r="J279" s="14"/>
      <c r="K279" s="14"/>
      <c r="L279" s="14"/>
      <c r="M279" s="14"/>
      <c r="N279" s="14"/>
      <c r="O279" s="14"/>
      <c r="P279" s="14"/>
      <c r="Q279" s="14"/>
      <c r="R279" s="14"/>
      <c r="S279" s="14"/>
      <c r="T279" s="14"/>
      <c r="U279" s="14"/>
      <c r="V279" s="14"/>
      <c r="W279" s="14"/>
    </row>
    <row r="280" spans="1:23" ht="24" hidden="1" customHeight="1">
      <c r="A280" s="36">
        <v>276</v>
      </c>
      <c r="B280" s="35"/>
      <c r="C280" s="35"/>
      <c r="D280" s="35"/>
      <c r="E280" s="35"/>
      <c r="F280" s="14"/>
      <c r="G280" s="14"/>
      <c r="H280" s="14"/>
      <c r="I280" s="14"/>
      <c r="J280" s="14"/>
      <c r="K280" s="14"/>
      <c r="L280" s="14"/>
      <c r="M280" s="14"/>
      <c r="N280" s="14"/>
      <c r="O280" s="14"/>
      <c r="P280" s="14"/>
      <c r="Q280" s="14"/>
      <c r="R280" s="14"/>
      <c r="S280" s="14"/>
      <c r="T280" s="14"/>
      <c r="U280" s="14"/>
      <c r="V280" s="14"/>
      <c r="W280" s="14"/>
    </row>
    <row r="281" spans="1:23" ht="24" hidden="1" customHeight="1">
      <c r="A281" s="36">
        <v>277</v>
      </c>
      <c r="B281" s="35"/>
      <c r="C281" s="35"/>
      <c r="D281" s="35"/>
      <c r="E281" s="35"/>
      <c r="F281" s="14"/>
      <c r="G281" s="14"/>
      <c r="H281" s="14"/>
      <c r="I281" s="14"/>
      <c r="J281" s="14"/>
      <c r="K281" s="14"/>
      <c r="L281" s="14"/>
      <c r="M281" s="14"/>
      <c r="N281" s="14"/>
      <c r="O281" s="14"/>
      <c r="P281" s="14"/>
      <c r="Q281" s="14"/>
      <c r="R281" s="14"/>
      <c r="S281" s="14"/>
      <c r="T281" s="14"/>
      <c r="U281" s="14"/>
      <c r="V281" s="14"/>
      <c r="W281" s="14"/>
    </row>
    <row r="282" spans="1:23" ht="24" hidden="1" customHeight="1">
      <c r="A282" s="36">
        <v>278</v>
      </c>
      <c r="B282" s="35"/>
      <c r="C282" s="35"/>
      <c r="D282" s="35"/>
      <c r="E282" s="35"/>
      <c r="F282" s="14"/>
      <c r="G282" s="14"/>
      <c r="H282" s="14"/>
      <c r="I282" s="14"/>
      <c r="J282" s="14"/>
      <c r="K282" s="14"/>
      <c r="L282" s="14"/>
      <c r="M282" s="14"/>
      <c r="N282" s="14"/>
      <c r="O282" s="14"/>
      <c r="P282" s="14"/>
      <c r="Q282" s="14"/>
      <c r="R282" s="14"/>
      <c r="S282" s="14"/>
      <c r="T282" s="14"/>
      <c r="U282" s="14"/>
      <c r="V282" s="14"/>
      <c r="W282" s="14"/>
    </row>
    <row r="283" spans="1:23" ht="24" hidden="1" customHeight="1">
      <c r="A283" s="36">
        <v>279</v>
      </c>
      <c r="B283" s="35"/>
      <c r="C283" s="35"/>
      <c r="D283" s="35"/>
      <c r="E283" s="35"/>
      <c r="F283" s="14"/>
      <c r="G283" s="14"/>
      <c r="H283" s="14"/>
      <c r="I283" s="14"/>
      <c r="J283" s="14"/>
      <c r="K283" s="14"/>
      <c r="L283" s="14"/>
      <c r="M283" s="14"/>
      <c r="N283" s="14"/>
      <c r="O283" s="14"/>
      <c r="P283" s="14"/>
      <c r="Q283" s="14"/>
      <c r="R283" s="14"/>
      <c r="S283" s="14"/>
      <c r="T283" s="14"/>
      <c r="U283" s="14"/>
      <c r="V283" s="14"/>
      <c r="W283" s="14"/>
    </row>
    <row r="284" spans="1:23" ht="24" hidden="1" customHeight="1">
      <c r="A284" s="36">
        <v>280</v>
      </c>
      <c r="B284" s="35"/>
      <c r="C284" s="35"/>
      <c r="D284" s="35"/>
      <c r="E284" s="35"/>
      <c r="F284" s="14"/>
      <c r="G284" s="14"/>
      <c r="H284" s="14"/>
      <c r="I284" s="14"/>
      <c r="J284" s="14"/>
      <c r="K284" s="14"/>
      <c r="L284" s="14"/>
      <c r="M284" s="14"/>
      <c r="N284" s="14"/>
      <c r="O284" s="14"/>
      <c r="P284" s="14"/>
      <c r="Q284" s="14"/>
      <c r="R284" s="14"/>
      <c r="S284" s="14"/>
      <c r="T284" s="14"/>
      <c r="U284" s="14"/>
      <c r="V284" s="14"/>
      <c r="W284" s="14"/>
    </row>
    <row r="285" spans="1:23" ht="24" hidden="1" customHeight="1">
      <c r="A285" s="36">
        <v>281</v>
      </c>
      <c r="B285" s="35"/>
      <c r="C285" s="35"/>
      <c r="D285" s="35"/>
      <c r="E285" s="35"/>
      <c r="F285" s="14"/>
      <c r="G285" s="14"/>
      <c r="H285" s="14"/>
      <c r="I285" s="14"/>
      <c r="J285" s="14"/>
      <c r="K285" s="14"/>
      <c r="L285" s="14"/>
      <c r="M285" s="14"/>
      <c r="N285" s="14"/>
      <c r="O285" s="14"/>
      <c r="P285" s="14"/>
      <c r="Q285" s="14"/>
      <c r="R285" s="14"/>
      <c r="S285" s="14"/>
      <c r="T285" s="14"/>
      <c r="U285" s="14"/>
      <c r="V285" s="14"/>
      <c r="W285" s="14"/>
    </row>
    <row r="286" spans="1:23" ht="24" hidden="1" customHeight="1">
      <c r="A286" s="36">
        <v>282</v>
      </c>
      <c r="B286" s="35"/>
      <c r="C286" s="35"/>
      <c r="D286" s="35"/>
      <c r="E286" s="35"/>
      <c r="F286" s="14"/>
      <c r="G286" s="14"/>
      <c r="H286" s="14"/>
      <c r="I286" s="14"/>
      <c r="J286" s="14"/>
      <c r="K286" s="14"/>
      <c r="L286" s="14"/>
      <c r="M286" s="14"/>
      <c r="N286" s="14"/>
      <c r="O286" s="14"/>
      <c r="P286" s="14"/>
      <c r="Q286" s="14"/>
      <c r="R286" s="14"/>
      <c r="S286" s="14"/>
      <c r="T286" s="14"/>
      <c r="U286" s="14"/>
      <c r="V286" s="14"/>
      <c r="W286" s="14"/>
    </row>
    <row r="287" spans="1:23" ht="24" hidden="1" customHeight="1">
      <c r="A287" s="36">
        <v>283</v>
      </c>
      <c r="B287" s="35"/>
      <c r="C287" s="35"/>
      <c r="D287" s="35"/>
      <c r="E287" s="35"/>
      <c r="F287" s="14"/>
      <c r="G287" s="14"/>
      <c r="H287" s="14"/>
      <c r="I287" s="14"/>
      <c r="J287" s="14"/>
      <c r="K287" s="14"/>
      <c r="L287" s="14"/>
      <c r="M287" s="14"/>
      <c r="N287" s="14"/>
      <c r="O287" s="14"/>
      <c r="P287" s="14"/>
      <c r="Q287" s="14"/>
      <c r="R287" s="14"/>
      <c r="S287" s="14"/>
      <c r="T287" s="14"/>
      <c r="U287" s="14"/>
      <c r="V287" s="14"/>
      <c r="W287" s="14"/>
    </row>
    <row r="288" spans="1:23" ht="24" hidden="1" customHeight="1">
      <c r="A288" s="36">
        <v>284</v>
      </c>
      <c r="B288" s="35"/>
      <c r="C288" s="35"/>
      <c r="D288" s="35"/>
      <c r="E288" s="35"/>
      <c r="F288" s="14"/>
      <c r="G288" s="14"/>
      <c r="H288" s="14"/>
      <c r="I288" s="14"/>
      <c r="J288" s="14"/>
      <c r="K288" s="14"/>
      <c r="L288" s="14"/>
      <c r="M288" s="14"/>
      <c r="N288" s="14"/>
      <c r="O288" s="14"/>
      <c r="P288" s="14"/>
      <c r="Q288" s="14"/>
      <c r="R288" s="14"/>
      <c r="S288" s="14"/>
      <c r="T288" s="14"/>
      <c r="U288" s="14"/>
      <c r="V288" s="14"/>
      <c r="W288" s="14"/>
    </row>
    <row r="289" spans="1:23" ht="24" hidden="1" customHeight="1">
      <c r="A289" s="36">
        <v>285</v>
      </c>
      <c r="B289" s="35"/>
      <c r="C289" s="35"/>
      <c r="D289" s="35"/>
      <c r="E289" s="35"/>
      <c r="F289" s="14"/>
      <c r="G289" s="14"/>
      <c r="H289" s="14"/>
      <c r="I289" s="14"/>
      <c r="J289" s="14"/>
      <c r="K289" s="14"/>
      <c r="L289" s="14"/>
      <c r="M289" s="14"/>
      <c r="N289" s="14"/>
      <c r="O289" s="14"/>
      <c r="P289" s="14"/>
      <c r="Q289" s="14"/>
      <c r="R289" s="14"/>
      <c r="S289" s="14"/>
      <c r="T289" s="14"/>
      <c r="U289" s="14"/>
      <c r="V289" s="14"/>
      <c r="W289" s="14"/>
    </row>
    <row r="290" spans="1:23" ht="24" hidden="1" customHeight="1">
      <c r="A290" s="36">
        <v>286</v>
      </c>
      <c r="B290" s="35"/>
      <c r="C290" s="35"/>
      <c r="D290" s="35"/>
      <c r="E290" s="35"/>
      <c r="F290" s="14"/>
      <c r="G290" s="14"/>
      <c r="H290" s="14"/>
      <c r="I290" s="14"/>
      <c r="J290" s="14"/>
      <c r="K290" s="14"/>
      <c r="L290" s="14"/>
      <c r="M290" s="14"/>
      <c r="N290" s="14"/>
      <c r="O290" s="14"/>
      <c r="P290" s="14"/>
      <c r="Q290" s="14"/>
      <c r="R290" s="14"/>
      <c r="S290" s="14"/>
      <c r="T290" s="14"/>
      <c r="U290" s="14"/>
      <c r="V290" s="14"/>
      <c r="W290" s="14"/>
    </row>
    <row r="291" spans="1:23" ht="24" hidden="1" customHeight="1">
      <c r="A291" s="36">
        <v>287</v>
      </c>
      <c r="B291" s="35"/>
      <c r="C291" s="35"/>
      <c r="D291" s="35"/>
      <c r="E291" s="35"/>
      <c r="F291" s="14"/>
      <c r="G291" s="14"/>
      <c r="H291" s="14"/>
      <c r="I291" s="14"/>
      <c r="J291" s="14"/>
      <c r="K291" s="14"/>
      <c r="L291" s="14"/>
      <c r="M291" s="14"/>
      <c r="N291" s="14"/>
      <c r="O291" s="14"/>
      <c r="P291" s="14"/>
      <c r="Q291" s="14"/>
      <c r="R291" s="14"/>
      <c r="S291" s="14"/>
      <c r="T291" s="14"/>
      <c r="U291" s="14"/>
      <c r="V291" s="14"/>
      <c r="W291" s="14"/>
    </row>
    <row r="292" spans="1:23" ht="24" hidden="1" customHeight="1">
      <c r="A292" s="36">
        <v>288</v>
      </c>
      <c r="B292" s="35"/>
      <c r="C292" s="35"/>
      <c r="D292" s="35"/>
      <c r="E292" s="35"/>
      <c r="F292" s="14"/>
      <c r="G292" s="14"/>
      <c r="H292" s="14"/>
      <c r="I292" s="14"/>
      <c r="J292" s="14"/>
      <c r="K292" s="14"/>
      <c r="L292" s="14"/>
      <c r="M292" s="14"/>
      <c r="N292" s="14"/>
      <c r="O292" s="14"/>
      <c r="P292" s="14"/>
      <c r="Q292" s="14"/>
      <c r="R292" s="14"/>
      <c r="S292" s="14"/>
      <c r="T292" s="14"/>
      <c r="U292" s="14"/>
      <c r="V292" s="14"/>
      <c r="W292" s="14"/>
    </row>
    <row r="293" spans="1:23" ht="24" hidden="1" customHeight="1">
      <c r="A293" s="36">
        <v>289</v>
      </c>
      <c r="B293" s="35"/>
      <c r="C293" s="35"/>
      <c r="D293" s="35"/>
      <c r="E293" s="35"/>
      <c r="F293" s="14"/>
      <c r="G293" s="14"/>
      <c r="H293" s="14"/>
      <c r="I293" s="14"/>
      <c r="J293" s="14"/>
      <c r="K293" s="14"/>
      <c r="L293" s="14"/>
      <c r="M293" s="14"/>
      <c r="N293" s="14"/>
      <c r="O293" s="14"/>
      <c r="P293" s="14"/>
      <c r="Q293" s="14"/>
      <c r="R293" s="14"/>
      <c r="S293" s="14"/>
      <c r="T293" s="14"/>
      <c r="U293" s="14"/>
      <c r="V293" s="14"/>
      <c r="W293" s="14"/>
    </row>
    <row r="294" spans="1:23" ht="24" hidden="1" customHeight="1">
      <c r="A294" s="36">
        <v>290</v>
      </c>
      <c r="B294" s="35"/>
      <c r="C294" s="35"/>
      <c r="D294" s="35"/>
      <c r="E294" s="35"/>
      <c r="F294" s="14"/>
      <c r="G294" s="14"/>
      <c r="H294" s="14"/>
      <c r="I294" s="14"/>
      <c r="J294" s="14"/>
      <c r="K294" s="14"/>
      <c r="L294" s="14"/>
      <c r="M294" s="14"/>
      <c r="N294" s="14"/>
      <c r="O294" s="14"/>
      <c r="P294" s="14"/>
      <c r="Q294" s="14"/>
      <c r="R294" s="14"/>
      <c r="S294" s="14"/>
      <c r="T294" s="14"/>
      <c r="U294" s="14"/>
      <c r="V294" s="14"/>
      <c r="W294" s="14"/>
    </row>
    <row r="295" spans="1:23" ht="24" hidden="1" customHeight="1">
      <c r="A295" s="36">
        <v>291</v>
      </c>
      <c r="B295" s="35"/>
      <c r="C295" s="35"/>
      <c r="D295" s="35"/>
      <c r="E295" s="35"/>
      <c r="F295" s="14"/>
      <c r="G295" s="14"/>
      <c r="H295" s="14"/>
      <c r="I295" s="14"/>
      <c r="J295" s="14"/>
      <c r="K295" s="14"/>
      <c r="L295" s="14"/>
      <c r="M295" s="14"/>
      <c r="N295" s="14"/>
      <c r="O295" s="14"/>
      <c r="P295" s="14"/>
      <c r="Q295" s="14"/>
      <c r="R295" s="14"/>
      <c r="S295" s="14"/>
      <c r="T295" s="14"/>
      <c r="U295" s="14"/>
      <c r="V295" s="14"/>
      <c r="W295" s="14"/>
    </row>
    <row r="296" spans="1:23" ht="24" hidden="1" customHeight="1">
      <c r="A296" s="36">
        <v>292</v>
      </c>
      <c r="B296" s="35"/>
      <c r="C296" s="35"/>
      <c r="D296" s="35"/>
      <c r="E296" s="35"/>
      <c r="F296" s="14"/>
      <c r="G296" s="14"/>
      <c r="H296" s="14"/>
      <c r="I296" s="14"/>
      <c r="J296" s="14"/>
      <c r="K296" s="14"/>
      <c r="L296" s="14"/>
      <c r="M296" s="14"/>
      <c r="N296" s="14"/>
      <c r="O296" s="14"/>
      <c r="P296" s="14"/>
      <c r="Q296" s="14"/>
      <c r="R296" s="14"/>
      <c r="S296" s="14"/>
      <c r="T296" s="14"/>
      <c r="U296" s="14"/>
      <c r="V296" s="14"/>
      <c r="W296" s="14"/>
    </row>
    <row r="297" spans="1:23" ht="24" hidden="1" customHeight="1">
      <c r="A297" s="36">
        <v>293</v>
      </c>
      <c r="B297" s="35"/>
      <c r="C297" s="35"/>
      <c r="D297" s="35"/>
      <c r="E297" s="35"/>
      <c r="F297" s="14"/>
      <c r="G297" s="14"/>
      <c r="H297" s="14"/>
      <c r="I297" s="14"/>
      <c r="J297" s="14"/>
      <c r="K297" s="14"/>
      <c r="L297" s="14"/>
      <c r="M297" s="14"/>
      <c r="N297" s="14"/>
      <c r="O297" s="14"/>
      <c r="P297" s="14"/>
      <c r="Q297" s="14"/>
      <c r="R297" s="14"/>
      <c r="S297" s="14"/>
      <c r="T297" s="14"/>
      <c r="U297" s="14"/>
      <c r="V297" s="14"/>
      <c r="W297" s="14"/>
    </row>
    <row r="298" spans="1:23" ht="24" hidden="1" customHeight="1">
      <c r="A298" s="36">
        <v>294</v>
      </c>
      <c r="B298" s="35"/>
      <c r="C298" s="35"/>
      <c r="D298" s="35"/>
      <c r="E298" s="35"/>
      <c r="F298" s="14"/>
      <c r="G298" s="14"/>
      <c r="H298" s="14"/>
      <c r="I298" s="14"/>
      <c r="J298" s="14"/>
      <c r="K298" s="14"/>
      <c r="L298" s="14"/>
      <c r="M298" s="14"/>
      <c r="N298" s="14"/>
      <c r="O298" s="14"/>
      <c r="P298" s="14"/>
      <c r="Q298" s="14"/>
      <c r="R298" s="14"/>
      <c r="S298" s="14"/>
      <c r="T298" s="14"/>
      <c r="U298" s="14"/>
      <c r="V298" s="14"/>
      <c r="W298" s="14"/>
    </row>
    <row r="299" spans="1:23" ht="24" hidden="1" customHeight="1">
      <c r="A299" s="36">
        <v>295</v>
      </c>
      <c r="B299" s="35"/>
      <c r="C299" s="35"/>
      <c r="D299" s="35"/>
      <c r="E299" s="35"/>
      <c r="F299" s="14"/>
      <c r="G299" s="14"/>
      <c r="H299" s="14"/>
      <c r="I299" s="14"/>
      <c r="J299" s="14"/>
      <c r="K299" s="14"/>
      <c r="L299" s="14"/>
      <c r="M299" s="14"/>
      <c r="N299" s="14"/>
      <c r="O299" s="14"/>
      <c r="P299" s="14"/>
      <c r="Q299" s="14"/>
      <c r="R299" s="14"/>
      <c r="S299" s="14"/>
      <c r="T299" s="14"/>
      <c r="U299" s="14"/>
      <c r="V299" s="14"/>
      <c r="W299" s="14"/>
    </row>
    <row r="300" spans="1:23" ht="24" hidden="1" customHeight="1">
      <c r="A300" s="36">
        <v>296</v>
      </c>
      <c r="B300" s="35"/>
      <c r="C300" s="35"/>
      <c r="D300" s="35"/>
      <c r="E300" s="35"/>
      <c r="F300" s="14"/>
      <c r="G300" s="14"/>
      <c r="H300" s="14"/>
      <c r="I300" s="14"/>
      <c r="J300" s="14"/>
      <c r="K300" s="14"/>
      <c r="L300" s="14"/>
      <c r="M300" s="14"/>
      <c r="N300" s="14"/>
      <c r="O300" s="14"/>
      <c r="P300" s="14"/>
      <c r="Q300" s="14"/>
      <c r="R300" s="14"/>
      <c r="S300" s="14"/>
      <c r="T300" s="14"/>
      <c r="U300" s="14"/>
      <c r="V300" s="14"/>
      <c r="W300" s="14"/>
    </row>
    <row r="301" spans="1:23" ht="24" hidden="1" customHeight="1">
      <c r="A301" s="36">
        <v>297</v>
      </c>
      <c r="B301" s="35"/>
      <c r="C301" s="35"/>
      <c r="D301" s="35"/>
      <c r="E301" s="35"/>
      <c r="F301" s="14"/>
      <c r="G301" s="14"/>
      <c r="H301" s="14"/>
      <c r="I301" s="14"/>
      <c r="J301" s="14"/>
      <c r="K301" s="14"/>
      <c r="L301" s="14"/>
      <c r="M301" s="14"/>
      <c r="N301" s="14"/>
      <c r="O301" s="14"/>
      <c r="P301" s="14"/>
      <c r="Q301" s="14"/>
      <c r="R301" s="14"/>
      <c r="S301" s="14"/>
      <c r="T301" s="14"/>
      <c r="U301" s="14"/>
      <c r="V301" s="14"/>
      <c r="W301" s="14"/>
    </row>
    <row r="302" spans="1:23" ht="24" hidden="1" customHeight="1">
      <c r="A302" s="36">
        <v>298</v>
      </c>
      <c r="B302" s="35"/>
      <c r="C302" s="35"/>
      <c r="D302" s="35"/>
      <c r="E302" s="35"/>
      <c r="F302" s="14"/>
      <c r="G302" s="14"/>
      <c r="H302" s="14"/>
      <c r="I302" s="14"/>
      <c r="J302" s="14"/>
      <c r="K302" s="14"/>
      <c r="L302" s="14"/>
      <c r="M302" s="14"/>
      <c r="N302" s="14"/>
      <c r="O302" s="14"/>
      <c r="P302" s="14"/>
      <c r="Q302" s="14"/>
      <c r="R302" s="14"/>
      <c r="S302" s="14"/>
      <c r="T302" s="14"/>
      <c r="U302" s="14"/>
      <c r="V302" s="14"/>
      <c r="W302" s="14"/>
    </row>
    <row r="303" spans="1:23" ht="24" hidden="1" customHeight="1">
      <c r="A303" s="36">
        <v>299</v>
      </c>
      <c r="B303" s="35"/>
      <c r="C303" s="35"/>
      <c r="D303" s="35"/>
      <c r="E303" s="35"/>
      <c r="F303" s="14"/>
      <c r="G303" s="14"/>
      <c r="H303" s="14"/>
      <c r="I303" s="14"/>
      <c r="J303" s="14"/>
      <c r="K303" s="14"/>
      <c r="L303" s="14"/>
      <c r="M303" s="14"/>
      <c r="N303" s="14"/>
      <c r="O303" s="14"/>
      <c r="P303" s="14"/>
      <c r="Q303" s="14"/>
      <c r="R303" s="14"/>
      <c r="S303" s="14"/>
      <c r="T303" s="14"/>
      <c r="U303" s="14"/>
      <c r="V303" s="14"/>
      <c r="W303" s="14"/>
    </row>
    <row r="304" spans="1:23" ht="24" hidden="1" customHeight="1">
      <c r="A304" s="36">
        <v>300</v>
      </c>
      <c r="B304" s="35"/>
      <c r="C304" s="35"/>
      <c r="D304" s="35"/>
      <c r="E304" s="35"/>
      <c r="F304" s="14"/>
      <c r="G304" s="14"/>
      <c r="H304" s="14"/>
      <c r="I304" s="14"/>
      <c r="J304" s="14"/>
      <c r="K304" s="14"/>
      <c r="L304" s="14"/>
      <c r="M304" s="14"/>
      <c r="N304" s="14"/>
      <c r="O304" s="14"/>
      <c r="P304" s="14"/>
      <c r="Q304" s="14"/>
      <c r="R304" s="14"/>
      <c r="S304" s="14"/>
      <c r="T304" s="14"/>
      <c r="U304" s="14"/>
      <c r="V304" s="14"/>
      <c r="W304" s="14"/>
    </row>
    <row r="305" spans="1:23">
      <c r="A305" s="14"/>
      <c r="B305" s="14"/>
      <c r="C305" s="14"/>
      <c r="D305" s="14"/>
      <c r="E305" s="14"/>
      <c r="F305" s="14"/>
      <c r="G305" s="14"/>
      <c r="H305" s="14"/>
      <c r="I305" s="14"/>
      <c r="J305" s="14"/>
      <c r="K305" s="14"/>
      <c r="L305" s="14"/>
      <c r="M305" s="14"/>
      <c r="N305" s="14"/>
      <c r="O305" s="14"/>
      <c r="P305" s="14"/>
      <c r="Q305" s="14"/>
      <c r="R305" s="14"/>
      <c r="S305" s="14"/>
      <c r="T305" s="14"/>
      <c r="U305" s="14"/>
      <c r="V305" s="14"/>
      <c r="W305" s="14"/>
    </row>
    <row r="306" spans="1:23">
      <c r="A306" s="14"/>
      <c r="B306" s="14"/>
      <c r="C306" s="14"/>
      <c r="D306" s="14"/>
      <c r="E306" s="14"/>
      <c r="F306" s="14"/>
      <c r="G306" s="14"/>
      <c r="H306" s="14"/>
      <c r="I306" s="14"/>
      <c r="J306" s="14"/>
      <c r="K306" s="14"/>
      <c r="L306" s="14"/>
      <c r="M306" s="14"/>
      <c r="N306" s="14"/>
      <c r="O306" s="14"/>
      <c r="P306" s="14"/>
      <c r="Q306" s="14"/>
      <c r="R306" s="14"/>
      <c r="S306" s="14"/>
      <c r="T306" s="14"/>
      <c r="U306" s="14"/>
      <c r="V306" s="14"/>
      <c r="W306" s="14"/>
    </row>
    <row r="307" spans="1:23">
      <c r="A307" s="14"/>
      <c r="B307" s="14"/>
      <c r="C307" s="14"/>
      <c r="D307" s="14"/>
      <c r="E307" s="14"/>
      <c r="F307" s="14"/>
      <c r="G307" s="14"/>
      <c r="H307" s="14"/>
      <c r="I307" s="14"/>
      <c r="J307" s="14"/>
      <c r="K307" s="14"/>
      <c r="L307" s="14"/>
      <c r="M307" s="14"/>
      <c r="N307" s="14"/>
      <c r="O307" s="14"/>
      <c r="P307" s="14"/>
      <c r="Q307" s="14"/>
      <c r="R307" s="14"/>
      <c r="S307" s="14"/>
      <c r="T307" s="14"/>
      <c r="U307" s="14"/>
      <c r="V307" s="14"/>
      <c r="W307" s="14"/>
    </row>
    <row r="308" spans="1:23">
      <c r="A308" s="14"/>
      <c r="B308" s="14"/>
      <c r="C308" s="14"/>
      <c r="D308" s="14"/>
      <c r="E308" s="14"/>
      <c r="F308" s="14"/>
      <c r="G308" s="14"/>
      <c r="H308" s="14"/>
      <c r="I308" s="14"/>
      <c r="J308" s="14"/>
      <c r="K308" s="14"/>
      <c r="L308" s="14"/>
      <c r="M308" s="14"/>
      <c r="N308" s="14"/>
      <c r="O308" s="14"/>
      <c r="P308" s="14"/>
      <c r="Q308" s="14"/>
      <c r="R308" s="14"/>
      <c r="S308" s="14"/>
      <c r="T308" s="14"/>
      <c r="U308" s="14"/>
      <c r="V308" s="14"/>
      <c r="W308" s="14"/>
    </row>
    <row r="309" spans="1:23">
      <c r="A309" s="14"/>
      <c r="B309" s="14"/>
      <c r="C309" s="14"/>
      <c r="D309" s="14"/>
      <c r="E309" s="14"/>
      <c r="F309" s="14"/>
      <c r="G309" s="14"/>
      <c r="H309" s="14"/>
      <c r="I309" s="14"/>
      <c r="J309" s="14"/>
      <c r="K309" s="14"/>
      <c r="L309" s="14"/>
      <c r="M309" s="14"/>
      <c r="N309" s="14"/>
      <c r="O309" s="14"/>
      <c r="P309" s="14"/>
      <c r="Q309" s="14"/>
      <c r="R309" s="14"/>
      <c r="S309" s="14"/>
      <c r="T309" s="14"/>
      <c r="U309" s="14"/>
      <c r="V309" s="14"/>
      <c r="W309" s="14"/>
    </row>
    <row r="310" spans="1:23">
      <c r="A310" s="14"/>
      <c r="B310" s="14"/>
      <c r="C310" s="14"/>
      <c r="D310" s="14"/>
      <c r="E310" s="14"/>
      <c r="F310" s="14"/>
      <c r="G310" s="14"/>
      <c r="H310" s="14"/>
      <c r="I310" s="14"/>
      <c r="J310" s="14"/>
      <c r="K310" s="14"/>
      <c r="L310" s="14"/>
      <c r="M310" s="14"/>
      <c r="N310" s="14"/>
      <c r="O310" s="14"/>
      <c r="P310" s="14"/>
      <c r="Q310" s="14"/>
      <c r="R310" s="14"/>
      <c r="S310" s="14"/>
      <c r="T310" s="14"/>
      <c r="U310" s="14"/>
      <c r="V310" s="14"/>
      <c r="W310" s="14"/>
    </row>
    <row r="311" spans="1:23">
      <c r="A311" s="14"/>
      <c r="B311" s="14"/>
      <c r="C311" s="14"/>
      <c r="D311" s="14"/>
      <c r="E311" s="14"/>
      <c r="F311" s="14"/>
      <c r="G311" s="14"/>
      <c r="H311" s="14"/>
      <c r="I311" s="14"/>
      <c r="J311" s="14"/>
      <c r="K311" s="14"/>
      <c r="L311" s="14"/>
      <c r="M311" s="14"/>
      <c r="N311" s="14"/>
      <c r="O311" s="14"/>
      <c r="P311" s="14"/>
      <c r="Q311" s="14"/>
      <c r="R311" s="14"/>
      <c r="S311" s="14"/>
      <c r="T311" s="14"/>
      <c r="U311" s="14"/>
      <c r="V311" s="14"/>
      <c r="W311" s="14"/>
    </row>
    <row r="312" spans="1:23">
      <c r="A312" s="14"/>
      <c r="B312" s="14"/>
      <c r="C312" s="14"/>
      <c r="D312" s="14"/>
      <c r="E312" s="14"/>
      <c r="F312" s="14"/>
      <c r="G312" s="14"/>
      <c r="H312" s="14"/>
      <c r="I312" s="14"/>
      <c r="J312" s="14"/>
      <c r="K312" s="14"/>
      <c r="L312" s="14"/>
      <c r="M312" s="14"/>
      <c r="N312" s="14"/>
      <c r="O312" s="14"/>
      <c r="P312" s="14"/>
      <c r="Q312" s="14"/>
      <c r="R312" s="14"/>
      <c r="S312" s="14"/>
      <c r="T312" s="14"/>
      <c r="U312" s="14"/>
      <c r="V312" s="14"/>
      <c r="W312" s="14"/>
    </row>
    <row r="313" spans="1:23">
      <c r="A313" s="14"/>
      <c r="B313" s="14"/>
      <c r="C313" s="14"/>
      <c r="D313" s="14"/>
      <c r="E313" s="14"/>
      <c r="F313" s="14"/>
      <c r="G313" s="14"/>
      <c r="H313" s="14"/>
      <c r="I313" s="14"/>
      <c r="J313" s="14"/>
      <c r="K313" s="14"/>
      <c r="L313" s="14"/>
      <c r="M313" s="14"/>
      <c r="N313" s="14"/>
      <c r="O313" s="14"/>
      <c r="P313" s="14"/>
      <c r="Q313" s="14"/>
      <c r="R313" s="14"/>
      <c r="S313" s="14"/>
      <c r="T313" s="14"/>
      <c r="U313" s="14"/>
      <c r="V313" s="14"/>
      <c r="W313" s="14"/>
    </row>
    <row r="314" spans="1:23">
      <c r="A314" s="14"/>
      <c r="B314" s="14"/>
      <c r="C314" s="14"/>
      <c r="D314" s="14"/>
      <c r="E314" s="14"/>
      <c r="F314" s="14"/>
      <c r="G314" s="14"/>
      <c r="H314" s="14"/>
      <c r="I314" s="14"/>
      <c r="J314" s="14"/>
      <c r="K314" s="14"/>
      <c r="L314" s="14"/>
      <c r="M314" s="14"/>
      <c r="N314" s="14"/>
      <c r="O314" s="14"/>
      <c r="P314" s="14"/>
      <c r="Q314" s="14"/>
      <c r="R314" s="14"/>
      <c r="S314" s="14"/>
      <c r="T314" s="14"/>
      <c r="U314" s="14"/>
      <c r="V314" s="14"/>
      <c r="W314" s="14"/>
    </row>
    <row r="315" spans="1:23">
      <c r="A315" s="14"/>
      <c r="B315" s="14"/>
      <c r="C315" s="14"/>
      <c r="D315" s="14"/>
      <c r="E315" s="14"/>
      <c r="F315" s="14"/>
      <c r="G315" s="14"/>
      <c r="H315" s="14"/>
      <c r="I315" s="14"/>
      <c r="J315" s="14"/>
      <c r="K315" s="14"/>
      <c r="L315" s="14"/>
      <c r="M315" s="14"/>
      <c r="N315" s="14"/>
      <c r="O315" s="14"/>
      <c r="P315" s="14"/>
      <c r="Q315" s="14"/>
      <c r="R315" s="14"/>
      <c r="S315" s="14"/>
      <c r="T315" s="14"/>
      <c r="U315" s="14"/>
      <c r="V315" s="14"/>
      <c r="W315" s="14"/>
    </row>
    <row r="316" spans="1:23">
      <c r="A316" s="14"/>
      <c r="B316" s="14"/>
      <c r="C316" s="14"/>
      <c r="D316" s="14"/>
      <c r="E316" s="14"/>
      <c r="F316" s="14"/>
      <c r="G316" s="14"/>
      <c r="H316" s="14"/>
      <c r="I316" s="14"/>
      <c r="J316" s="14"/>
      <c r="K316" s="14"/>
      <c r="L316" s="14"/>
      <c r="M316" s="14"/>
      <c r="N316" s="14"/>
      <c r="O316" s="14"/>
      <c r="P316" s="14"/>
      <c r="Q316" s="14"/>
      <c r="R316" s="14"/>
      <c r="S316" s="14"/>
      <c r="T316" s="14"/>
      <c r="U316" s="14"/>
      <c r="V316" s="14"/>
      <c r="W316" s="14"/>
    </row>
    <row r="317" spans="1:23">
      <c r="A317" s="14"/>
      <c r="B317" s="14"/>
      <c r="C317" s="14"/>
      <c r="D317" s="14"/>
      <c r="E317" s="14"/>
      <c r="F317" s="14"/>
      <c r="G317" s="14"/>
      <c r="H317" s="14"/>
      <c r="I317" s="14"/>
      <c r="J317" s="14"/>
      <c r="K317" s="14"/>
      <c r="L317" s="14"/>
      <c r="M317" s="14"/>
      <c r="N317" s="14"/>
      <c r="O317" s="14"/>
      <c r="P317" s="14"/>
      <c r="Q317" s="14"/>
      <c r="R317" s="14"/>
      <c r="S317" s="14"/>
      <c r="T317" s="14"/>
      <c r="U317" s="14"/>
      <c r="V317" s="14"/>
      <c r="W317" s="14"/>
    </row>
    <row r="318" spans="1:23">
      <c r="A318" s="14"/>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23">
      <c r="A319" s="14"/>
      <c r="B319" s="14"/>
      <c r="C319" s="14"/>
      <c r="D319" s="14"/>
      <c r="E319" s="14"/>
      <c r="F319" s="14"/>
      <c r="G319" s="14"/>
      <c r="H319" s="14"/>
      <c r="I319" s="14"/>
      <c r="J319" s="14"/>
      <c r="K319" s="14"/>
      <c r="L319" s="14"/>
      <c r="M319" s="14"/>
      <c r="N319" s="14"/>
      <c r="O319" s="14"/>
      <c r="P319" s="14"/>
      <c r="Q319" s="14"/>
      <c r="R319" s="14"/>
      <c r="S319" s="14"/>
      <c r="T319" s="14"/>
      <c r="U319" s="14"/>
      <c r="V319" s="14"/>
      <c r="W319" s="14"/>
    </row>
    <row r="320" spans="1:23">
      <c r="A320" s="14"/>
      <c r="B320" s="14"/>
      <c r="C320" s="14"/>
      <c r="D320" s="14"/>
      <c r="E320" s="14"/>
      <c r="F320" s="14"/>
      <c r="G320" s="14"/>
      <c r="H320" s="14"/>
      <c r="I320" s="14"/>
      <c r="J320" s="14"/>
      <c r="K320" s="14"/>
      <c r="L320" s="14"/>
      <c r="M320" s="14"/>
      <c r="N320" s="14"/>
      <c r="O320" s="14"/>
      <c r="P320" s="14"/>
      <c r="Q320" s="14"/>
      <c r="R320" s="14"/>
      <c r="S320" s="14"/>
      <c r="T320" s="14"/>
      <c r="U320" s="14"/>
      <c r="V320" s="14"/>
      <c r="W320" s="14"/>
    </row>
  </sheetData>
  <mergeCells count="26">
    <mergeCell ref="B17:E17"/>
    <mergeCell ref="B18:E18"/>
    <mergeCell ref="B19:E19"/>
    <mergeCell ref="O21:W21"/>
    <mergeCell ref="Q13:R13"/>
    <mergeCell ref="B14:E14"/>
    <mergeCell ref="B15:E15"/>
    <mergeCell ref="O15:R15"/>
    <mergeCell ref="B16:E16"/>
    <mergeCell ref="B9:E9"/>
    <mergeCell ref="B10:E10"/>
    <mergeCell ref="B11:E11"/>
    <mergeCell ref="B12:E12"/>
    <mergeCell ref="B13:E13"/>
    <mergeCell ref="B4:E4"/>
    <mergeCell ref="B5:E5"/>
    <mergeCell ref="B6:E6"/>
    <mergeCell ref="B7:E7"/>
    <mergeCell ref="B8:E8"/>
    <mergeCell ref="A1:E1"/>
    <mergeCell ref="H1:I1"/>
    <mergeCell ref="K1:M1"/>
    <mergeCell ref="O1:W1"/>
    <mergeCell ref="A3:E3"/>
    <mergeCell ref="O3:R3"/>
    <mergeCell ref="T3:W3"/>
  </mergeCells>
  <phoneticPr fontId="13" type="noConversion"/>
  <dataValidations count="1">
    <dataValidation type="list" allowBlank="1" showInputMessage="1" showErrorMessage="1" sqref="L4:L13" xr:uid="{00000000-0002-0000-0300-000003000000}">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OFFSET(【墨家】物品库!$AW$5,0,0,COUNTA(【墨家】物品库!$AW$5:$AW$20),1)</xm:f>
          </x14:formula1>
          <xm:sqref>P7</xm:sqref>
        </x14:dataValidation>
        <x14:dataValidation type="list" allowBlank="1" showInputMessage="1" showErrorMessage="1" xr:uid="{00000000-0002-0000-0300-000001000000}">
          <x14:formula1>
            <xm:f>OFFSET(【墨家】物品库!$AE$5,0,0,COUNTA(【墨家】物品库!$AE$5:$AE$200),1)</xm:f>
          </x14:formula1>
          <xm:sqref>B5:B304</xm:sqref>
        </x14:dataValidation>
        <x14:dataValidation type="list" allowBlank="1" showInputMessage="1" showErrorMessage="1" xr:uid="{00000000-0002-0000-0300-000002000000}">
          <x14:formula1>
            <xm:f>OFFSET(【墨家】物品库!$AV$5,0,0,COUNTA(【墨家】物品库!$AV$5:$AV$20),1)</xm:f>
          </x14:formula1>
          <xm:sqref>K4:K13</xm:sqref>
        </x14:dataValidation>
        <x14:dataValidation type="list" allowBlank="1" showInputMessage="1" showErrorMessage="1" xr:uid="{00000000-0002-0000-0300-000004000000}">
          <x14:formula1>
            <xm:f>OFFSET(【墨家】物品库!$AN$5,0,0,COUNTA(【墨家】物品库!$AN$5:$AN$50),1)</xm:f>
          </x14:formula1>
          <xm:sqref>P17:P19</xm:sqref>
        </x14:dataValidation>
        <x14:dataValidation type="list" allowBlank="1" showInputMessage="1" showErrorMessage="1" xr:uid="{00000000-0002-0000-0300-000005000000}">
          <x14:formula1>
            <xm:f>OFFSET(【墨家】物品库!$AJ$5,0,0,COUNTA(【墨家】物品库!$AJ$5:$AJ$100),1)</xm:f>
          </x14:formula1>
          <xm:sqref>U5:U14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3E3E46"/>
  </sheetPr>
  <dimension ref="A1:J330"/>
  <sheetViews>
    <sheetView topLeftCell="A8" workbookViewId="0">
      <selection activeCell="M14" sqref="M14"/>
    </sheetView>
  </sheetViews>
  <sheetFormatPr defaultColWidth="8.88671875" defaultRowHeight="14.4"/>
  <cols>
    <col min="1" max="1" width="9.77734375" style="1" customWidth="1"/>
    <col min="2" max="2" width="12.77734375" style="1" customWidth="1"/>
    <col min="3" max="3" width="9.77734375" style="1" customWidth="1"/>
    <col min="4" max="4" width="12.77734375" style="1" customWidth="1"/>
    <col min="5" max="6" width="8.77734375" style="1" customWidth="1"/>
    <col min="7" max="7" width="16.77734375" style="1" customWidth="1"/>
    <col min="8" max="8" width="24.77734375" style="1" customWidth="1"/>
    <col min="9" max="9" width="2.77734375" style="1" hidden="1" customWidth="1"/>
    <col min="10" max="16384" width="8.88671875" style="1"/>
  </cols>
  <sheetData>
    <row r="1" spans="1:10" ht="28.05" customHeight="1">
      <c r="A1" s="66" t="s">
        <v>201</v>
      </c>
      <c r="B1" s="66"/>
      <c r="C1" s="66"/>
      <c r="D1" s="66"/>
      <c r="E1" s="66"/>
      <c r="F1" s="66"/>
      <c r="G1" s="66"/>
      <c r="H1" s="66"/>
      <c r="I1" s="2"/>
      <c r="J1" s="2"/>
    </row>
    <row r="2" spans="1:10" ht="24" customHeight="1">
      <c r="A2" s="3" t="s">
        <v>202</v>
      </c>
      <c r="B2" s="3" t="s">
        <v>203</v>
      </c>
      <c r="C2" s="3" t="s">
        <v>202</v>
      </c>
      <c r="D2" s="3" t="s">
        <v>203</v>
      </c>
      <c r="E2" s="2"/>
      <c r="F2" s="67" t="s">
        <v>204</v>
      </c>
      <c r="G2" s="67"/>
      <c r="H2" s="67"/>
      <c r="I2" s="2"/>
      <c r="J2" s="2"/>
    </row>
    <row r="3" spans="1:10" ht="24" customHeight="1">
      <c r="A3" s="4" t="s">
        <v>17</v>
      </c>
      <c r="B3" s="4"/>
      <c r="C3" s="4" t="s">
        <v>18</v>
      </c>
      <c r="D3" s="4"/>
      <c r="E3" s="2"/>
      <c r="F3" s="3" t="s">
        <v>144</v>
      </c>
      <c r="G3" s="3" t="s">
        <v>205</v>
      </c>
      <c r="H3" s="3" t="s">
        <v>206</v>
      </c>
      <c r="I3" s="2"/>
      <c r="J3" s="2"/>
    </row>
    <row r="4" spans="1:10" ht="24" customHeight="1">
      <c r="A4" s="4" t="s">
        <v>24</v>
      </c>
      <c r="B4" s="4"/>
      <c r="C4" s="4" t="s">
        <v>25</v>
      </c>
      <c r="D4" s="4"/>
      <c r="E4" s="2"/>
      <c r="F4" s="4">
        <f t="shared" ref="F4:F13" si="0">ROW()-3</f>
        <v>1</v>
      </c>
      <c r="G4" s="4"/>
      <c r="H4" s="4" t="str">
        <f>IF(OR(G4="",G4="空"),"",IFERROR(VLOOKUP(G4,【墨家】物品库!$K$5:$M$300,3,FALSE),""))</f>
        <v/>
      </c>
      <c r="I4" s="2"/>
      <c r="J4" s="2"/>
    </row>
    <row r="5" spans="1:10" ht="24" customHeight="1">
      <c r="A5" s="4" t="s">
        <v>28</v>
      </c>
      <c r="B5" s="4"/>
      <c r="C5" s="4" t="s">
        <v>29</v>
      </c>
      <c r="D5" s="4"/>
      <c r="E5" s="2"/>
      <c r="F5" s="4">
        <f t="shared" si="0"/>
        <v>2</v>
      </c>
      <c r="G5" s="4"/>
      <c r="H5" s="4" t="str">
        <f>IF(OR(G5="",G5="空"),"",IFERROR(VLOOKUP(G5,【墨家】物品库!$K$5:$M$300,3,FALSE),""))</f>
        <v/>
      </c>
      <c r="I5" s="2"/>
      <c r="J5" s="2"/>
    </row>
    <row r="6" spans="1:10" ht="24" customHeight="1">
      <c r="A6" s="4" t="s">
        <v>33</v>
      </c>
      <c r="B6" s="4"/>
      <c r="C6" s="4" t="s">
        <v>34</v>
      </c>
      <c r="D6" s="4"/>
      <c r="E6" s="2"/>
      <c r="F6" s="4">
        <f t="shared" si="0"/>
        <v>3</v>
      </c>
      <c r="G6" s="4"/>
      <c r="H6" s="4" t="str">
        <f>IF(OR(G6="",G6="空"),"",IFERROR(VLOOKUP(G6,【墨家】物品库!$K$5:$M$300,3,FALSE),""))</f>
        <v/>
      </c>
      <c r="I6" s="2"/>
      <c r="J6" s="2"/>
    </row>
    <row r="7" spans="1:10" ht="24" customHeight="1">
      <c r="A7" s="4" t="s">
        <v>148</v>
      </c>
      <c r="B7" s="4"/>
      <c r="C7" s="4" t="s">
        <v>41</v>
      </c>
      <c r="D7" s="4"/>
      <c r="E7" s="2"/>
      <c r="F7" s="4">
        <f t="shared" si="0"/>
        <v>4</v>
      </c>
      <c r="G7" s="4"/>
      <c r="H7" s="4" t="str">
        <f>IF(OR(G7="",G7="空"),"",IFERROR(VLOOKUP(G7,【墨家】物品库!$K$5:$M$300,3,FALSE),""))</f>
        <v/>
      </c>
      <c r="I7" s="2"/>
      <c r="J7" s="2"/>
    </row>
    <row r="8" spans="1:10" ht="24" customHeight="1">
      <c r="A8" s="4" t="s">
        <v>174</v>
      </c>
      <c r="B8" s="4"/>
      <c r="C8" s="4" t="s">
        <v>11</v>
      </c>
      <c r="D8" s="4"/>
      <c r="E8" s="2"/>
      <c r="F8" s="4">
        <f t="shared" si="0"/>
        <v>5</v>
      </c>
      <c r="G8" s="4"/>
      <c r="H8" s="4" t="str">
        <f>IF(OR(G8="",G8="空"),"",IFERROR(VLOOKUP(G8,【墨家】物品库!$K$5:$M$300,3,FALSE),""))</f>
        <v/>
      </c>
      <c r="I8" s="2"/>
      <c r="J8" s="2"/>
    </row>
    <row r="9" spans="1:10" ht="24" customHeight="1">
      <c r="A9" s="4" t="s">
        <v>153</v>
      </c>
      <c r="B9" s="4"/>
      <c r="C9" s="4" t="s">
        <v>207</v>
      </c>
      <c r="D9" s="4"/>
      <c r="E9" s="2"/>
      <c r="F9" s="4">
        <f t="shared" si="0"/>
        <v>6</v>
      </c>
      <c r="G9" s="4"/>
      <c r="H9" s="4" t="str">
        <f>IF(OR(G9="",G9="空"),"",IFERROR(VLOOKUP(G9,【墨家】物品库!$K$5:$M$300,3,FALSE),""))</f>
        <v/>
      </c>
      <c r="I9" s="2"/>
      <c r="J9" s="2"/>
    </row>
    <row r="10" spans="1:10" ht="24" customHeight="1">
      <c r="A10" s="2"/>
      <c r="B10" s="2"/>
      <c r="C10" s="2"/>
      <c r="D10" s="2"/>
      <c r="E10" s="2"/>
      <c r="F10" s="4">
        <f t="shared" si="0"/>
        <v>7</v>
      </c>
      <c r="G10" s="4"/>
      <c r="H10" s="4" t="str">
        <f>IF(OR(G10="",G10="空"),"",IFERROR(VLOOKUP(G10,【墨家】物品库!$K$5:$M$300,3,FALSE),""))</f>
        <v/>
      </c>
      <c r="I10" s="2"/>
      <c r="J10" s="2"/>
    </row>
    <row r="11" spans="1:10" ht="24" customHeight="1">
      <c r="A11" s="5" t="s">
        <v>208</v>
      </c>
      <c r="B11" s="4">
        <f>1+SUM(D18:D27)</f>
        <v>1</v>
      </c>
      <c r="C11" s="5" t="s">
        <v>209</v>
      </c>
      <c r="D11" s="4">
        <v>5</v>
      </c>
      <c r="E11" s="2"/>
      <c r="F11" s="4">
        <f t="shared" si="0"/>
        <v>8</v>
      </c>
      <c r="G11" s="4"/>
      <c r="H11" s="4" t="str">
        <f>IF(OR(G11="",G11="空"),"",IFERROR(VLOOKUP(G11,【墨家】物品库!$K$5:$M$300,3,FALSE),""))</f>
        <v/>
      </c>
      <c r="I11" s="2"/>
      <c r="J11" s="2"/>
    </row>
    <row r="12" spans="1:10" ht="24" customHeight="1">
      <c r="A12" s="5" t="s">
        <v>210</v>
      </c>
      <c r="B12" s="4">
        <f>COUNTIFS(G4:G13,"&lt;&gt;",G4:G13,"&lt;&gt;空")</f>
        <v>0</v>
      </c>
      <c r="C12" s="5" t="s">
        <v>211</v>
      </c>
      <c r="D12" s="4">
        <f>D11+SUM(C18:C27)+B13</f>
        <v>5</v>
      </c>
      <c r="E12" s="2"/>
      <c r="F12" s="4">
        <f t="shared" si="0"/>
        <v>9</v>
      </c>
      <c r="G12" s="4"/>
      <c r="H12" s="4" t="str">
        <f>IF(OR(G12="",G12="空"),"",IFERROR(VLOOKUP(G12,【墨家】物品库!$K$5:$M$300,3,FALSE),""))</f>
        <v/>
      </c>
      <c r="I12" s="2"/>
      <c r="J12" s="2"/>
    </row>
    <row r="13" spans="1:10" ht="24" customHeight="1">
      <c r="A13" s="5" t="s">
        <v>212</v>
      </c>
      <c r="B13" s="4">
        <f>COUNTIF(G4:G13,"槽位插件")*3</f>
        <v>0</v>
      </c>
      <c r="C13" s="5" t="s">
        <v>213</v>
      </c>
      <c r="D13" s="4">
        <f>SUM(I31:I330)</f>
        <v>0</v>
      </c>
      <c r="E13" s="2"/>
      <c r="F13" s="4">
        <f t="shared" si="0"/>
        <v>10</v>
      </c>
      <c r="G13" s="4"/>
      <c r="H13" s="4" t="str">
        <f>IF(OR(G13="",G13="空"),"",IFERROR(VLOOKUP(G13,【墨家】物品库!$K$5:$M$300,3,FALSE),""))</f>
        <v/>
      </c>
      <c r="I13" s="2"/>
      <c r="J13" s="2"/>
    </row>
    <row r="14" spans="1:10" ht="24" customHeight="1">
      <c r="A14" s="5" t="s">
        <v>214</v>
      </c>
      <c r="B14" s="4">
        <f>B11-B12</f>
        <v>1</v>
      </c>
      <c r="C14" s="5" t="s">
        <v>215</v>
      </c>
      <c r="D14" s="4">
        <f>D12-D13</f>
        <v>5</v>
      </c>
      <c r="E14" s="2"/>
      <c r="F14" s="2"/>
      <c r="G14" s="2"/>
      <c r="H14" s="2"/>
      <c r="I14" s="2"/>
      <c r="J14" s="2"/>
    </row>
    <row r="15" spans="1:10" ht="24" customHeight="1">
      <c r="A15" s="2"/>
      <c r="B15" s="2"/>
      <c r="C15" s="5" t="s">
        <v>216</v>
      </c>
      <c r="D15" s="4" t="s">
        <v>217</v>
      </c>
      <c r="E15" s="2"/>
      <c r="F15" s="2"/>
      <c r="G15" s="2"/>
      <c r="H15" s="2"/>
      <c r="I15" s="2"/>
      <c r="J15" s="2"/>
    </row>
    <row r="16" spans="1:10" ht="25.95" customHeight="1">
      <c r="A16" s="68" t="s">
        <v>218</v>
      </c>
      <c r="B16" s="68"/>
      <c r="C16" s="68"/>
      <c r="D16" s="68"/>
      <c r="E16" s="68"/>
      <c r="F16" s="71" t="s">
        <v>219</v>
      </c>
      <c r="G16" s="71"/>
      <c r="H16" s="71"/>
      <c r="I16" s="2"/>
      <c r="J16" s="2"/>
    </row>
    <row r="17" spans="1:10" ht="25.95" customHeight="1">
      <c r="A17" s="3" t="s">
        <v>144</v>
      </c>
      <c r="B17" s="3" t="s">
        <v>134</v>
      </c>
      <c r="C17" s="3" t="s">
        <v>220</v>
      </c>
      <c r="D17" s="3" t="s">
        <v>221</v>
      </c>
      <c r="E17" s="3" t="s">
        <v>136</v>
      </c>
      <c r="F17" s="71"/>
      <c r="G17" s="71"/>
      <c r="H17" s="71"/>
      <c r="I17" s="2"/>
      <c r="J17" s="2"/>
    </row>
    <row r="18" spans="1:10" ht="24" customHeight="1">
      <c r="A18" s="6">
        <f t="shared" ref="A18:A27" si="1">ROW()-17</f>
        <v>1</v>
      </c>
      <c r="B18" s="6"/>
      <c r="C18" s="6"/>
      <c r="D18" s="6"/>
      <c r="E18" s="6"/>
      <c r="F18" s="2"/>
      <c r="G18" s="2"/>
      <c r="H18" s="2"/>
      <c r="I18" s="2"/>
      <c r="J18" s="2"/>
    </row>
    <row r="19" spans="1:10" ht="24" customHeight="1">
      <c r="A19" s="6">
        <f t="shared" si="1"/>
        <v>2</v>
      </c>
      <c r="B19" s="6"/>
      <c r="C19" s="6"/>
      <c r="D19" s="6"/>
      <c r="E19" s="6"/>
      <c r="F19" s="2"/>
      <c r="G19" s="2"/>
      <c r="H19" s="2"/>
      <c r="I19" s="2"/>
      <c r="J19" s="2"/>
    </row>
    <row r="20" spans="1:10" ht="24" customHeight="1">
      <c r="A20" s="6">
        <f t="shared" si="1"/>
        <v>3</v>
      </c>
      <c r="B20" s="6"/>
      <c r="C20" s="6"/>
      <c r="D20" s="6"/>
      <c r="E20" s="6"/>
      <c r="F20" s="2"/>
      <c r="G20" s="2"/>
      <c r="H20" s="2"/>
      <c r="I20" s="2"/>
      <c r="J20" s="2"/>
    </row>
    <row r="21" spans="1:10" ht="24" customHeight="1">
      <c r="A21" s="6">
        <f t="shared" si="1"/>
        <v>4</v>
      </c>
      <c r="B21" s="6"/>
      <c r="C21" s="6"/>
      <c r="D21" s="6"/>
      <c r="E21" s="6"/>
      <c r="F21" s="2"/>
      <c r="G21" s="2"/>
      <c r="H21" s="2"/>
      <c r="I21" s="2"/>
      <c r="J21" s="2"/>
    </row>
    <row r="22" spans="1:10" ht="24" customHeight="1">
      <c r="A22" s="6">
        <f t="shared" si="1"/>
        <v>5</v>
      </c>
      <c r="B22" s="6"/>
      <c r="C22" s="6"/>
      <c r="D22" s="6"/>
      <c r="E22" s="6"/>
      <c r="F22" s="2"/>
      <c r="G22" s="2"/>
      <c r="H22" s="2"/>
      <c r="I22" s="2"/>
      <c r="J22" s="2"/>
    </row>
    <row r="23" spans="1:10" ht="24" customHeight="1">
      <c r="A23" s="6">
        <f t="shared" si="1"/>
        <v>6</v>
      </c>
      <c r="B23" s="6"/>
      <c r="C23" s="6"/>
      <c r="D23" s="6"/>
      <c r="E23" s="6"/>
      <c r="F23" s="2"/>
      <c r="G23" s="2"/>
      <c r="H23" s="2"/>
      <c r="I23" s="2"/>
      <c r="J23" s="2"/>
    </row>
    <row r="24" spans="1:10" ht="24" customHeight="1">
      <c r="A24" s="6">
        <f t="shared" si="1"/>
        <v>7</v>
      </c>
      <c r="B24" s="6"/>
      <c r="C24" s="6"/>
      <c r="D24" s="6"/>
      <c r="E24" s="6"/>
      <c r="F24" s="2"/>
      <c r="G24" s="2"/>
      <c r="H24" s="2"/>
      <c r="I24" s="2"/>
      <c r="J24" s="2"/>
    </row>
    <row r="25" spans="1:10" ht="24" customHeight="1">
      <c r="A25" s="6">
        <f t="shared" si="1"/>
        <v>8</v>
      </c>
      <c r="B25" s="6"/>
      <c r="C25" s="6"/>
      <c r="D25" s="6"/>
      <c r="E25" s="6"/>
      <c r="F25" s="2"/>
      <c r="G25" s="2"/>
      <c r="H25" s="2"/>
      <c r="I25" s="2"/>
      <c r="J25" s="2"/>
    </row>
    <row r="26" spans="1:10" ht="24" customHeight="1">
      <c r="A26" s="6">
        <f t="shared" si="1"/>
        <v>9</v>
      </c>
      <c r="B26" s="6"/>
      <c r="C26" s="6"/>
      <c r="D26" s="6"/>
      <c r="E26" s="6"/>
      <c r="F26" s="2"/>
      <c r="G26" s="2"/>
      <c r="H26" s="2"/>
      <c r="I26" s="2"/>
      <c r="J26" s="2"/>
    </row>
    <row r="27" spans="1:10" ht="24" customHeight="1">
      <c r="A27" s="6">
        <f t="shared" si="1"/>
        <v>10</v>
      </c>
      <c r="B27" s="6"/>
      <c r="C27" s="6"/>
      <c r="D27" s="6"/>
      <c r="E27" s="6"/>
      <c r="F27" s="2"/>
      <c r="G27" s="2"/>
      <c r="H27" s="2"/>
      <c r="I27" s="2"/>
      <c r="J27" s="2"/>
    </row>
    <row r="28" spans="1:10" ht="24" customHeight="1">
      <c r="A28" s="2"/>
      <c r="B28" s="2"/>
      <c r="C28" s="2"/>
      <c r="D28" s="2"/>
      <c r="E28" s="2"/>
      <c r="F28" s="2"/>
      <c r="G28" s="2"/>
      <c r="H28" s="2"/>
      <c r="I28" s="2"/>
      <c r="J28" s="2"/>
    </row>
    <row r="29" spans="1:10" ht="25.95" customHeight="1">
      <c r="A29" s="69" t="s">
        <v>222</v>
      </c>
      <c r="B29" s="69"/>
      <c r="C29" s="69"/>
      <c r="D29" s="69"/>
      <c r="E29" s="69"/>
      <c r="F29" s="2"/>
      <c r="G29" s="2"/>
      <c r="H29" s="2"/>
      <c r="I29" s="2"/>
      <c r="J29" s="2"/>
    </row>
    <row r="30" spans="1:10" ht="25.95" customHeight="1">
      <c r="A30" s="3" t="s">
        <v>139</v>
      </c>
      <c r="B30" s="70" t="s">
        <v>140</v>
      </c>
      <c r="C30" s="70"/>
      <c r="D30" s="70"/>
      <c r="E30" s="70"/>
      <c r="F30" s="2"/>
      <c r="G30" s="2"/>
      <c r="H30" s="2"/>
      <c r="I30" s="2"/>
      <c r="J30" s="2"/>
    </row>
    <row r="31" spans="1:10" ht="24" customHeight="1">
      <c r="A31" s="7">
        <v>1</v>
      </c>
      <c r="B31" s="72"/>
      <c r="C31" s="73"/>
      <c r="D31" s="73"/>
      <c r="E31" s="74"/>
      <c r="F31" s="2"/>
      <c r="G31" s="2"/>
      <c r="H31" s="2"/>
      <c r="I31" s="2"/>
      <c r="J31" s="2"/>
    </row>
    <row r="32" spans="1:10" ht="24" customHeight="1">
      <c r="A32" s="7">
        <v>2</v>
      </c>
      <c r="B32" s="72"/>
      <c r="C32" s="73"/>
      <c r="D32" s="73"/>
      <c r="E32" s="74"/>
      <c r="F32" s="2"/>
      <c r="G32" s="2"/>
      <c r="H32" s="2"/>
      <c r="I32" s="2"/>
      <c r="J32" s="2"/>
    </row>
    <row r="33" spans="1:10" ht="24" customHeight="1">
      <c r="A33" s="7">
        <v>3</v>
      </c>
      <c r="B33" s="72"/>
      <c r="C33" s="73"/>
      <c r="D33" s="73"/>
      <c r="E33" s="74"/>
      <c r="F33" s="2"/>
      <c r="G33" s="2"/>
      <c r="H33" s="2"/>
      <c r="I33" s="2"/>
      <c r="J33" s="2"/>
    </row>
    <row r="34" spans="1:10" ht="24" customHeight="1">
      <c r="A34" s="7">
        <v>4</v>
      </c>
      <c r="B34" s="72"/>
      <c r="C34" s="73"/>
      <c r="D34" s="73"/>
      <c r="E34" s="74"/>
      <c r="F34" s="2"/>
      <c r="G34" s="2"/>
      <c r="H34" s="2"/>
      <c r="I34" s="2"/>
      <c r="J34" s="2"/>
    </row>
    <row r="35" spans="1:10" ht="24" customHeight="1">
      <c r="A35" s="7">
        <v>5</v>
      </c>
      <c r="B35" s="72"/>
      <c r="C35" s="73"/>
      <c r="D35" s="73"/>
      <c r="E35" s="74"/>
      <c r="F35" s="2"/>
      <c r="G35" s="2"/>
      <c r="H35" s="2"/>
      <c r="I35" s="2"/>
      <c r="J35" s="2"/>
    </row>
    <row r="36" spans="1:10" ht="24" hidden="1" customHeight="1">
      <c r="A36" s="7">
        <v>6</v>
      </c>
      <c r="B36" s="8"/>
      <c r="C36" s="8"/>
      <c r="D36" s="8"/>
      <c r="E36" s="8"/>
      <c r="F36" s="2"/>
      <c r="G36" s="2"/>
      <c r="H36" s="2"/>
      <c r="I36" s="2"/>
      <c r="J36" s="2"/>
    </row>
    <row r="37" spans="1:10" ht="24" hidden="1" customHeight="1">
      <c r="A37" s="7">
        <v>7</v>
      </c>
      <c r="B37" s="8"/>
      <c r="C37" s="8"/>
      <c r="D37" s="8"/>
      <c r="E37" s="8"/>
      <c r="F37" s="2"/>
      <c r="G37" s="2"/>
      <c r="H37" s="2"/>
      <c r="I37" s="2"/>
      <c r="J37" s="2"/>
    </row>
    <row r="38" spans="1:10" ht="24" hidden="1" customHeight="1">
      <c r="A38" s="7">
        <v>8</v>
      </c>
      <c r="B38" s="8"/>
      <c r="C38" s="8"/>
      <c r="D38" s="8"/>
      <c r="E38" s="8"/>
      <c r="F38" s="2"/>
      <c r="G38" s="2"/>
      <c r="H38" s="2"/>
      <c r="I38" s="2"/>
      <c r="J38" s="2"/>
    </row>
    <row r="39" spans="1:10" ht="24" hidden="1" customHeight="1">
      <c r="A39" s="7">
        <v>9</v>
      </c>
      <c r="B39" s="8"/>
      <c r="C39" s="8"/>
      <c r="D39" s="8"/>
      <c r="E39" s="8"/>
      <c r="F39" s="2"/>
      <c r="G39" s="2"/>
      <c r="H39" s="2"/>
      <c r="I39" s="2"/>
      <c r="J39" s="2"/>
    </row>
    <row r="40" spans="1:10" ht="24" hidden="1" customHeight="1">
      <c r="A40" s="7">
        <v>10</v>
      </c>
      <c r="B40" s="8"/>
      <c r="C40" s="8"/>
      <c r="D40" s="8"/>
      <c r="E40" s="8"/>
      <c r="F40" s="2"/>
      <c r="G40" s="2"/>
      <c r="H40" s="2"/>
      <c r="I40" s="2"/>
      <c r="J40" s="2"/>
    </row>
    <row r="41" spans="1:10" ht="24" hidden="1" customHeight="1">
      <c r="A41" s="7">
        <v>11</v>
      </c>
      <c r="B41" s="8"/>
      <c r="C41" s="8"/>
      <c r="D41" s="8"/>
      <c r="E41" s="8"/>
      <c r="F41" s="2"/>
      <c r="G41" s="2"/>
      <c r="H41" s="2"/>
      <c r="I41" s="2"/>
      <c r="J41" s="2"/>
    </row>
    <row r="42" spans="1:10" ht="24" hidden="1" customHeight="1">
      <c r="A42" s="7">
        <v>12</v>
      </c>
      <c r="B42" s="8"/>
      <c r="C42" s="8"/>
      <c r="D42" s="8"/>
      <c r="E42" s="8"/>
      <c r="F42" s="2"/>
      <c r="G42" s="2"/>
      <c r="H42" s="2"/>
      <c r="I42" s="2"/>
      <c r="J42" s="2"/>
    </row>
    <row r="43" spans="1:10" ht="24" hidden="1" customHeight="1">
      <c r="A43" s="7">
        <v>13</v>
      </c>
      <c r="B43" s="8"/>
      <c r="C43" s="8"/>
      <c r="D43" s="8"/>
      <c r="E43" s="8"/>
      <c r="F43" s="2"/>
      <c r="G43" s="2"/>
      <c r="H43" s="2"/>
      <c r="I43" s="2"/>
      <c r="J43" s="2"/>
    </row>
    <row r="44" spans="1:10" ht="24" hidden="1" customHeight="1">
      <c r="A44" s="7">
        <v>14</v>
      </c>
      <c r="B44" s="8"/>
      <c r="C44" s="8"/>
      <c r="D44" s="8"/>
      <c r="E44" s="8"/>
      <c r="F44" s="2"/>
      <c r="G44" s="2"/>
      <c r="H44" s="2"/>
      <c r="I44" s="2"/>
      <c r="J44" s="2"/>
    </row>
    <row r="45" spans="1:10" ht="24" hidden="1" customHeight="1">
      <c r="A45" s="7">
        <v>15</v>
      </c>
      <c r="B45" s="8"/>
      <c r="C45" s="8"/>
      <c r="D45" s="8"/>
      <c r="E45" s="8"/>
      <c r="F45" s="2"/>
      <c r="G45" s="2"/>
      <c r="H45" s="2"/>
      <c r="I45" s="2"/>
      <c r="J45" s="2"/>
    </row>
    <row r="46" spans="1:10" ht="24" hidden="1" customHeight="1">
      <c r="A46" s="7">
        <v>16</v>
      </c>
      <c r="B46" s="8"/>
      <c r="C46" s="8"/>
      <c r="D46" s="8"/>
      <c r="E46" s="8"/>
      <c r="F46" s="2"/>
      <c r="G46" s="2"/>
      <c r="H46" s="2"/>
      <c r="I46" s="2"/>
      <c r="J46" s="2"/>
    </row>
    <row r="47" spans="1:10" ht="24" hidden="1" customHeight="1">
      <c r="A47" s="7">
        <v>17</v>
      </c>
      <c r="B47" s="8"/>
      <c r="C47" s="8"/>
      <c r="D47" s="8"/>
      <c r="E47" s="8"/>
      <c r="F47" s="2"/>
      <c r="G47" s="2"/>
      <c r="H47" s="2"/>
      <c r="I47" s="2"/>
      <c r="J47" s="2"/>
    </row>
    <row r="48" spans="1:10" ht="24" hidden="1" customHeight="1">
      <c r="A48" s="7">
        <v>18</v>
      </c>
      <c r="B48" s="8"/>
      <c r="C48" s="8"/>
      <c r="D48" s="8"/>
      <c r="E48" s="8"/>
      <c r="F48" s="2"/>
      <c r="G48" s="2"/>
      <c r="H48" s="2"/>
      <c r="I48" s="2"/>
      <c r="J48" s="2"/>
    </row>
    <row r="49" spans="1:10" ht="24" hidden="1" customHeight="1">
      <c r="A49" s="7">
        <v>19</v>
      </c>
      <c r="B49" s="8"/>
      <c r="C49" s="8"/>
      <c r="D49" s="8"/>
      <c r="E49" s="8"/>
      <c r="F49" s="2"/>
      <c r="G49" s="2"/>
      <c r="H49" s="2"/>
      <c r="I49" s="2"/>
      <c r="J49" s="2"/>
    </row>
    <row r="50" spans="1:10" ht="24" hidden="1" customHeight="1">
      <c r="A50" s="7">
        <v>20</v>
      </c>
      <c r="B50" s="8"/>
      <c r="C50" s="8"/>
      <c r="D50" s="8"/>
      <c r="E50" s="8"/>
      <c r="F50" s="2"/>
      <c r="G50" s="2"/>
      <c r="H50" s="2"/>
      <c r="I50" s="2"/>
      <c r="J50" s="2"/>
    </row>
    <row r="51" spans="1:10" ht="24" hidden="1" customHeight="1">
      <c r="A51" s="7">
        <v>21</v>
      </c>
      <c r="B51" s="8"/>
      <c r="C51" s="8"/>
      <c r="D51" s="8"/>
      <c r="E51" s="8"/>
      <c r="F51" s="2"/>
      <c r="G51" s="2"/>
      <c r="H51" s="2"/>
      <c r="I51" s="2"/>
      <c r="J51" s="2"/>
    </row>
    <row r="52" spans="1:10" ht="24" hidden="1" customHeight="1">
      <c r="A52" s="7">
        <v>22</v>
      </c>
      <c r="B52" s="8"/>
      <c r="C52" s="8"/>
      <c r="D52" s="8"/>
      <c r="E52" s="8"/>
      <c r="F52" s="2"/>
      <c r="G52" s="2"/>
      <c r="H52" s="2"/>
      <c r="I52" s="2"/>
      <c r="J52" s="2"/>
    </row>
    <row r="53" spans="1:10" ht="24" hidden="1" customHeight="1">
      <c r="A53" s="7">
        <v>23</v>
      </c>
      <c r="B53" s="8"/>
      <c r="C53" s="8"/>
      <c r="D53" s="8"/>
      <c r="E53" s="8"/>
      <c r="F53" s="2"/>
      <c r="G53" s="2"/>
      <c r="H53" s="2"/>
      <c r="I53" s="2"/>
      <c r="J53" s="2"/>
    </row>
    <row r="54" spans="1:10" ht="24" hidden="1" customHeight="1">
      <c r="A54" s="7">
        <v>24</v>
      </c>
      <c r="B54" s="8"/>
      <c r="C54" s="8"/>
      <c r="D54" s="8"/>
      <c r="E54" s="8"/>
      <c r="F54" s="2"/>
      <c r="G54" s="2"/>
      <c r="H54" s="2"/>
      <c r="I54" s="2"/>
      <c r="J54" s="2"/>
    </row>
    <row r="55" spans="1:10" ht="24" hidden="1" customHeight="1">
      <c r="A55" s="7">
        <v>25</v>
      </c>
      <c r="B55" s="8"/>
      <c r="C55" s="8"/>
      <c r="D55" s="8"/>
      <c r="E55" s="8"/>
      <c r="F55" s="2"/>
      <c r="G55" s="2"/>
      <c r="H55" s="2"/>
      <c r="I55" s="2"/>
      <c r="J55" s="2"/>
    </row>
    <row r="56" spans="1:10" ht="24" hidden="1" customHeight="1">
      <c r="A56" s="7">
        <v>26</v>
      </c>
      <c r="B56" s="8"/>
      <c r="C56" s="8"/>
      <c r="D56" s="8"/>
      <c r="E56" s="8"/>
      <c r="F56" s="2"/>
      <c r="G56" s="2"/>
      <c r="H56" s="2"/>
      <c r="I56" s="2"/>
      <c r="J56" s="2"/>
    </row>
    <row r="57" spans="1:10" ht="24" hidden="1" customHeight="1">
      <c r="A57" s="7">
        <v>27</v>
      </c>
      <c r="B57" s="8"/>
      <c r="C57" s="8"/>
      <c r="D57" s="8"/>
      <c r="E57" s="8"/>
      <c r="F57" s="2"/>
      <c r="G57" s="2"/>
      <c r="H57" s="2"/>
      <c r="I57" s="2"/>
      <c r="J57" s="2"/>
    </row>
    <row r="58" spans="1:10" ht="24" hidden="1" customHeight="1">
      <c r="A58" s="7">
        <v>28</v>
      </c>
      <c r="B58" s="8"/>
      <c r="C58" s="8"/>
      <c r="D58" s="8"/>
      <c r="E58" s="8"/>
      <c r="F58" s="2"/>
      <c r="G58" s="2"/>
      <c r="H58" s="2"/>
      <c r="I58" s="2"/>
      <c r="J58" s="2"/>
    </row>
    <row r="59" spans="1:10" ht="24" hidden="1" customHeight="1">
      <c r="A59" s="7">
        <v>29</v>
      </c>
      <c r="B59" s="8"/>
      <c r="C59" s="8"/>
      <c r="D59" s="8"/>
      <c r="E59" s="8"/>
      <c r="F59" s="2"/>
      <c r="G59" s="2"/>
      <c r="H59" s="2"/>
      <c r="I59" s="2"/>
      <c r="J59" s="2"/>
    </row>
    <row r="60" spans="1:10" ht="24" hidden="1" customHeight="1">
      <c r="A60" s="7">
        <v>30</v>
      </c>
      <c r="B60" s="8"/>
      <c r="C60" s="8"/>
      <c r="D60" s="8"/>
      <c r="E60" s="8"/>
      <c r="F60" s="2"/>
      <c r="G60" s="2"/>
      <c r="H60" s="2"/>
      <c r="I60" s="2"/>
      <c r="J60" s="2"/>
    </row>
    <row r="61" spans="1:10" ht="24" hidden="1" customHeight="1">
      <c r="A61" s="7">
        <v>31</v>
      </c>
      <c r="B61" s="8"/>
      <c r="C61" s="8"/>
      <c r="D61" s="8"/>
      <c r="E61" s="8"/>
      <c r="F61" s="2"/>
      <c r="G61" s="2"/>
      <c r="H61" s="2"/>
      <c r="I61" s="2"/>
      <c r="J61" s="2"/>
    </row>
    <row r="62" spans="1:10" ht="24" hidden="1" customHeight="1">
      <c r="A62" s="7">
        <v>32</v>
      </c>
      <c r="B62" s="8"/>
      <c r="C62" s="8"/>
      <c r="D62" s="8"/>
      <c r="E62" s="8"/>
      <c r="F62" s="2"/>
      <c r="G62" s="2"/>
      <c r="H62" s="2"/>
      <c r="I62" s="2"/>
      <c r="J62" s="2"/>
    </row>
    <row r="63" spans="1:10" ht="24" hidden="1" customHeight="1">
      <c r="A63" s="7">
        <v>33</v>
      </c>
      <c r="B63" s="8"/>
      <c r="C63" s="8"/>
      <c r="D63" s="8"/>
      <c r="E63" s="8"/>
      <c r="F63" s="2"/>
      <c r="G63" s="2"/>
      <c r="H63" s="2"/>
      <c r="I63" s="2"/>
      <c r="J63" s="2"/>
    </row>
    <row r="64" spans="1:10" ht="24" hidden="1" customHeight="1">
      <c r="A64" s="7">
        <v>34</v>
      </c>
      <c r="B64" s="8"/>
      <c r="C64" s="8"/>
      <c r="D64" s="8"/>
      <c r="E64" s="8"/>
      <c r="F64" s="2"/>
      <c r="G64" s="2"/>
      <c r="H64" s="2"/>
      <c r="I64" s="2"/>
      <c r="J64" s="2"/>
    </row>
    <row r="65" spans="1:10" ht="24" hidden="1" customHeight="1">
      <c r="A65" s="7">
        <v>35</v>
      </c>
      <c r="B65" s="8"/>
      <c r="C65" s="8"/>
      <c r="D65" s="8"/>
      <c r="E65" s="8"/>
      <c r="F65" s="2"/>
      <c r="G65" s="2"/>
      <c r="H65" s="2"/>
      <c r="I65" s="2"/>
      <c r="J65" s="2"/>
    </row>
    <row r="66" spans="1:10" ht="24" hidden="1" customHeight="1">
      <c r="A66" s="7">
        <v>36</v>
      </c>
      <c r="B66" s="8"/>
      <c r="C66" s="8"/>
      <c r="D66" s="8"/>
      <c r="E66" s="8"/>
      <c r="F66" s="2"/>
      <c r="G66" s="2"/>
      <c r="H66" s="2"/>
      <c r="I66" s="2"/>
      <c r="J66" s="2"/>
    </row>
    <row r="67" spans="1:10" ht="24" hidden="1" customHeight="1">
      <c r="A67" s="7">
        <v>37</v>
      </c>
      <c r="B67" s="8"/>
      <c r="C67" s="8"/>
      <c r="D67" s="8"/>
      <c r="E67" s="8"/>
      <c r="F67" s="2"/>
      <c r="G67" s="2"/>
      <c r="H67" s="2"/>
      <c r="I67" s="2"/>
      <c r="J67" s="2"/>
    </row>
    <row r="68" spans="1:10" ht="24" hidden="1" customHeight="1">
      <c r="A68" s="7">
        <v>38</v>
      </c>
      <c r="B68" s="8"/>
      <c r="C68" s="8"/>
      <c r="D68" s="8"/>
      <c r="E68" s="8"/>
      <c r="F68" s="2"/>
      <c r="G68" s="2"/>
      <c r="H68" s="2"/>
      <c r="I68" s="2"/>
      <c r="J68" s="2"/>
    </row>
    <row r="69" spans="1:10" ht="24" hidden="1" customHeight="1">
      <c r="A69" s="7">
        <v>39</v>
      </c>
      <c r="B69" s="8"/>
      <c r="C69" s="8"/>
      <c r="D69" s="8"/>
      <c r="E69" s="8"/>
      <c r="F69" s="2"/>
      <c r="G69" s="2"/>
      <c r="H69" s="2"/>
      <c r="I69" s="2"/>
      <c r="J69" s="2"/>
    </row>
    <row r="70" spans="1:10" ht="24" hidden="1" customHeight="1">
      <c r="A70" s="7">
        <v>40</v>
      </c>
      <c r="B70" s="8"/>
      <c r="C70" s="8"/>
      <c r="D70" s="8"/>
      <c r="E70" s="8"/>
      <c r="F70" s="2"/>
      <c r="G70" s="2"/>
      <c r="H70" s="2"/>
      <c r="I70" s="2"/>
      <c r="J70" s="2"/>
    </row>
    <row r="71" spans="1:10" ht="24" hidden="1" customHeight="1">
      <c r="A71" s="7">
        <v>41</v>
      </c>
      <c r="B71" s="8"/>
      <c r="C71" s="8"/>
      <c r="D71" s="8"/>
      <c r="E71" s="8"/>
      <c r="F71" s="2"/>
      <c r="G71" s="2"/>
      <c r="H71" s="2"/>
      <c r="I71" s="2"/>
      <c r="J71" s="2"/>
    </row>
    <row r="72" spans="1:10" ht="24" hidden="1" customHeight="1">
      <c r="A72" s="7">
        <v>42</v>
      </c>
      <c r="B72" s="8"/>
      <c r="C72" s="8"/>
      <c r="D72" s="8"/>
      <c r="E72" s="8"/>
      <c r="F72" s="2"/>
      <c r="G72" s="2"/>
      <c r="H72" s="2"/>
      <c r="I72" s="2"/>
      <c r="J72" s="2"/>
    </row>
    <row r="73" spans="1:10" ht="24" hidden="1" customHeight="1">
      <c r="A73" s="7">
        <v>43</v>
      </c>
      <c r="B73" s="8"/>
      <c r="C73" s="8"/>
      <c r="D73" s="8"/>
      <c r="E73" s="8"/>
      <c r="F73" s="2"/>
      <c r="G73" s="2"/>
      <c r="H73" s="2"/>
      <c r="I73" s="2"/>
      <c r="J73" s="2"/>
    </row>
    <row r="74" spans="1:10" ht="24" hidden="1" customHeight="1">
      <c r="A74" s="7">
        <v>44</v>
      </c>
      <c r="B74" s="8"/>
      <c r="C74" s="8"/>
      <c r="D74" s="8"/>
      <c r="E74" s="8"/>
      <c r="F74" s="2"/>
      <c r="G74" s="2"/>
      <c r="H74" s="2"/>
      <c r="I74" s="2"/>
      <c r="J74" s="2"/>
    </row>
    <row r="75" spans="1:10" ht="24" hidden="1" customHeight="1">
      <c r="A75" s="7">
        <v>45</v>
      </c>
      <c r="B75" s="8"/>
      <c r="C75" s="8"/>
      <c r="D75" s="8"/>
      <c r="E75" s="8"/>
      <c r="F75" s="2"/>
      <c r="G75" s="2"/>
      <c r="H75" s="2"/>
      <c r="I75" s="2"/>
      <c r="J75" s="2"/>
    </row>
    <row r="76" spans="1:10" ht="24" hidden="1" customHeight="1">
      <c r="A76" s="7">
        <v>46</v>
      </c>
      <c r="B76" s="8"/>
      <c r="C76" s="8"/>
      <c r="D76" s="8"/>
      <c r="E76" s="8"/>
      <c r="F76" s="2"/>
      <c r="G76" s="2"/>
      <c r="H76" s="2"/>
      <c r="I76" s="2"/>
      <c r="J76" s="2"/>
    </row>
    <row r="77" spans="1:10" ht="24" hidden="1" customHeight="1">
      <c r="A77" s="7">
        <v>47</v>
      </c>
      <c r="B77" s="8"/>
      <c r="C77" s="8"/>
      <c r="D77" s="8"/>
      <c r="E77" s="8"/>
      <c r="F77" s="2"/>
      <c r="G77" s="2"/>
      <c r="H77" s="2"/>
      <c r="I77" s="2"/>
      <c r="J77" s="2"/>
    </row>
    <row r="78" spans="1:10" ht="24" hidden="1" customHeight="1">
      <c r="A78" s="7">
        <v>48</v>
      </c>
      <c r="B78" s="8"/>
      <c r="C78" s="8"/>
      <c r="D78" s="8"/>
      <c r="E78" s="8"/>
      <c r="F78" s="2"/>
      <c r="G78" s="2"/>
      <c r="H78" s="2"/>
      <c r="I78" s="2"/>
      <c r="J78" s="2"/>
    </row>
    <row r="79" spans="1:10" ht="24" hidden="1" customHeight="1">
      <c r="A79" s="7">
        <v>49</v>
      </c>
      <c r="B79" s="8"/>
      <c r="C79" s="8"/>
      <c r="D79" s="8"/>
      <c r="E79" s="8"/>
      <c r="F79" s="2"/>
      <c r="G79" s="2"/>
      <c r="H79" s="2"/>
      <c r="I79" s="2"/>
      <c r="J79" s="2"/>
    </row>
    <row r="80" spans="1:10" ht="24" hidden="1" customHeight="1">
      <c r="A80" s="7">
        <v>50</v>
      </c>
      <c r="B80" s="8"/>
      <c r="C80" s="8"/>
      <c r="D80" s="8"/>
      <c r="E80" s="8"/>
      <c r="F80" s="2"/>
      <c r="G80" s="2"/>
      <c r="H80" s="2"/>
      <c r="I80" s="2"/>
      <c r="J80" s="2"/>
    </row>
    <row r="81" spans="1:10" ht="24" hidden="1" customHeight="1">
      <c r="A81" s="7">
        <v>51</v>
      </c>
      <c r="B81" s="8"/>
      <c r="C81" s="8"/>
      <c r="D81" s="8"/>
      <c r="E81" s="8"/>
      <c r="F81" s="2"/>
      <c r="G81" s="2"/>
      <c r="H81" s="2"/>
      <c r="I81" s="2"/>
      <c r="J81" s="2"/>
    </row>
    <row r="82" spans="1:10" ht="24" hidden="1" customHeight="1">
      <c r="A82" s="7">
        <v>52</v>
      </c>
      <c r="B82" s="8"/>
      <c r="C82" s="8"/>
      <c r="D82" s="8"/>
      <c r="E82" s="8"/>
      <c r="F82" s="2"/>
      <c r="G82" s="2"/>
      <c r="H82" s="2"/>
      <c r="I82" s="2"/>
      <c r="J82" s="2"/>
    </row>
    <row r="83" spans="1:10" ht="24" hidden="1" customHeight="1">
      <c r="A83" s="7">
        <v>53</v>
      </c>
      <c r="B83" s="8"/>
      <c r="C83" s="8"/>
      <c r="D83" s="8"/>
      <c r="E83" s="8"/>
      <c r="F83" s="2"/>
      <c r="G83" s="2"/>
      <c r="H83" s="2"/>
      <c r="I83" s="2"/>
      <c r="J83" s="2"/>
    </row>
    <row r="84" spans="1:10" ht="24" hidden="1" customHeight="1">
      <c r="A84" s="7">
        <v>54</v>
      </c>
      <c r="B84" s="8"/>
      <c r="C84" s="8"/>
      <c r="D84" s="8"/>
      <c r="E84" s="8"/>
      <c r="F84" s="2"/>
      <c r="G84" s="2"/>
      <c r="H84" s="2"/>
      <c r="I84" s="2"/>
      <c r="J84" s="2"/>
    </row>
    <row r="85" spans="1:10" ht="24" hidden="1" customHeight="1">
      <c r="A85" s="7">
        <v>55</v>
      </c>
      <c r="B85" s="8"/>
      <c r="C85" s="8"/>
      <c r="D85" s="8"/>
      <c r="E85" s="8"/>
      <c r="F85" s="2"/>
      <c r="G85" s="2"/>
      <c r="H85" s="2"/>
      <c r="I85" s="2"/>
      <c r="J85" s="2"/>
    </row>
    <row r="86" spans="1:10" ht="24" hidden="1" customHeight="1">
      <c r="A86" s="7">
        <v>56</v>
      </c>
      <c r="B86" s="8"/>
      <c r="C86" s="8"/>
      <c r="D86" s="8"/>
      <c r="E86" s="8"/>
      <c r="F86" s="2"/>
      <c r="G86" s="2"/>
      <c r="H86" s="2"/>
      <c r="I86" s="2"/>
      <c r="J86" s="2"/>
    </row>
    <row r="87" spans="1:10" ht="24" hidden="1" customHeight="1">
      <c r="A87" s="7">
        <v>57</v>
      </c>
      <c r="B87" s="8"/>
      <c r="C87" s="8"/>
      <c r="D87" s="8"/>
      <c r="E87" s="8"/>
      <c r="F87" s="2"/>
      <c r="G87" s="2"/>
      <c r="H87" s="2"/>
      <c r="I87" s="2"/>
      <c r="J87" s="2"/>
    </row>
    <row r="88" spans="1:10" ht="24" hidden="1" customHeight="1">
      <c r="A88" s="7">
        <v>58</v>
      </c>
      <c r="B88" s="8"/>
      <c r="C88" s="8"/>
      <c r="D88" s="8"/>
      <c r="E88" s="8"/>
      <c r="F88" s="2"/>
      <c r="G88" s="2"/>
      <c r="H88" s="2"/>
      <c r="I88" s="2"/>
      <c r="J88" s="2"/>
    </row>
    <row r="89" spans="1:10" ht="24" hidden="1" customHeight="1">
      <c r="A89" s="7">
        <v>59</v>
      </c>
      <c r="B89" s="8"/>
      <c r="C89" s="8"/>
      <c r="D89" s="8"/>
      <c r="E89" s="8"/>
      <c r="F89" s="2"/>
      <c r="G89" s="2"/>
      <c r="H89" s="2"/>
      <c r="I89" s="2"/>
      <c r="J89" s="2"/>
    </row>
    <row r="90" spans="1:10" ht="24" hidden="1" customHeight="1">
      <c r="A90" s="7">
        <v>60</v>
      </c>
      <c r="B90" s="8"/>
      <c r="C90" s="8"/>
      <c r="D90" s="8"/>
      <c r="E90" s="8"/>
      <c r="F90" s="2"/>
      <c r="G90" s="2"/>
      <c r="H90" s="2"/>
      <c r="I90" s="2"/>
      <c r="J90" s="2"/>
    </row>
    <row r="91" spans="1:10" ht="24" hidden="1" customHeight="1">
      <c r="A91" s="7">
        <v>61</v>
      </c>
      <c r="B91" s="8"/>
      <c r="C91" s="8"/>
      <c r="D91" s="8"/>
      <c r="E91" s="8"/>
      <c r="F91" s="2"/>
      <c r="G91" s="2"/>
      <c r="H91" s="2"/>
      <c r="I91" s="2"/>
      <c r="J91" s="2"/>
    </row>
    <row r="92" spans="1:10" ht="24" hidden="1" customHeight="1">
      <c r="A92" s="7">
        <v>62</v>
      </c>
      <c r="B92" s="8"/>
      <c r="C92" s="8"/>
      <c r="D92" s="8"/>
      <c r="E92" s="8"/>
      <c r="F92" s="2"/>
      <c r="G92" s="2"/>
      <c r="H92" s="2"/>
      <c r="I92" s="2"/>
      <c r="J92" s="2"/>
    </row>
    <row r="93" spans="1:10" ht="24" hidden="1" customHeight="1">
      <c r="A93" s="7">
        <v>63</v>
      </c>
      <c r="B93" s="8"/>
      <c r="C93" s="8"/>
      <c r="D93" s="8"/>
      <c r="E93" s="8"/>
      <c r="F93" s="2"/>
      <c r="G93" s="2"/>
      <c r="H93" s="2"/>
      <c r="I93" s="2"/>
      <c r="J93" s="2"/>
    </row>
    <row r="94" spans="1:10" ht="24" hidden="1" customHeight="1">
      <c r="A94" s="7">
        <v>64</v>
      </c>
      <c r="B94" s="8"/>
      <c r="C94" s="8"/>
      <c r="D94" s="8"/>
      <c r="E94" s="8"/>
      <c r="F94" s="2"/>
      <c r="G94" s="2"/>
      <c r="H94" s="2"/>
      <c r="I94" s="2"/>
      <c r="J94" s="2"/>
    </row>
    <row r="95" spans="1:10" ht="24" hidden="1" customHeight="1">
      <c r="A95" s="7">
        <v>65</v>
      </c>
      <c r="B95" s="8"/>
      <c r="C95" s="8"/>
      <c r="D95" s="8"/>
      <c r="E95" s="8"/>
      <c r="F95" s="2"/>
      <c r="G95" s="2"/>
      <c r="H95" s="2"/>
      <c r="I95" s="2"/>
      <c r="J95" s="2"/>
    </row>
    <row r="96" spans="1:10" ht="24" hidden="1" customHeight="1">
      <c r="A96" s="7">
        <v>66</v>
      </c>
      <c r="B96" s="8"/>
      <c r="C96" s="8"/>
      <c r="D96" s="8"/>
      <c r="E96" s="8"/>
      <c r="F96" s="2"/>
      <c r="G96" s="2"/>
      <c r="H96" s="2"/>
      <c r="I96" s="2"/>
      <c r="J96" s="2"/>
    </row>
    <row r="97" spans="1:10" ht="24" hidden="1" customHeight="1">
      <c r="A97" s="7">
        <v>67</v>
      </c>
      <c r="B97" s="8"/>
      <c r="C97" s="8"/>
      <c r="D97" s="8"/>
      <c r="E97" s="8"/>
      <c r="F97" s="2"/>
      <c r="G97" s="2"/>
      <c r="H97" s="2"/>
      <c r="I97" s="2"/>
      <c r="J97" s="2"/>
    </row>
    <row r="98" spans="1:10" ht="24" hidden="1" customHeight="1">
      <c r="A98" s="7">
        <v>68</v>
      </c>
      <c r="B98" s="8"/>
      <c r="C98" s="8"/>
      <c r="D98" s="8"/>
      <c r="E98" s="8"/>
      <c r="F98" s="2"/>
      <c r="G98" s="2"/>
      <c r="H98" s="2"/>
      <c r="I98" s="2"/>
      <c r="J98" s="2"/>
    </row>
    <row r="99" spans="1:10" ht="24" hidden="1" customHeight="1">
      <c r="A99" s="7">
        <v>69</v>
      </c>
      <c r="B99" s="8"/>
      <c r="C99" s="8"/>
      <c r="D99" s="8"/>
      <c r="E99" s="8"/>
      <c r="F99" s="2"/>
      <c r="G99" s="2"/>
      <c r="H99" s="2"/>
      <c r="I99" s="2"/>
      <c r="J99" s="2"/>
    </row>
    <row r="100" spans="1:10" ht="24" hidden="1" customHeight="1">
      <c r="A100" s="7">
        <v>70</v>
      </c>
      <c r="B100" s="8"/>
      <c r="C100" s="8"/>
      <c r="D100" s="8"/>
      <c r="E100" s="8"/>
      <c r="F100" s="2"/>
      <c r="G100" s="2"/>
      <c r="H100" s="2"/>
      <c r="I100" s="2"/>
      <c r="J100" s="2"/>
    </row>
    <row r="101" spans="1:10" ht="24" hidden="1" customHeight="1">
      <c r="A101" s="7">
        <v>71</v>
      </c>
      <c r="B101" s="8"/>
      <c r="C101" s="8"/>
      <c r="D101" s="8"/>
      <c r="E101" s="8"/>
      <c r="F101" s="2"/>
      <c r="G101" s="2"/>
      <c r="H101" s="2"/>
      <c r="I101" s="2"/>
      <c r="J101" s="2"/>
    </row>
    <row r="102" spans="1:10" ht="24" hidden="1" customHeight="1">
      <c r="A102" s="7">
        <v>72</v>
      </c>
      <c r="B102" s="8"/>
      <c r="C102" s="8"/>
      <c r="D102" s="8"/>
      <c r="E102" s="8"/>
      <c r="F102" s="2"/>
      <c r="G102" s="2"/>
      <c r="H102" s="2"/>
      <c r="I102" s="2"/>
      <c r="J102" s="2"/>
    </row>
    <row r="103" spans="1:10" ht="24" hidden="1" customHeight="1">
      <c r="A103" s="7">
        <v>73</v>
      </c>
      <c r="B103" s="8"/>
      <c r="C103" s="8"/>
      <c r="D103" s="8"/>
      <c r="E103" s="8"/>
      <c r="F103" s="2"/>
      <c r="G103" s="2"/>
      <c r="H103" s="2"/>
      <c r="I103" s="2"/>
      <c r="J103" s="2"/>
    </row>
    <row r="104" spans="1:10" ht="24" hidden="1" customHeight="1">
      <c r="A104" s="7">
        <v>74</v>
      </c>
      <c r="B104" s="8"/>
      <c r="C104" s="8"/>
      <c r="D104" s="8"/>
      <c r="E104" s="8"/>
      <c r="F104" s="2"/>
      <c r="G104" s="2"/>
      <c r="H104" s="2"/>
      <c r="I104" s="2"/>
      <c r="J104" s="2"/>
    </row>
    <row r="105" spans="1:10" ht="24" hidden="1" customHeight="1">
      <c r="A105" s="7">
        <v>75</v>
      </c>
      <c r="B105" s="8"/>
      <c r="C105" s="8"/>
      <c r="D105" s="8"/>
      <c r="E105" s="8"/>
      <c r="F105" s="2"/>
      <c r="G105" s="2"/>
      <c r="H105" s="2"/>
      <c r="I105" s="2"/>
      <c r="J105" s="2"/>
    </row>
    <row r="106" spans="1:10" ht="24" hidden="1" customHeight="1">
      <c r="A106" s="7">
        <v>76</v>
      </c>
      <c r="B106" s="8"/>
      <c r="C106" s="8"/>
      <c r="D106" s="8"/>
      <c r="E106" s="8"/>
      <c r="F106" s="2"/>
      <c r="G106" s="2"/>
      <c r="H106" s="2"/>
      <c r="I106" s="2"/>
      <c r="J106" s="2"/>
    </row>
    <row r="107" spans="1:10" ht="24" hidden="1" customHeight="1">
      <c r="A107" s="7">
        <v>77</v>
      </c>
      <c r="B107" s="8"/>
      <c r="C107" s="8"/>
      <c r="D107" s="8"/>
      <c r="E107" s="8"/>
      <c r="F107" s="2"/>
      <c r="G107" s="2"/>
      <c r="H107" s="2"/>
      <c r="I107" s="2"/>
      <c r="J107" s="2"/>
    </row>
    <row r="108" spans="1:10" ht="24" hidden="1" customHeight="1">
      <c r="A108" s="7">
        <v>78</v>
      </c>
      <c r="B108" s="8"/>
      <c r="C108" s="8"/>
      <c r="D108" s="8"/>
      <c r="E108" s="8"/>
      <c r="F108" s="2"/>
      <c r="G108" s="2"/>
      <c r="H108" s="2"/>
      <c r="I108" s="2"/>
      <c r="J108" s="2"/>
    </row>
    <row r="109" spans="1:10" ht="24" hidden="1" customHeight="1">
      <c r="A109" s="7">
        <v>79</v>
      </c>
      <c r="B109" s="8"/>
      <c r="C109" s="8"/>
      <c r="D109" s="8"/>
      <c r="E109" s="8"/>
      <c r="F109" s="2"/>
      <c r="G109" s="2"/>
      <c r="H109" s="2"/>
      <c r="I109" s="2"/>
      <c r="J109" s="2"/>
    </row>
    <row r="110" spans="1:10" ht="24" hidden="1" customHeight="1">
      <c r="A110" s="7">
        <v>80</v>
      </c>
      <c r="B110" s="8"/>
      <c r="C110" s="8"/>
      <c r="D110" s="8"/>
      <c r="E110" s="8"/>
      <c r="F110" s="2"/>
      <c r="G110" s="2"/>
      <c r="H110" s="2"/>
      <c r="I110" s="2"/>
      <c r="J110" s="2"/>
    </row>
    <row r="111" spans="1:10" ht="24" hidden="1" customHeight="1">
      <c r="A111" s="7">
        <v>81</v>
      </c>
      <c r="B111" s="8"/>
      <c r="C111" s="8"/>
      <c r="D111" s="8"/>
      <c r="E111" s="8"/>
      <c r="F111" s="2"/>
      <c r="G111" s="2"/>
      <c r="H111" s="2"/>
      <c r="I111" s="2"/>
      <c r="J111" s="2"/>
    </row>
    <row r="112" spans="1:10" ht="24" hidden="1" customHeight="1">
      <c r="A112" s="7">
        <v>82</v>
      </c>
      <c r="B112" s="8"/>
      <c r="C112" s="8"/>
      <c r="D112" s="8"/>
      <c r="E112" s="8"/>
      <c r="F112" s="2"/>
      <c r="G112" s="2"/>
      <c r="H112" s="2"/>
      <c r="I112" s="2"/>
      <c r="J112" s="2"/>
    </row>
    <row r="113" spans="1:10" ht="24" hidden="1" customHeight="1">
      <c r="A113" s="7">
        <v>83</v>
      </c>
      <c r="B113" s="8"/>
      <c r="C113" s="8"/>
      <c r="D113" s="8"/>
      <c r="E113" s="8"/>
      <c r="F113" s="2"/>
      <c r="G113" s="2"/>
      <c r="H113" s="2"/>
      <c r="I113" s="2"/>
      <c r="J113" s="2"/>
    </row>
    <row r="114" spans="1:10" ht="24" hidden="1" customHeight="1">
      <c r="A114" s="7">
        <v>84</v>
      </c>
      <c r="B114" s="8"/>
      <c r="C114" s="8"/>
      <c r="D114" s="8"/>
      <c r="E114" s="8"/>
      <c r="F114" s="2"/>
      <c r="G114" s="2"/>
      <c r="H114" s="2"/>
      <c r="I114" s="2"/>
      <c r="J114" s="2"/>
    </row>
    <row r="115" spans="1:10" ht="24" hidden="1" customHeight="1">
      <c r="A115" s="7">
        <v>85</v>
      </c>
      <c r="B115" s="8"/>
      <c r="C115" s="8"/>
      <c r="D115" s="8"/>
      <c r="E115" s="8"/>
      <c r="F115" s="2"/>
      <c r="G115" s="2"/>
      <c r="H115" s="2"/>
      <c r="I115" s="2"/>
      <c r="J115" s="2"/>
    </row>
    <row r="116" spans="1:10" ht="24" hidden="1" customHeight="1">
      <c r="A116" s="7">
        <v>86</v>
      </c>
      <c r="B116" s="8"/>
      <c r="C116" s="8"/>
      <c r="D116" s="8"/>
      <c r="E116" s="8"/>
      <c r="F116" s="2"/>
      <c r="G116" s="2"/>
      <c r="H116" s="2"/>
      <c r="I116" s="2"/>
      <c r="J116" s="2"/>
    </row>
    <row r="117" spans="1:10" ht="24" hidden="1" customHeight="1">
      <c r="A117" s="7">
        <v>87</v>
      </c>
      <c r="B117" s="8"/>
      <c r="C117" s="8"/>
      <c r="D117" s="8"/>
      <c r="E117" s="8"/>
      <c r="F117" s="2"/>
      <c r="G117" s="2"/>
      <c r="H117" s="2"/>
      <c r="I117" s="2"/>
      <c r="J117" s="2"/>
    </row>
    <row r="118" spans="1:10" ht="24" hidden="1" customHeight="1">
      <c r="A118" s="7">
        <v>88</v>
      </c>
      <c r="B118" s="8"/>
      <c r="C118" s="8"/>
      <c r="D118" s="8"/>
      <c r="E118" s="8"/>
      <c r="F118" s="2"/>
      <c r="G118" s="2"/>
      <c r="H118" s="2"/>
      <c r="I118" s="2"/>
      <c r="J118" s="2"/>
    </row>
    <row r="119" spans="1:10" ht="24" hidden="1" customHeight="1">
      <c r="A119" s="7">
        <v>89</v>
      </c>
      <c r="B119" s="8"/>
      <c r="C119" s="8"/>
      <c r="D119" s="8"/>
      <c r="E119" s="8"/>
      <c r="F119" s="2"/>
      <c r="G119" s="2"/>
      <c r="H119" s="2"/>
      <c r="I119" s="2"/>
      <c r="J119" s="2"/>
    </row>
    <row r="120" spans="1:10" ht="24" hidden="1" customHeight="1">
      <c r="A120" s="7">
        <v>90</v>
      </c>
      <c r="B120" s="8"/>
      <c r="C120" s="8"/>
      <c r="D120" s="8"/>
      <c r="E120" s="8"/>
      <c r="F120" s="2"/>
      <c r="G120" s="2"/>
      <c r="H120" s="2"/>
      <c r="I120" s="2"/>
      <c r="J120" s="2"/>
    </row>
    <row r="121" spans="1:10" ht="24" hidden="1" customHeight="1">
      <c r="A121" s="7">
        <v>91</v>
      </c>
      <c r="B121" s="8"/>
      <c r="C121" s="8"/>
      <c r="D121" s="8"/>
      <c r="E121" s="8"/>
      <c r="F121" s="2"/>
      <c r="G121" s="2"/>
      <c r="H121" s="2"/>
      <c r="I121" s="2"/>
      <c r="J121" s="2"/>
    </row>
    <row r="122" spans="1:10" ht="24" hidden="1" customHeight="1">
      <c r="A122" s="7">
        <v>92</v>
      </c>
      <c r="B122" s="8"/>
      <c r="C122" s="8"/>
      <c r="D122" s="8"/>
      <c r="E122" s="8"/>
      <c r="F122" s="2"/>
      <c r="G122" s="2"/>
      <c r="H122" s="2"/>
      <c r="I122" s="2"/>
      <c r="J122" s="2"/>
    </row>
    <row r="123" spans="1:10" ht="24" hidden="1" customHeight="1">
      <c r="A123" s="7">
        <v>93</v>
      </c>
      <c r="B123" s="8"/>
      <c r="C123" s="8"/>
      <c r="D123" s="8"/>
      <c r="E123" s="8"/>
      <c r="F123" s="2"/>
      <c r="G123" s="2"/>
      <c r="H123" s="2"/>
      <c r="I123" s="2"/>
      <c r="J123" s="2"/>
    </row>
    <row r="124" spans="1:10" ht="24" hidden="1" customHeight="1">
      <c r="A124" s="7">
        <v>94</v>
      </c>
      <c r="B124" s="8"/>
      <c r="C124" s="8"/>
      <c r="D124" s="8"/>
      <c r="E124" s="8"/>
      <c r="F124" s="2"/>
      <c r="G124" s="2"/>
      <c r="H124" s="2"/>
      <c r="I124" s="2"/>
      <c r="J124" s="2"/>
    </row>
    <row r="125" spans="1:10" ht="24" hidden="1" customHeight="1">
      <c r="A125" s="7">
        <v>95</v>
      </c>
      <c r="B125" s="8"/>
      <c r="C125" s="8"/>
      <c r="D125" s="8"/>
      <c r="E125" s="8"/>
      <c r="F125" s="2"/>
      <c r="G125" s="2"/>
      <c r="H125" s="2"/>
      <c r="I125" s="2"/>
      <c r="J125" s="2"/>
    </row>
    <row r="126" spans="1:10" ht="24" hidden="1" customHeight="1">
      <c r="A126" s="7">
        <v>96</v>
      </c>
      <c r="B126" s="8"/>
      <c r="C126" s="8"/>
      <c r="D126" s="8"/>
      <c r="E126" s="8"/>
      <c r="F126" s="2"/>
      <c r="G126" s="2"/>
      <c r="H126" s="2"/>
      <c r="I126" s="2"/>
      <c r="J126" s="2"/>
    </row>
    <row r="127" spans="1:10" ht="24" hidden="1" customHeight="1">
      <c r="A127" s="7">
        <v>97</v>
      </c>
      <c r="B127" s="8"/>
      <c r="C127" s="8"/>
      <c r="D127" s="8"/>
      <c r="E127" s="8"/>
      <c r="F127" s="2"/>
      <c r="G127" s="2"/>
      <c r="H127" s="2"/>
      <c r="I127" s="2"/>
      <c r="J127" s="2"/>
    </row>
    <row r="128" spans="1:10" ht="24" hidden="1" customHeight="1">
      <c r="A128" s="7">
        <v>98</v>
      </c>
      <c r="B128" s="8"/>
      <c r="C128" s="8"/>
      <c r="D128" s="8"/>
      <c r="E128" s="8"/>
      <c r="F128" s="2"/>
      <c r="G128" s="2"/>
      <c r="H128" s="2"/>
      <c r="I128" s="2"/>
      <c r="J128" s="2"/>
    </row>
    <row r="129" spans="1:10" ht="24" hidden="1" customHeight="1">
      <c r="A129" s="7">
        <v>99</v>
      </c>
      <c r="B129" s="8"/>
      <c r="C129" s="8"/>
      <c r="D129" s="8"/>
      <c r="E129" s="8"/>
      <c r="F129" s="2"/>
      <c r="G129" s="2"/>
      <c r="H129" s="2"/>
      <c r="I129" s="2"/>
      <c r="J129" s="2"/>
    </row>
    <row r="130" spans="1:10" ht="24" hidden="1" customHeight="1">
      <c r="A130" s="7">
        <v>100</v>
      </c>
      <c r="B130" s="8"/>
      <c r="C130" s="8"/>
      <c r="D130" s="8"/>
      <c r="E130" s="8"/>
      <c r="F130" s="2"/>
      <c r="G130" s="2"/>
      <c r="H130" s="2"/>
      <c r="I130" s="2"/>
      <c r="J130" s="2"/>
    </row>
    <row r="131" spans="1:10" ht="24" hidden="1" customHeight="1">
      <c r="A131" s="7">
        <v>101</v>
      </c>
      <c r="B131" s="8"/>
      <c r="C131" s="8"/>
      <c r="D131" s="8"/>
      <c r="E131" s="8"/>
      <c r="F131" s="2"/>
      <c r="G131" s="2"/>
      <c r="H131" s="2"/>
      <c r="I131" s="2"/>
      <c r="J131" s="2"/>
    </row>
    <row r="132" spans="1:10" ht="24" hidden="1" customHeight="1">
      <c r="A132" s="7">
        <v>102</v>
      </c>
      <c r="B132" s="8"/>
      <c r="C132" s="8"/>
      <c r="D132" s="8"/>
      <c r="E132" s="8"/>
      <c r="F132" s="2"/>
      <c r="G132" s="2"/>
      <c r="H132" s="2"/>
      <c r="I132" s="2"/>
      <c r="J132" s="2"/>
    </row>
    <row r="133" spans="1:10" ht="24" hidden="1" customHeight="1">
      <c r="A133" s="7">
        <v>103</v>
      </c>
      <c r="B133" s="8"/>
      <c r="C133" s="8"/>
      <c r="D133" s="8"/>
      <c r="E133" s="8"/>
      <c r="F133" s="2"/>
      <c r="G133" s="2"/>
      <c r="H133" s="2"/>
      <c r="I133" s="2"/>
      <c r="J133" s="2"/>
    </row>
    <row r="134" spans="1:10" ht="24" hidden="1" customHeight="1">
      <c r="A134" s="7">
        <v>104</v>
      </c>
      <c r="B134" s="8"/>
      <c r="C134" s="8"/>
      <c r="D134" s="8"/>
      <c r="E134" s="8"/>
      <c r="F134" s="2"/>
      <c r="G134" s="2"/>
      <c r="H134" s="2"/>
      <c r="I134" s="2"/>
      <c r="J134" s="2"/>
    </row>
    <row r="135" spans="1:10" ht="24" hidden="1" customHeight="1">
      <c r="A135" s="7">
        <v>105</v>
      </c>
      <c r="B135" s="8"/>
      <c r="C135" s="8"/>
      <c r="D135" s="8"/>
      <c r="E135" s="8"/>
      <c r="F135" s="2"/>
      <c r="G135" s="2"/>
      <c r="H135" s="2"/>
      <c r="I135" s="2"/>
      <c r="J135" s="2"/>
    </row>
    <row r="136" spans="1:10" ht="24" hidden="1" customHeight="1">
      <c r="A136" s="7">
        <v>106</v>
      </c>
      <c r="B136" s="8"/>
      <c r="C136" s="8"/>
      <c r="D136" s="8"/>
      <c r="E136" s="8"/>
      <c r="F136" s="2"/>
      <c r="G136" s="2"/>
      <c r="H136" s="2"/>
      <c r="I136" s="2"/>
      <c r="J136" s="2"/>
    </row>
    <row r="137" spans="1:10" ht="24" hidden="1" customHeight="1">
      <c r="A137" s="7">
        <v>107</v>
      </c>
      <c r="B137" s="8"/>
      <c r="C137" s="8"/>
      <c r="D137" s="8"/>
      <c r="E137" s="8"/>
      <c r="F137" s="2"/>
      <c r="G137" s="2"/>
      <c r="H137" s="2"/>
      <c r="I137" s="2"/>
      <c r="J137" s="2"/>
    </row>
    <row r="138" spans="1:10" ht="24" hidden="1" customHeight="1">
      <c r="A138" s="7">
        <v>108</v>
      </c>
      <c r="B138" s="8"/>
      <c r="C138" s="8"/>
      <c r="D138" s="8"/>
      <c r="E138" s="8"/>
      <c r="F138" s="2"/>
      <c r="G138" s="2"/>
      <c r="H138" s="2"/>
      <c r="I138" s="2"/>
      <c r="J138" s="2"/>
    </row>
    <row r="139" spans="1:10" ht="24" hidden="1" customHeight="1">
      <c r="A139" s="7">
        <v>109</v>
      </c>
      <c r="B139" s="8"/>
      <c r="C139" s="8"/>
      <c r="D139" s="8"/>
      <c r="E139" s="8"/>
      <c r="F139" s="2"/>
      <c r="G139" s="2"/>
      <c r="H139" s="2"/>
      <c r="I139" s="2"/>
      <c r="J139" s="2"/>
    </row>
    <row r="140" spans="1:10" ht="24" hidden="1" customHeight="1">
      <c r="A140" s="7">
        <v>110</v>
      </c>
      <c r="B140" s="8"/>
      <c r="C140" s="8"/>
      <c r="D140" s="8"/>
      <c r="E140" s="8"/>
      <c r="F140" s="2"/>
      <c r="G140" s="2"/>
      <c r="H140" s="2"/>
      <c r="I140" s="2"/>
      <c r="J140" s="2"/>
    </row>
    <row r="141" spans="1:10" ht="24" hidden="1" customHeight="1">
      <c r="A141" s="7">
        <v>111</v>
      </c>
      <c r="B141" s="8"/>
      <c r="C141" s="8"/>
      <c r="D141" s="8"/>
      <c r="E141" s="8"/>
      <c r="F141" s="2"/>
      <c r="G141" s="2"/>
      <c r="H141" s="2"/>
      <c r="I141" s="2"/>
      <c r="J141" s="2"/>
    </row>
    <row r="142" spans="1:10" ht="24" hidden="1" customHeight="1">
      <c r="A142" s="7">
        <v>112</v>
      </c>
      <c r="B142" s="8"/>
      <c r="C142" s="8"/>
      <c r="D142" s="8"/>
      <c r="E142" s="8"/>
      <c r="F142" s="2"/>
      <c r="G142" s="2"/>
      <c r="H142" s="2"/>
      <c r="I142" s="2"/>
      <c r="J142" s="2"/>
    </row>
    <row r="143" spans="1:10" ht="24" hidden="1" customHeight="1">
      <c r="A143" s="7">
        <v>113</v>
      </c>
      <c r="B143" s="8"/>
      <c r="C143" s="8"/>
      <c r="D143" s="8"/>
      <c r="E143" s="8"/>
      <c r="F143" s="2"/>
      <c r="G143" s="2"/>
      <c r="H143" s="2"/>
      <c r="I143" s="2"/>
      <c r="J143" s="2"/>
    </row>
    <row r="144" spans="1:10" ht="24" hidden="1" customHeight="1">
      <c r="A144" s="7">
        <v>114</v>
      </c>
      <c r="B144" s="8"/>
      <c r="C144" s="8"/>
      <c r="D144" s="8"/>
      <c r="E144" s="8"/>
      <c r="F144" s="2"/>
      <c r="G144" s="2"/>
      <c r="H144" s="2"/>
      <c r="I144" s="2"/>
      <c r="J144" s="2"/>
    </row>
    <row r="145" spans="1:10" ht="24" hidden="1" customHeight="1">
      <c r="A145" s="7">
        <v>115</v>
      </c>
      <c r="B145" s="8"/>
      <c r="C145" s="8"/>
      <c r="D145" s="8"/>
      <c r="E145" s="8"/>
      <c r="F145" s="2"/>
      <c r="G145" s="2"/>
      <c r="H145" s="2"/>
      <c r="I145" s="2"/>
      <c r="J145" s="2"/>
    </row>
    <row r="146" spans="1:10" ht="24" hidden="1" customHeight="1">
      <c r="A146" s="7">
        <v>116</v>
      </c>
      <c r="B146" s="8"/>
      <c r="C146" s="8"/>
      <c r="D146" s="8"/>
      <c r="E146" s="8"/>
      <c r="F146" s="2"/>
      <c r="G146" s="2"/>
      <c r="H146" s="2"/>
      <c r="I146" s="2"/>
      <c r="J146" s="2"/>
    </row>
    <row r="147" spans="1:10" ht="24" hidden="1" customHeight="1">
      <c r="A147" s="7">
        <v>117</v>
      </c>
      <c r="B147" s="8"/>
      <c r="C147" s="8"/>
      <c r="D147" s="8"/>
      <c r="E147" s="8"/>
      <c r="F147" s="2"/>
      <c r="G147" s="2"/>
      <c r="H147" s="2"/>
      <c r="I147" s="2"/>
      <c r="J147" s="2"/>
    </row>
    <row r="148" spans="1:10" ht="24" hidden="1" customHeight="1">
      <c r="A148" s="7">
        <v>118</v>
      </c>
      <c r="B148" s="8"/>
      <c r="C148" s="8"/>
      <c r="D148" s="8"/>
      <c r="E148" s="8"/>
      <c r="F148" s="2"/>
      <c r="G148" s="2"/>
      <c r="H148" s="2"/>
      <c r="I148" s="2"/>
      <c r="J148" s="2"/>
    </row>
    <row r="149" spans="1:10" ht="24" hidden="1" customHeight="1">
      <c r="A149" s="7">
        <v>119</v>
      </c>
      <c r="B149" s="8"/>
      <c r="C149" s="8"/>
      <c r="D149" s="8"/>
      <c r="E149" s="8"/>
      <c r="F149" s="2"/>
      <c r="G149" s="2"/>
      <c r="H149" s="2"/>
      <c r="I149" s="2"/>
      <c r="J149" s="2"/>
    </row>
    <row r="150" spans="1:10" ht="24" hidden="1" customHeight="1">
      <c r="A150" s="7">
        <v>120</v>
      </c>
      <c r="B150" s="8"/>
      <c r="C150" s="8"/>
      <c r="D150" s="8"/>
      <c r="E150" s="8"/>
      <c r="F150" s="2"/>
      <c r="G150" s="2"/>
      <c r="H150" s="2"/>
      <c r="I150" s="2"/>
      <c r="J150" s="2"/>
    </row>
    <row r="151" spans="1:10" ht="24" hidden="1" customHeight="1">
      <c r="A151" s="7">
        <v>121</v>
      </c>
      <c r="B151" s="8"/>
      <c r="C151" s="8"/>
      <c r="D151" s="8"/>
      <c r="E151" s="8"/>
      <c r="F151" s="2"/>
      <c r="G151" s="2"/>
      <c r="H151" s="2"/>
      <c r="I151" s="2"/>
      <c r="J151" s="2"/>
    </row>
    <row r="152" spans="1:10" ht="24" hidden="1" customHeight="1">
      <c r="A152" s="7">
        <v>122</v>
      </c>
      <c r="B152" s="8"/>
      <c r="C152" s="8"/>
      <c r="D152" s="8"/>
      <c r="E152" s="8"/>
      <c r="F152" s="2"/>
      <c r="G152" s="2"/>
      <c r="H152" s="2"/>
      <c r="I152" s="2"/>
      <c r="J152" s="2"/>
    </row>
    <row r="153" spans="1:10" ht="24" hidden="1" customHeight="1">
      <c r="A153" s="7">
        <v>123</v>
      </c>
      <c r="B153" s="8"/>
      <c r="C153" s="8"/>
      <c r="D153" s="8"/>
      <c r="E153" s="8"/>
      <c r="F153" s="2"/>
      <c r="G153" s="2"/>
      <c r="H153" s="2"/>
      <c r="I153" s="2"/>
      <c r="J153" s="2"/>
    </row>
    <row r="154" spans="1:10" ht="24" hidden="1" customHeight="1">
      <c r="A154" s="7">
        <v>124</v>
      </c>
      <c r="B154" s="8"/>
      <c r="C154" s="8"/>
      <c r="D154" s="8"/>
      <c r="E154" s="8"/>
      <c r="F154" s="2"/>
      <c r="G154" s="2"/>
      <c r="H154" s="2"/>
      <c r="I154" s="2"/>
      <c r="J154" s="2"/>
    </row>
    <row r="155" spans="1:10" ht="24" hidden="1" customHeight="1">
      <c r="A155" s="7">
        <v>125</v>
      </c>
      <c r="B155" s="8"/>
      <c r="C155" s="8"/>
      <c r="D155" s="8"/>
      <c r="E155" s="8"/>
      <c r="F155" s="2"/>
      <c r="G155" s="2"/>
      <c r="H155" s="2"/>
      <c r="I155" s="2"/>
      <c r="J155" s="2"/>
    </row>
    <row r="156" spans="1:10" ht="24" hidden="1" customHeight="1">
      <c r="A156" s="7">
        <v>126</v>
      </c>
      <c r="B156" s="8"/>
      <c r="C156" s="8"/>
      <c r="D156" s="8"/>
      <c r="E156" s="8"/>
      <c r="F156" s="2"/>
      <c r="G156" s="2"/>
      <c r="H156" s="2"/>
      <c r="I156" s="2"/>
      <c r="J156" s="2"/>
    </row>
    <row r="157" spans="1:10" ht="24" hidden="1" customHeight="1">
      <c r="A157" s="7">
        <v>127</v>
      </c>
      <c r="B157" s="8"/>
      <c r="C157" s="8"/>
      <c r="D157" s="8"/>
      <c r="E157" s="8"/>
      <c r="F157" s="2"/>
      <c r="G157" s="2"/>
      <c r="H157" s="2"/>
      <c r="I157" s="2"/>
      <c r="J157" s="2"/>
    </row>
    <row r="158" spans="1:10" ht="24" hidden="1" customHeight="1">
      <c r="A158" s="7">
        <v>128</v>
      </c>
      <c r="B158" s="8"/>
      <c r="C158" s="8"/>
      <c r="D158" s="8"/>
      <c r="E158" s="8"/>
      <c r="F158" s="2"/>
      <c r="G158" s="2"/>
      <c r="H158" s="2"/>
      <c r="I158" s="2"/>
      <c r="J158" s="2"/>
    </row>
    <row r="159" spans="1:10" ht="24" hidden="1" customHeight="1">
      <c r="A159" s="7">
        <v>129</v>
      </c>
      <c r="B159" s="8"/>
      <c r="C159" s="8"/>
      <c r="D159" s="8"/>
      <c r="E159" s="8"/>
      <c r="F159" s="2"/>
      <c r="G159" s="2"/>
      <c r="H159" s="2"/>
      <c r="I159" s="2"/>
      <c r="J159" s="2"/>
    </row>
    <row r="160" spans="1:10" ht="24" hidden="1" customHeight="1">
      <c r="A160" s="7">
        <v>130</v>
      </c>
      <c r="B160" s="8"/>
      <c r="C160" s="8"/>
      <c r="D160" s="8"/>
      <c r="E160" s="8"/>
      <c r="F160" s="2"/>
      <c r="G160" s="2"/>
      <c r="H160" s="2"/>
      <c r="I160" s="2"/>
      <c r="J160" s="2"/>
    </row>
    <row r="161" spans="1:10" ht="24" hidden="1" customHeight="1">
      <c r="A161" s="7">
        <v>131</v>
      </c>
      <c r="B161" s="8"/>
      <c r="C161" s="8"/>
      <c r="D161" s="8"/>
      <c r="E161" s="8"/>
      <c r="F161" s="2"/>
      <c r="G161" s="2"/>
      <c r="H161" s="2"/>
      <c r="I161" s="2"/>
      <c r="J161" s="2"/>
    </row>
    <row r="162" spans="1:10" ht="24" hidden="1" customHeight="1">
      <c r="A162" s="7">
        <v>132</v>
      </c>
      <c r="B162" s="8"/>
      <c r="C162" s="8"/>
      <c r="D162" s="8"/>
      <c r="E162" s="8"/>
      <c r="F162" s="2"/>
      <c r="G162" s="2"/>
      <c r="H162" s="2"/>
      <c r="I162" s="2"/>
      <c r="J162" s="2"/>
    </row>
    <row r="163" spans="1:10" ht="24" hidden="1" customHeight="1">
      <c r="A163" s="7">
        <v>133</v>
      </c>
      <c r="B163" s="8"/>
      <c r="C163" s="8"/>
      <c r="D163" s="8"/>
      <c r="E163" s="8"/>
      <c r="F163" s="2"/>
      <c r="G163" s="2"/>
      <c r="H163" s="2"/>
      <c r="I163" s="2"/>
      <c r="J163" s="2"/>
    </row>
    <row r="164" spans="1:10" ht="24" hidden="1" customHeight="1">
      <c r="A164" s="7">
        <v>134</v>
      </c>
      <c r="B164" s="8"/>
      <c r="C164" s="8"/>
      <c r="D164" s="8"/>
      <c r="E164" s="8"/>
      <c r="F164" s="2"/>
      <c r="G164" s="2"/>
      <c r="H164" s="2"/>
      <c r="I164" s="2"/>
      <c r="J164" s="2"/>
    </row>
    <row r="165" spans="1:10" ht="24" hidden="1" customHeight="1">
      <c r="A165" s="7">
        <v>135</v>
      </c>
      <c r="B165" s="8"/>
      <c r="C165" s="8"/>
      <c r="D165" s="8"/>
      <c r="E165" s="8"/>
      <c r="F165" s="2"/>
      <c r="G165" s="2"/>
      <c r="H165" s="2"/>
      <c r="I165" s="2"/>
      <c r="J165" s="2"/>
    </row>
    <row r="166" spans="1:10" ht="24" hidden="1" customHeight="1">
      <c r="A166" s="7">
        <v>136</v>
      </c>
      <c r="B166" s="8"/>
      <c r="C166" s="8"/>
      <c r="D166" s="8"/>
      <c r="E166" s="8"/>
      <c r="F166" s="2"/>
      <c r="G166" s="2"/>
      <c r="H166" s="2"/>
      <c r="I166" s="2"/>
      <c r="J166" s="2"/>
    </row>
    <row r="167" spans="1:10" ht="24" hidden="1" customHeight="1">
      <c r="A167" s="7">
        <v>137</v>
      </c>
      <c r="B167" s="8"/>
      <c r="C167" s="8"/>
      <c r="D167" s="8"/>
      <c r="E167" s="8"/>
      <c r="F167" s="2"/>
      <c r="G167" s="2"/>
      <c r="H167" s="2"/>
      <c r="I167" s="2"/>
      <c r="J167" s="2"/>
    </row>
    <row r="168" spans="1:10" ht="24" hidden="1" customHeight="1">
      <c r="A168" s="7">
        <v>138</v>
      </c>
      <c r="B168" s="8"/>
      <c r="C168" s="8"/>
      <c r="D168" s="8"/>
      <c r="E168" s="8"/>
      <c r="F168" s="2"/>
      <c r="G168" s="2"/>
      <c r="H168" s="2"/>
      <c r="I168" s="2"/>
      <c r="J168" s="2"/>
    </row>
    <row r="169" spans="1:10" ht="24" hidden="1" customHeight="1">
      <c r="A169" s="7">
        <v>139</v>
      </c>
      <c r="B169" s="8"/>
      <c r="C169" s="8"/>
      <c r="D169" s="8"/>
      <c r="E169" s="8"/>
      <c r="F169" s="2"/>
      <c r="G169" s="2"/>
      <c r="H169" s="2"/>
      <c r="I169" s="2"/>
      <c r="J169" s="2"/>
    </row>
    <row r="170" spans="1:10" ht="24" hidden="1" customHeight="1">
      <c r="A170" s="7">
        <v>140</v>
      </c>
      <c r="B170" s="8"/>
      <c r="C170" s="8"/>
      <c r="D170" s="8"/>
      <c r="E170" s="8"/>
      <c r="F170" s="2"/>
      <c r="G170" s="2"/>
      <c r="H170" s="2"/>
      <c r="I170" s="2"/>
      <c r="J170" s="2"/>
    </row>
    <row r="171" spans="1:10" ht="24" hidden="1" customHeight="1">
      <c r="A171" s="7">
        <v>141</v>
      </c>
      <c r="B171" s="8"/>
      <c r="C171" s="8"/>
      <c r="D171" s="8"/>
      <c r="E171" s="8"/>
      <c r="F171" s="2"/>
      <c r="G171" s="2"/>
      <c r="H171" s="2"/>
      <c r="I171" s="2"/>
      <c r="J171" s="2"/>
    </row>
    <row r="172" spans="1:10" ht="24" hidden="1" customHeight="1">
      <c r="A172" s="7">
        <v>142</v>
      </c>
      <c r="B172" s="8"/>
      <c r="C172" s="8"/>
      <c r="D172" s="8"/>
      <c r="E172" s="8"/>
      <c r="F172" s="2"/>
      <c r="G172" s="2"/>
      <c r="H172" s="2"/>
      <c r="I172" s="2"/>
      <c r="J172" s="2"/>
    </row>
    <row r="173" spans="1:10" ht="24" hidden="1" customHeight="1">
      <c r="A173" s="7">
        <v>143</v>
      </c>
      <c r="B173" s="8"/>
      <c r="C173" s="8"/>
      <c r="D173" s="8"/>
      <c r="E173" s="8"/>
      <c r="F173" s="2"/>
      <c r="G173" s="2"/>
      <c r="H173" s="2"/>
      <c r="I173" s="2"/>
      <c r="J173" s="2"/>
    </row>
    <row r="174" spans="1:10" ht="24" hidden="1" customHeight="1">
      <c r="A174" s="7">
        <v>144</v>
      </c>
      <c r="B174" s="8"/>
      <c r="C174" s="8"/>
      <c r="D174" s="8"/>
      <c r="E174" s="8"/>
      <c r="F174" s="2"/>
      <c r="G174" s="2"/>
      <c r="H174" s="2"/>
      <c r="I174" s="2"/>
      <c r="J174" s="2"/>
    </row>
    <row r="175" spans="1:10" ht="24" hidden="1" customHeight="1">
      <c r="A175" s="7">
        <v>145</v>
      </c>
      <c r="B175" s="8"/>
      <c r="C175" s="8"/>
      <c r="D175" s="8"/>
      <c r="E175" s="8"/>
      <c r="F175" s="2"/>
      <c r="G175" s="2"/>
      <c r="H175" s="2"/>
      <c r="I175" s="2"/>
      <c r="J175" s="2"/>
    </row>
    <row r="176" spans="1:10" ht="24" hidden="1" customHeight="1">
      <c r="A176" s="7">
        <v>146</v>
      </c>
      <c r="B176" s="8"/>
      <c r="C176" s="8"/>
      <c r="D176" s="8"/>
      <c r="E176" s="8"/>
      <c r="F176" s="2"/>
      <c r="G176" s="2"/>
      <c r="H176" s="2"/>
      <c r="I176" s="2"/>
      <c r="J176" s="2"/>
    </row>
    <row r="177" spans="1:10" ht="24" hidden="1" customHeight="1">
      <c r="A177" s="7">
        <v>147</v>
      </c>
      <c r="B177" s="8"/>
      <c r="C177" s="8"/>
      <c r="D177" s="8"/>
      <c r="E177" s="8"/>
      <c r="F177" s="2"/>
      <c r="G177" s="2"/>
      <c r="H177" s="2"/>
      <c r="I177" s="2"/>
      <c r="J177" s="2"/>
    </row>
    <row r="178" spans="1:10" ht="24" hidden="1" customHeight="1">
      <c r="A178" s="7">
        <v>148</v>
      </c>
      <c r="B178" s="8"/>
      <c r="C178" s="8"/>
      <c r="D178" s="8"/>
      <c r="E178" s="8"/>
      <c r="F178" s="2"/>
      <c r="G178" s="2"/>
      <c r="H178" s="2"/>
      <c r="I178" s="2"/>
      <c r="J178" s="2"/>
    </row>
    <row r="179" spans="1:10" ht="24" hidden="1" customHeight="1">
      <c r="A179" s="7">
        <v>149</v>
      </c>
      <c r="B179" s="8"/>
      <c r="C179" s="8"/>
      <c r="D179" s="8"/>
      <c r="E179" s="8"/>
      <c r="F179" s="2"/>
      <c r="G179" s="2"/>
      <c r="H179" s="2"/>
      <c r="I179" s="2"/>
      <c r="J179" s="2"/>
    </row>
    <row r="180" spans="1:10" ht="24" hidden="1" customHeight="1">
      <c r="A180" s="7">
        <v>150</v>
      </c>
      <c r="B180" s="8"/>
      <c r="C180" s="8"/>
      <c r="D180" s="8"/>
      <c r="E180" s="8"/>
      <c r="F180" s="2"/>
      <c r="G180" s="2"/>
      <c r="H180" s="2"/>
      <c r="I180" s="2"/>
      <c r="J180" s="2"/>
    </row>
    <row r="181" spans="1:10" ht="24" hidden="1" customHeight="1">
      <c r="A181" s="7">
        <v>151</v>
      </c>
      <c r="B181" s="8"/>
      <c r="C181" s="8"/>
      <c r="D181" s="8"/>
      <c r="E181" s="8"/>
      <c r="F181" s="2"/>
      <c r="G181" s="2"/>
      <c r="H181" s="2"/>
      <c r="I181" s="2"/>
      <c r="J181" s="2"/>
    </row>
    <row r="182" spans="1:10" ht="24" hidden="1" customHeight="1">
      <c r="A182" s="7">
        <v>152</v>
      </c>
      <c r="B182" s="8"/>
      <c r="C182" s="8"/>
      <c r="D182" s="8"/>
      <c r="E182" s="8"/>
      <c r="F182" s="2"/>
      <c r="G182" s="2"/>
      <c r="H182" s="2"/>
      <c r="I182" s="2"/>
      <c r="J182" s="2"/>
    </row>
    <row r="183" spans="1:10" ht="24" hidden="1" customHeight="1">
      <c r="A183" s="7">
        <v>153</v>
      </c>
      <c r="B183" s="8"/>
      <c r="C183" s="8"/>
      <c r="D183" s="8"/>
      <c r="E183" s="8"/>
      <c r="F183" s="2"/>
      <c r="G183" s="2"/>
      <c r="H183" s="2"/>
      <c r="I183" s="2"/>
      <c r="J183" s="2"/>
    </row>
    <row r="184" spans="1:10" ht="24" hidden="1" customHeight="1">
      <c r="A184" s="7">
        <v>154</v>
      </c>
      <c r="B184" s="8"/>
      <c r="C184" s="8"/>
      <c r="D184" s="8"/>
      <c r="E184" s="8"/>
      <c r="F184" s="2"/>
      <c r="G184" s="2"/>
      <c r="H184" s="2"/>
      <c r="I184" s="2"/>
      <c r="J184" s="2"/>
    </row>
    <row r="185" spans="1:10" ht="24" hidden="1" customHeight="1">
      <c r="A185" s="7">
        <v>155</v>
      </c>
      <c r="B185" s="8"/>
      <c r="C185" s="8"/>
      <c r="D185" s="8"/>
      <c r="E185" s="8"/>
      <c r="F185" s="2"/>
      <c r="G185" s="2"/>
      <c r="H185" s="2"/>
      <c r="I185" s="2"/>
      <c r="J185" s="2"/>
    </row>
    <row r="186" spans="1:10" ht="24" hidden="1" customHeight="1">
      <c r="A186" s="7">
        <v>156</v>
      </c>
      <c r="B186" s="8"/>
      <c r="C186" s="8"/>
      <c r="D186" s="8"/>
      <c r="E186" s="8"/>
      <c r="F186" s="2"/>
      <c r="G186" s="2"/>
      <c r="H186" s="2"/>
      <c r="I186" s="2"/>
      <c r="J186" s="2"/>
    </row>
    <row r="187" spans="1:10" ht="24" hidden="1" customHeight="1">
      <c r="A187" s="7">
        <v>157</v>
      </c>
      <c r="B187" s="8"/>
      <c r="C187" s="8"/>
      <c r="D187" s="8"/>
      <c r="E187" s="8"/>
      <c r="F187" s="2"/>
      <c r="G187" s="2"/>
      <c r="H187" s="2"/>
      <c r="I187" s="2"/>
      <c r="J187" s="2"/>
    </row>
    <row r="188" spans="1:10" ht="24" hidden="1" customHeight="1">
      <c r="A188" s="7">
        <v>158</v>
      </c>
      <c r="B188" s="8"/>
      <c r="C188" s="8"/>
      <c r="D188" s="8"/>
      <c r="E188" s="8"/>
      <c r="F188" s="2"/>
      <c r="G188" s="2"/>
      <c r="H188" s="2"/>
      <c r="I188" s="2"/>
      <c r="J188" s="2"/>
    </row>
    <row r="189" spans="1:10" ht="24" hidden="1" customHeight="1">
      <c r="A189" s="7">
        <v>159</v>
      </c>
      <c r="B189" s="8"/>
      <c r="C189" s="8"/>
      <c r="D189" s="8"/>
      <c r="E189" s="8"/>
      <c r="F189" s="2"/>
      <c r="G189" s="2"/>
      <c r="H189" s="2"/>
      <c r="I189" s="2"/>
      <c r="J189" s="2"/>
    </row>
    <row r="190" spans="1:10" ht="24" hidden="1" customHeight="1">
      <c r="A190" s="7">
        <v>160</v>
      </c>
      <c r="B190" s="8"/>
      <c r="C190" s="8"/>
      <c r="D190" s="8"/>
      <c r="E190" s="8"/>
      <c r="F190" s="2"/>
      <c r="G190" s="2"/>
      <c r="H190" s="2"/>
      <c r="I190" s="2"/>
      <c r="J190" s="2"/>
    </row>
    <row r="191" spans="1:10" ht="24" hidden="1" customHeight="1">
      <c r="A191" s="7">
        <v>161</v>
      </c>
      <c r="B191" s="8"/>
      <c r="C191" s="8"/>
      <c r="D191" s="8"/>
      <c r="E191" s="8"/>
      <c r="F191" s="2"/>
      <c r="G191" s="2"/>
      <c r="H191" s="2"/>
      <c r="I191" s="2"/>
      <c r="J191" s="2"/>
    </row>
    <row r="192" spans="1:10" ht="24" hidden="1" customHeight="1">
      <c r="A192" s="7">
        <v>162</v>
      </c>
      <c r="B192" s="8"/>
      <c r="C192" s="8"/>
      <c r="D192" s="8"/>
      <c r="E192" s="8"/>
      <c r="F192" s="2"/>
      <c r="G192" s="2"/>
      <c r="H192" s="2"/>
      <c r="I192" s="2"/>
      <c r="J192" s="2"/>
    </row>
    <row r="193" spans="1:10" ht="24" hidden="1" customHeight="1">
      <c r="A193" s="7">
        <v>163</v>
      </c>
      <c r="B193" s="8"/>
      <c r="C193" s="8"/>
      <c r="D193" s="8"/>
      <c r="E193" s="8"/>
      <c r="F193" s="2"/>
      <c r="G193" s="2"/>
      <c r="H193" s="2"/>
      <c r="I193" s="2"/>
      <c r="J193" s="2"/>
    </row>
    <row r="194" spans="1:10" ht="24" hidden="1" customHeight="1">
      <c r="A194" s="7">
        <v>164</v>
      </c>
      <c r="B194" s="8"/>
      <c r="C194" s="8"/>
      <c r="D194" s="8"/>
      <c r="E194" s="8"/>
      <c r="F194" s="2"/>
      <c r="G194" s="2"/>
      <c r="H194" s="2"/>
      <c r="I194" s="2"/>
      <c r="J194" s="2"/>
    </row>
    <row r="195" spans="1:10" ht="24" hidden="1" customHeight="1">
      <c r="A195" s="7">
        <v>165</v>
      </c>
      <c r="B195" s="8"/>
      <c r="C195" s="8"/>
      <c r="D195" s="8"/>
      <c r="E195" s="8"/>
      <c r="F195" s="2"/>
      <c r="G195" s="2"/>
      <c r="H195" s="2"/>
      <c r="I195" s="2"/>
      <c r="J195" s="2"/>
    </row>
    <row r="196" spans="1:10" ht="24" hidden="1" customHeight="1">
      <c r="A196" s="7">
        <v>166</v>
      </c>
      <c r="B196" s="8"/>
      <c r="C196" s="8"/>
      <c r="D196" s="8"/>
      <c r="E196" s="8"/>
      <c r="F196" s="2"/>
      <c r="G196" s="2"/>
      <c r="H196" s="2"/>
      <c r="I196" s="2"/>
      <c r="J196" s="2"/>
    </row>
    <row r="197" spans="1:10" ht="24" hidden="1" customHeight="1">
      <c r="A197" s="7">
        <v>167</v>
      </c>
      <c r="B197" s="8"/>
      <c r="C197" s="8"/>
      <c r="D197" s="8"/>
      <c r="E197" s="8"/>
      <c r="F197" s="2"/>
      <c r="G197" s="2"/>
      <c r="H197" s="2"/>
      <c r="I197" s="2"/>
      <c r="J197" s="2"/>
    </row>
    <row r="198" spans="1:10" ht="24" hidden="1" customHeight="1">
      <c r="A198" s="7">
        <v>168</v>
      </c>
      <c r="B198" s="8"/>
      <c r="C198" s="8"/>
      <c r="D198" s="8"/>
      <c r="E198" s="8"/>
      <c r="F198" s="2"/>
      <c r="G198" s="2"/>
      <c r="H198" s="2"/>
      <c r="I198" s="2"/>
      <c r="J198" s="2"/>
    </row>
    <row r="199" spans="1:10" ht="24" hidden="1" customHeight="1">
      <c r="A199" s="7">
        <v>169</v>
      </c>
      <c r="B199" s="8"/>
      <c r="C199" s="8"/>
      <c r="D199" s="8"/>
      <c r="E199" s="8"/>
      <c r="F199" s="2"/>
      <c r="G199" s="2"/>
      <c r="H199" s="2"/>
      <c r="I199" s="2"/>
      <c r="J199" s="2"/>
    </row>
    <row r="200" spans="1:10" ht="24" hidden="1" customHeight="1">
      <c r="A200" s="7">
        <v>170</v>
      </c>
      <c r="B200" s="8"/>
      <c r="C200" s="8"/>
      <c r="D200" s="8"/>
      <c r="E200" s="8"/>
      <c r="F200" s="2"/>
      <c r="G200" s="2"/>
      <c r="H200" s="2"/>
      <c r="I200" s="2"/>
      <c r="J200" s="2"/>
    </row>
    <row r="201" spans="1:10" ht="24" hidden="1" customHeight="1">
      <c r="A201" s="7">
        <v>171</v>
      </c>
      <c r="B201" s="8"/>
      <c r="C201" s="8"/>
      <c r="D201" s="8"/>
      <c r="E201" s="8"/>
      <c r="F201" s="2"/>
      <c r="G201" s="2"/>
      <c r="H201" s="2"/>
      <c r="I201" s="2"/>
      <c r="J201" s="2"/>
    </row>
    <row r="202" spans="1:10" ht="24" hidden="1" customHeight="1">
      <c r="A202" s="7">
        <v>172</v>
      </c>
      <c r="B202" s="8"/>
      <c r="C202" s="8"/>
      <c r="D202" s="8"/>
      <c r="E202" s="8"/>
      <c r="F202" s="2"/>
      <c r="G202" s="2"/>
      <c r="H202" s="2"/>
      <c r="I202" s="2"/>
      <c r="J202" s="2"/>
    </row>
    <row r="203" spans="1:10" ht="24" hidden="1" customHeight="1">
      <c r="A203" s="7">
        <v>173</v>
      </c>
      <c r="B203" s="8"/>
      <c r="C203" s="8"/>
      <c r="D203" s="8"/>
      <c r="E203" s="8"/>
      <c r="F203" s="2"/>
      <c r="G203" s="2"/>
      <c r="H203" s="2"/>
      <c r="I203" s="2"/>
      <c r="J203" s="2"/>
    </row>
    <row r="204" spans="1:10" ht="24" hidden="1" customHeight="1">
      <c r="A204" s="7">
        <v>174</v>
      </c>
      <c r="B204" s="8"/>
      <c r="C204" s="8"/>
      <c r="D204" s="8"/>
      <c r="E204" s="8"/>
      <c r="F204" s="2"/>
      <c r="G204" s="2"/>
      <c r="H204" s="2"/>
      <c r="I204" s="2"/>
      <c r="J204" s="2"/>
    </row>
    <row r="205" spans="1:10" ht="24" hidden="1" customHeight="1">
      <c r="A205" s="7">
        <v>175</v>
      </c>
      <c r="B205" s="8"/>
      <c r="C205" s="8"/>
      <c r="D205" s="8"/>
      <c r="E205" s="8"/>
      <c r="F205" s="2"/>
      <c r="G205" s="2"/>
      <c r="H205" s="2"/>
      <c r="I205" s="2"/>
      <c r="J205" s="2"/>
    </row>
    <row r="206" spans="1:10" ht="24" hidden="1" customHeight="1">
      <c r="A206" s="7">
        <v>176</v>
      </c>
      <c r="B206" s="8"/>
      <c r="C206" s="8"/>
      <c r="D206" s="8"/>
      <c r="E206" s="8"/>
      <c r="F206" s="2"/>
      <c r="G206" s="2"/>
      <c r="H206" s="2"/>
      <c r="I206" s="2"/>
      <c r="J206" s="2"/>
    </row>
    <row r="207" spans="1:10" ht="24" hidden="1" customHeight="1">
      <c r="A207" s="7">
        <v>177</v>
      </c>
      <c r="B207" s="8"/>
      <c r="C207" s="8"/>
      <c r="D207" s="8"/>
      <c r="E207" s="8"/>
      <c r="F207" s="2"/>
      <c r="G207" s="2"/>
      <c r="H207" s="2"/>
      <c r="I207" s="2"/>
      <c r="J207" s="2"/>
    </row>
    <row r="208" spans="1:10" ht="24" hidden="1" customHeight="1">
      <c r="A208" s="7">
        <v>178</v>
      </c>
      <c r="B208" s="8"/>
      <c r="C208" s="8"/>
      <c r="D208" s="8"/>
      <c r="E208" s="8"/>
      <c r="F208" s="2"/>
      <c r="G208" s="2"/>
      <c r="H208" s="2"/>
      <c r="I208" s="2"/>
      <c r="J208" s="2"/>
    </row>
    <row r="209" spans="1:10" ht="24" hidden="1" customHeight="1">
      <c r="A209" s="7">
        <v>179</v>
      </c>
      <c r="B209" s="8"/>
      <c r="C209" s="8"/>
      <c r="D209" s="8"/>
      <c r="E209" s="8"/>
      <c r="F209" s="2"/>
      <c r="G209" s="2"/>
      <c r="H209" s="2"/>
      <c r="I209" s="2"/>
      <c r="J209" s="2"/>
    </row>
    <row r="210" spans="1:10" ht="24" hidden="1" customHeight="1">
      <c r="A210" s="7">
        <v>180</v>
      </c>
      <c r="B210" s="8"/>
      <c r="C210" s="8"/>
      <c r="D210" s="8"/>
      <c r="E210" s="8"/>
      <c r="F210" s="2"/>
      <c r="G210" s="2"/>
      <c r="H210" s="2"/>
      <c r="I210" s="2"/>
      <c r="J210" s="2"/>
    </row>
    <row r="211" spans="1:10" ht="24" hidden="1" customHeight="1">
      <c r="A211" s="7">
        <v>181</v>
      </c>
      <c r="B211" s="8"/>
      <c r="C211" s="8"/>
      <c r="D211" s="8"/>
      <c r="E211" s="8"/>
      <c r="F211" s="2"/>
      <c r="G211" s="2"/>
      <c r="H211" s="2"/>
      <c r="I211" s="2"/>
      <c r="J211" s="2"/>
    </row>
    <row r="212" spans="1:10" ht="24" hidden="1" customHeight="1">
      <c r="A212" s="7">
        <v>182</v>
      </c>
      <c r="B212" s="8"/>
      <c r="C212" s="8"/>
      <c r="D212" s="8"/>
      <c r="E212" s="8"/>
      <c r="F212" s="2"/>
      <c r="G212" s="2"/>
      <c r="H212" s="2"/>
      <c r="I212" s="2"/>
      <c r="J212" s="2"/>
    </row>
    <row r="213" spans="1:10" ht="24" hidden="1" customHeight="1">
      <c r="A213" s="7">
        <v>183</v>
      </c>
      <c r="B213" s="8"/>
      <c r="C213" s="8"/>
      <c r="D213" s="8"/>
      <c r="E213" s="8"/>
      <c r="F213" s="2"/>
      <c r="G213" s="2"/>
      <c r="H213" s="2"/>
      <c r="I213" s="2"/>
      <c r="J213" s="2"/>
    </row>
    <row r="214" spans="1:10" ht="24" hidden="1" customHeight="1">
      <c r="A214" s="7">
        <v>184</v>
      </c>
      <c r="B214" s="8"/>
      <c r="C214" s="8"/>
      <c r="D214" s="8"/>
      <c r="E214" s="8"/>
      <c r="F214" s="2"/>
      <c r="G214" s="2"/>
      <c r="H214" s="2"/>
      <c r="I214" s="2"/>
      <c r="J214" s="2"/>
    </row>
    <row r="215" spans="1:10" ht="24" hidden="1" customHeight="1">
      <c r="A215" s="7">
        <v>185</v>
      </c>
      <c r="B215" s="8"/>
      <c r="C215" s="8"/>
      <c r="D215" s="8"/>
      <c r="E215" s="8"/>
      <c r="F215" s="2"/>
      <c r="G215" s="2"/>
      <c r="H215" s="2"/>
      <c r="I215" s="2"/>
      <c r="J215" s="2"/>
    </row>
    <row r="216" spans="1:10" ht="24" hidden="1" customHeight="1">
      <c r="A216" s="7">
        <v>186</v>
      </c>
      <c r="B216" s="8"/>
      <c r="C216" s="8"/>
      <c r="D216" s="8"/>
      <c r="E216" s="8"/>
      <c r="F216" s="2"/>
      <c r="G216" s="2"/>
      <c r="H216" s="2"/>
      <c r="I216" s="2"/>
      <c r="J216" s="2"/>
    </row>
    <row r="217" spans="1:10" ht="24" hidden="1" customHeight="1">
      <c r="A217" s="7">
        <v>187</v>
      </c>
      <c r="B217" s="8"/>
      <c r="C217" s="8"/>
      <c r="D217" s="8"/>
      <c r="E217" s="8"/>
      <c r="F217" s="2"/>
      <c r="G217" s="2"/>
      <c r="H217" s="2"/>
      <c r="I217" s="2"/>
      <c r="J217" s="2"/>
    </row>
    <row r="218" spans="1:10" ht="24" hidden="1" customHeight="1">
      <c r="A218" s="7">
        <v>188</v>
      </c>
      <c r="B218" s="8"/>
      <c r="C218" s="8"/>
      <c r="D218" s="8"/>
      <c r="E218" s="8"/>
      <c r="F218" s="2"/>
      <c r="G218" s="2"/>
      <c r="H218" s="2"/>
      <c r="I218" s="2"/>
      <c r="J218" s="2"/>
    </row>
    <row r="219" spans="1:10" ht="24" hidden="1" customHeight="1">
      <c r="A219" s="7">
        <v>189</v>
      </c>
      <c r="B219" s="8"/>
      <c r="C219" s="8"/>
      <c r="D219" s="8"/>
      <c r="E219" s="8"/>
      <c r="F219" s="2"/>
      <c r="G219" s="2"/>
      <c r="H219" s="2"/>
      <c r="I219" s="2"/>
      <c r="J219" s="2"/>
    </row>
    <row r="220" spans="1:10" ht="24" hidden="1" customHeight="1">
      <c r="A220" s="7">
        <v>190</v>
      </c>
      <c r="B220" s="8"/>
      <c r="C220" s="8"/>
      <c r="D220" s="8"/>
      <c r="E220" s="8"/>
      <c r="F220" s="2"/>
      <c r="G220" s="2"/>
      <c r="H220" s="2"/>
      <c r="I220" s="2"/>
      <c r="J220" s="2"/>
    </row>
    <row r="221" spans="1:10" ht="24" hidden="1" customHeight="1">
      <c r="A221" s="7">
        <v>191</v>
      </c>
      <c r="B221" s="8"/>
      <c r="C221" s="8"/>
      <c r="D221" s="8"/>
      <c r="E221" s="8"/>
      <c r="F221" s="2"/>
      <c r="G221" s="2"/>
      <c r="H221" s="2"/>
      <c r="I221" s="2"/>
      <c r="J221" s="2"/>
    </row>
    <row r="222" spans="1:10" ht="24" hidden="1" customHeight="1">
      <c r="A222" s="7">
        <v>192</v>
      </c>
      <c r="B222" s="8"/>
      <c r="C222" s="8"/>
      <c r="D222" s="8"/>
      <c r="E222" s="8"/>
      <c r="F222" s="2"/>
      <c r="G222" s="2"/>
      <c r="H222" s="2"/>
      <c r="I222" s="2"/>
      <c r="J222" s="2"/>
    </row>
    <row r="223" spans="1:10" ht="24" hidden="1" customHeight="1">
      <c r="A223" s="7">
        <v>193</v>
      </c>
      <c r="B223" s="8"/>
      <c r="C223" s="8"/>
      <c r="D223" s="8"/>
      <c r="E223" s="8"/>
      <c r="F223" s="2"/>
      <c r="G223" s="2"/>
      <c r="H223" s="2"/>
      <c r="I223" s="2"/>
      <c r="J223" s="2"/>
    </row>
    <row r="224" spans="1:10" ht="24" hidden="1" customHeight="1">
      <c r="A224" s="7">
        <v>194</v>
      </c>
      <c r="B224" s="8"/>
      <c r="C224" s="8"/>
      <c r="D224" s="8"/>
      <c r="E224" s="8"/>
      <c r="F224" s="2"/>
      <c r="G224" s="2"/>
      <c r="H224" s="2"/>
      <c r="I224" s="2"/>
      <c r="J224" s="2"/>
    </row>
    <row r="225" spans="1:10" ht="24" hidden="1" customHeight="1">
      <c r="A225" s="7">
        <v>195</v>
      </c>
      <c r="B225" s="8"/>
      <c r="C225" s="8"/>
      <c r="D225" s="8"/>
      <c r="E225" s="8"/>
      <c r="F225" s="2"/>
      <c r="G225" s="2"/>
      <c r="H225" s="2"/>
      <c r="I225" s="2"/>
      <c r="J225" s="2"/>
    </row>
    <row r="226" spans="1:10" ht="24" hidden="1" customHeight="1">
      <c r="A226" s="7">
        <v>196</v>
      </c>
      <c r="B226" s="8"/>
      <c r="C226" s="8"/>
      <c r="D226" s="8"/>
      <c r="E226" s="8"/>
      <c r="F226" s="2"/>
      <c r="G226" s="2"/>
      <c r="H226" s="2"/>
      <c r="I226" s="2"/>
      <c r="J226" s="2"/>
    </row>
    <row r="227" spans="1:10" ht="24" hidden="1" customHeight="1">
      <c r="A227" s="7">
        <v>197</v>
      </c>
      <c r="B227" s="8"/>
      <c r="C227" s="8"/>
      <c r="D227" s="8"/>
      <c r="E227" s="8"/>
      <c r="F227" s="2"/>
      <c r="G227" s="2"/>
      <c r="H227" s="2"/>
      <c r="I227" s="2"/>
      <c r="J227" s="2"/>
    </row>
    <row r="228" spans="1:10" ht="24" hidden="1" customHeight="1">
      <c r="A228" s="7">
        <v>198</v>
      </c>
      <c r="B228" s="8"/>
      <c r="C228" s="8"/>
      <c r="D228" s="8"/>
      <c r="E228" s="8"/>
      <c r="F228" s="2"/>
      <c r="G228" s="2"/>
      <c r="H228" s="2"/>
      <c r="I228" s="2"/>
      <c r="J228" s="2"/>
    </row>
    <row r="229" spans="1:10" ht="24" hidden="1" customHeight="1">
      <c r="A229" s="7">
        <v>199</v>
      </c>
      <c r="B229" s="8"/>
      <c r="C229" s="8"/>
      <c r="D229" s="8"/>
      <c r="E229" s="8"/>
      <c r="F229" s="2"/>
      <c r="G229" s="2"/>
      <c r="H229" s="2"/>
      <c r="I229" s="2"/>
      <c r="J229" s="2"/>
    </row>
    <row r="230" spans="1:10" ht="24" hidden="1" customHeight="1">
      <c r="A230" s="7">
        <v>200</v>
      </c>
      <c r="B230" s="8"/>
      <c r="C230" s="8"/>
      <c r="D230" s="8"/>
      <c r="E230" s="8"/>
      <c r="F230" s="2"/>
      <c r="G230" s="2"/>
      <c r="H230" s="2"/>
      <c r="I230" s="2"/>
      <c r="J230" s="2"/>
    </row>
    <row r="231" spans="1:10" ht="24" hidden="1" customHeight="1">
      <c r="A231" s="7">
        <v>201</v>
      </c>
      <c r="B231" s="8"/>
      <c r="C231" s="8"/>
      <c r="D231" s="8"/>
      <c r="E231" s="8"/>
      <c r="F231" s="2"/>
      <c r="G231" s="2"/>
      <c r="H231" s="2"/>
      <c r="I231" s="2"/>
      <c r="J231" s="2"/>
    </row>
    <row r="232" spans="1:10" ht="24" hidden="1" customHeight="1">
      <c r="A232" s="7">
        <v>202</v>
      </c>
      <c r="B232" s="8"/>
      <c r="C232" s="8"/>
      <c r="D232" s="8"/>
      <c r="E232" s="8"/>
      <c r="F232" s="2"/>
      <c r="G232" s="2"/>
      <c r="H232" s="2"/>
      <c r="I232" s="2"/>
      <c r="J232" s="2"/>
    </row>
    <row r="233" spans="1:10" ht="24" hidden="1" customHeight="1">
      <c r="A233" s="7">
        <v>203</v>
      </c>
      <c r="B233" s="8"/>
      <c r="C233" s="8"/>
      <c r="D233" s="8"/>
      <c r="E233" s="8"/>
      <c r="F233" s="2"/>
      <c r="G233" s="2"/>
      <c r="H233" s="2"/>
      <c r="I233" s="2"/>
      <c r="J233" s="2"/>
    </row>
    <row r="234" spans="1:10" ht="24" hidden="1" customHeight="1">
      <c r="A234" s="7">
        <v>204</v>
      </c>
      <c r="B234" s="8"/>
      <c r="C234" s="8"/>
      <c r="D234" s="8"/>
      <c r="E234" s="8"/>
      <c r="F234" s="2"/>
      <c r="G234" s="2"/>
      <c r="H234" s="2"/>
      <c r="I234" s="2"/>
      <c r="J234" s="2"/>
    </row>
    <row r="235" spans="1:10" ht="24" hidden="1" customHeight="1">
      <c r="A235" s="7">
        <v>205</v>
      </c>
      <c r="B235" s="8"/>
      <c r="C235" s="8"/>
      <c r="D235" s="8"/>
      <c r="E235" s="8"/>
      <c r="F235" s="2"/>
      <c r="G235" s="2"/>
      <c r="H235" s="2"/>
      <c r="I235" s="2"/>
      <c r="J235" s="2"/>
    </row>
    <row r="236" spans="1:10" ht="24" hidden="1" customHeight="1">
      <c r="A236" s="7">
        <v>206</v>
      </c>
      <c r="B236" s="8"/>
      <c r="C236" s="8"/>
      <c r="D236" s="8"/>
      <c r="E236" s="8"/>
      <c r="F236" s="2"/>
      <c r="G236" s="2"/>
      <c r="H236" s="2"/>
      <c r="I236" s="2"/>
      <c r="J236" s="2"/>
    </row>
    <row r="237" spans="1:10" ht="24" hidden="1" customHeight="1">
      <c r="A237" s="7">
        <v>207</v>
      </c>
      <c r="B237" s="8"/>
      <c r="C237" s="8"/>
      <c r="D237" s="8"/>
      <c r="E237" s="8"/>
      <c r="F237" s="2"/>
      <c r="G237" s="2"/>
      <c r="H237" s="2"/>
      <c r="I237" s="2"/>
      <c r="J237" s="2"/>
    </row>
    <row r="238" spans="1:10" ht="24" hidden="1" customHeight="1">
      <c r="A238" s="7">
        <v>208</v>
      </c>
      <c r="B238" s="8"/>
      <c r="C238" s="8"/>
      <c r="D238" s="8"/>
      <c r="E238" s="8"/>
      <c r="F238" s="2"/>
      <c r="G238" s="2"/>
      <c r="H238" s="2"/>
      <c r="I238" s="2"/>
      <c r="J238" s="2"/>
    </row>
    <row r="239" spans="1:10" ht="24" hidden="1" customHeight="1">
      <c r="A239" s="7">
        <v>209</v>
      </c>
      <c r="B239" s="8"/>
      <c r="C239" s="8"/>
      <c r="D239" s="8"/>
      <c r="E239" s="8"/>
      <c r="F239" s="2"/>
      <c r="G239" s="2"/>
      <c r="H239" s="2"/>
      <c r="I239" s="2"/>
      <c r="J239" s="2"/>
    </row>
    <row r="240" spans="1:10" ht="24" hidden="1" customHeight="1">
      <c r="A240" s="7">
        <v>210</v>
      </c>
      <c r="B240" s="8"/>
      <c r="C240" s="8"/>
      <c r="D240" s="8"/>
      <c r="E240" s="8"/>
      <c r="F240" s="2"/>
      <c r="G240" s="2"/>
      <c r="H240" s="2"/>
      <c r="I240" s="2"/>
      <c r="J240" s="2"/>
    </row>
    <row r="241" spans="1:10" ht="24" hidden="1" customHeight="1">
      <c r="A241" s="7">
        <v>211</v>
      </c>
      <c r="B241" s="8"/>
      <c r="C241" s="8"/>
      <c r="D241" s="8"/>
      <c r="E241" s="8"/>
      <c r="F241" s="2"/>
      <c r="G241" s="2"/>
      <c r="H241" s="2"/>
      <c r="I241" s="2"/>
      <c r="J241" s="2"/>
    </row>
    <row r="242" spans="1:10" ht="24" hidden="1" customHeight="1">
      <c r="A242" s="7">
        <v>212</v>
      </c>
      <c r="B242" s="8"/>
      <c r="C242" s="8"/>
      <c r="D242" s="8"/>
      <c r="E242" s="8"/>
      <c r="F242" s="2"/>
      <c r="G242" s="2"/>
      <c r="H242" s="2"/>
      <c r="I242" s="2"/>
      <c r="J242" s="2"/>
    </row>
    <row r="243" spans="1:10" ht="24" hidden="1" customHeight="1">
      <c r="A243" s="7">
        <v>213</v>
      </c>
      <c r="B243" s="8"/>
      <c r="C243" s="8"/>
      <c r="D243" s="8"/>
      <c r="E243" s="8"/>
      <c r="F243" s="2"/>
      <c r="G243" s="2"/>
      <c r="H243" s="2"/>
      <c r="I243" s="2"/>
      <c r="J243" s="2"/>
    </row>
    <row r="244" spans="1:10" ht="24" hidden="1" customHeight="1">
      <c r="A244" s="7">
        <v>214</v>
      </c>
      <c r="B244" s="8"/>
      <c r="C244" s="8"/>
      <c r="D244" s="8"/>
      <c r="E244" s="8"/>
      <c r="F244" s="2"/>
      <c r="G244" s="2"/>
      <c r="H244" s="2"/>
      <c r="I244" s="2"/>
      <c r="J244" s="2"/>
    </row>
    <row r="245" spans="1:10" ht="24" hidden="1" customHeight="1">
      <c r="A245" s="7">
        <v>215</v>
      </c>
      <c r="B245" s="8"/>
      <c r="C245" s="8"/>
      <c r="D245" s="8"/>
      <c r="E245" s="8"/>
      <c r="F245" s="2"/>
      <c r="G245" s="2"/>
      <c r="H245" s="2"/>
      <c r="I245" s="2"/>
      <c r="J245" s="2"/>
    </row>
    <row r="246" spans="1:10" ht="24" hidden="1" customHeight="1">
      <c r="A246" s="7">
        <v>216</v>
      </c>
      <c r="B246" s="8"/>
      <c r="C246" s="8"/>
      <c r="D246" s="8"/>
      <c r="E246" s="8"/>
      <c r="F246" s="2"/>
      <c r="G246" s="2"/>
      <c r="H246" s="2"/>
      <c r="I246" s="2"/>
      <c r="J246" s="2"/>
    </row>
    <row r="247" spans="1:10" ht="24" hidden="1" customHeight="1">
      <c r="A247" s="7">
        <v>217</v>
      </c>
      <c r="B247" s="8"/>
      <c r="C247" s="8"/>
      <c r="D247" s="8"/>
      <c r="E247" s="8"/>
      <c r="F247" s="2"/>
      <c r="G247" s="2"/>
      <c r="H247" s="2"/>
      <c r="I247" s="2"/>
      <c r="J247" s="2"/>
    </row>
    <row r="248" spans="1:10" ht="24" hidden="1" customHeight="1">
      <c r="A248" s="7">
        <v>218</v>
      </c>
      <c r="B248" s="8"/>
      <c r="C248" s="8"/>
      <c r="D248" s="8"/>
      <c r="E248" s="8"/>
      <c r="F248" s="2"/>
      <c r="G248" s="2"/>
      <c r="H248" s="2"/>
      <c r="I248" s="2"/>
      <c r="J248" s="2"/>
    </row>
    <row r="249" spans="1:10" ht="24" hidden="1" customHeight="1">
      <c r="A249" s="7">
        <v>219</v>
      </c>
      <c r="B249" s="8"/>
      <c r="C249" s="8"/>
      <c r="D249" s="8"/>
      <c r="E249" s="8"/>
      <c r="F249" s="2"/>
      <c r="G249" s="2"/>
      <c r="H249" s="2"/>
      <c r="I249" s="2"/>
      <c r="J249" s="2"/>
    </row>
    <row r="250" spans="1:10" ht="24" hidden="1" customHeight="1">
      <c r="A250" s="7">
        <v>220</v>
      </c>
      <c r="B250" s="8"/>
      <c r="C250" s="8"/>
      <c r="D250" s="8"/>
      <c r="E250" s="8"/>
      <c r="F250" s="2"/>
      <c r="G250" s="2"/>
      <c r="H250" s="2"/>
      <c r="I250" s="2"/>
      <c r="J250" s="2"/>
    </row>
    <row r="251" spans="1:10" ht="24" hidden="1" customHeight="1">
      <c r="A251" s="7">
        <v>221</v>
      </c>
      <c r="B251" s="8"/>
      <c r="C251" s="8"/>
      <c r="D251" s="8"/>
      <c r="E251" s="8"/>
      <c r="F251" s="2"/>
      <c r="G251" s="2"/>
      <c r="H251" s="2"/>
      <c r="I251" s="2"/>
      <c r="J251" s="2"/>
    </row>
    <row r="252" spans="1:10" ht="24" hidden="1" customHeight="1">
      <c r="A252" s="7">
        <v>222</v>
      </c>
      <c r="B252" s="8"/>
      <c r="C252" s="8"/>
      <c r="D252" s="8"/>
      <c r="E252" s="8"/>
      <c r="F252" s="2"/>
      <c r="G252" s="2"/>
      <c r="H252" s="2"/>
      <c r="I252" s="2"/>
      <c r="J252" s="2"/>
    </row>
    <row r="253" spans="1:10" ht="24" hidden="1" customHeight="1">
      <c r="A253" s="7">
        <v>223</v>
      </c>
      <c r="B253" s="8"/>
      <c r="C253" s="8"/>
      <c r="D253" s="8"/>
      <c r="E253" s="8"/>
      <c r="F253" s="2"/>
      <c r="G253" s="2"/>
      <c r="H253" s="2"/>
      <c r="I253" s="2"/>
      <c r="J253" s="2"/>
    </row>
    <row r="254" spans="1:10" ht="24" hidden="1" customHeight="1">
      <c r="A254" s="7">
        <v>224</v>
      </c>
      <c r="B254" s="8"/>
      <c r="C254" s="8"/>
      <c r="D254" s="8"/>
      <c r="E254" s="8"/>
      <c r="F254" s="2"/>
      <c r="G254" s="2"/>
      <c r="H254" s="2"/>
      <c r="I254" s="2"/>
      <c r="J254" s="2"/>
    </row>
    <row r="255" spans="1:10" ht="24" hidden="1" customHeight="1">
      <c r="A255" s="7">
        <v>225</v>
      </c>
      <c r="B255" s="8"/>
      <c r="C255" s="8"/>
      <c r="D255" s="8"/>
      <c r="E255" s="8"/>
      <c r="F255" s="2"/>
      <c r="G255" s="2"/>
      <c r="H255" s="2"/>
      <c r="I255" s="2"/>
      <c r="J255" s="2"/>
    </row>
    <row r="256" spans="1:10" ht="24" hidden="1" customHeight="1">
      <c r="A256" s="7">
        <v>226</v>
      </c>
      <c r="B256" s="8"/>
      <c r="C256" s="8"/>
      <c r="D256" s="8"/>
      <c r="E256" s="8"/>
      <c r="F256" s="2"/>
      <c r="G256" s="2"/>
      <c r="H256" s="2"/>
      <c r="I256" s="2"/>
      <c r="J256" s="2"/>
    </row>
    <row r="257" spans="1:10" ht="24" hidden="1" customHeight="1">
      <c r="A257" s="7">
        <v>227</v>
      </c>
      <c r="B257" s="8"/>
      <c r="C257" s="8"/>
      <c r="D257" s="8"/>
      <c r="E257" s="8"/>
      <c r="F257" s="2"/>
      <c r="G257" s="2"/>
      <c r="H257" s="2"/>
      <c r="I257" s="2"/>
      <c r="J257" s="2"/>
    </row>
    <row r="258" spans="1:10" ht="24" hidden="1" customHeight="1">
      <c r="A258" s="7">
        <v>228</v>
      </c>
      <c r="B258" s="8"/>
      <c r="C258" s="8"/>
      <c r="D258" s="8"/>
      <c r="E258" s="8"/>
      <c r="F258" s="2"/>
      <c r="G258" s="2"/>
      <c r="H258" s="2"/>
      <c r="I258" s="2"/>
      <c r="J258" s="2"/>
    </row>
    <row r="259" spans="1:10" ht="24" hidden="1" customHeight="1">
      <c r="A259" s="7">
        <v>229</v>
      </c>
      <c r="B259" s="8"/>
      <c r="C259" s="8"/>
      <c r="D259" s="8"/>
      <c r="E259" s="8"/>
      <c r="F259" s="2"/>
      <c r="G259" s="2"/>
      <c r="H259" s="2"/>
      <c r="I259" s="2"/>
      <c r="J259" s="2"/>
    </row>
    <row r="260" spans="1:10" ht="24" hidden="1" customHeight="1">
      <c r="A260" s="7">
        <v>230</v>
      </c>
      <c r="B260" s="8"/>
      <c r="C260" s="8"/>
      <c r="D260" s="8"/>
      <c r="E260" s="8"/>
      <c r="F260" s="2"/>
      <c r="G260" s="2"/>
      <c r="H260" s="2"/>
      <c r="I260" s="2"/>
      <c r="J260" s="2"/>
    </row>
    <row r="261" spans="1:10" ht="24" hidden="1" customHeight="1">
      <c r="A261" s="7">
        <v>231</v>
      </c>
      <c r="B261" s="8"/>
      <c r="C261" s="8"/>
      <c r="D261" s="8"/>
      <c r="E261" s="8"/>
      <c r="F261" s="2"/>
      <c r="G261" s="2"/>
      <c r="H261" s="2"/>
      <c r="I261" s="2"/>
      <c r="J261" s="2"/>
    </row>
    <row r="262" spans="1:10" ht="24" hidden="1" customHeight="1">
      <c r="A262" s="7">
        <v>232</v>
      </c>
      <c r="B262" s="8"/>
      <c r="C262" s="8"/>
      <c r="D262" s="8"/>
      <c r="E262" s="8"/>
      <c r="F262" s="2"/>
      <c r="G262" s="2"/>
      <c r="H262" s="2"/>
      <c r="I262" s="2"/>
      <c r="J262" s="2"/>
    </row>
    <row r="263" spans="1:10" ht="24" hidden="1" customHeight="1">
      <c r="A263" s="7">
        <v>233</v>
      </c>
      <c r="B263" s="8"/>
      <c r="C263" s="8"/>
      <c r="D263" s="8"/>
      <c r="E263" s="8"/>
      <c r="F263" s="2"/>
      <c r="G263" s="2"/>
      <c r="H263" s="2"/>
      <c r="I263" s="2"/>
      <c r="J263" s="2"/>
    </row>
    <row r="264" spans="1:10" ht="24" hidden="1" customHeight="1">
      <c r="A264" s="7">
        <v>234</v>
      </c>
      <c r="B264" s="8"/>
      <c r="C264" s="8"/>
      <c r="D264" s="8"/>
      <c r="E264" s="8"/>
      <c r="F264" s="2"/>
      <c r="G264" s="2"/>
      <c r="H264" s="2"/>
      <c r="I264" s="2"/>
      <c r="J264" s="2"/>
    </row>
    <row r="265" spans="1:10" ht="24" hidden="1" customHeight="1">
      <c r="A265" s="7">
        <v>235</v>
      </c>
      <c r="B265" s="8"/>
      <c r="C265" s="8"/>
      <c r="D265" s="8"/>
      <c r="E265" s="8"/>
      <c r="F265" s="2"/>
      <c r="G265" s="2"/>
      <c r="H265" s="2"/>
      <c r="I265" s="2"/>
      <c r="J265" s="2"/>
    </row>
    <row r="266" spans="1:10" ht="24" hidden="1" customHeight="1">
      <c r="A266" s="7">
        <v>236</v>
      </c>
      <c r="B266" s="8"/>
      <c r="C266" s="8"/>
      <c r="D266" s="8"/>
      <c r="E266" s="8"/>
      <c r="F266" s="2"/>
      <c r="G266" s="2"/>
      <c r="H266" s="2"/>
      <c r="I266" s="2"/>
      <c r="J266" s="2"/>
    </row>
    <row r="267" spans="1:10" ht="24" hidden="1" customHeight="1">
      <c r="A267" s="7">
        <v>237</v>
      </c>
      <c r="B267" s="8"/>
      <c r="C267" s="8"/>
      <c r="D267" s="8"/>
      <c r="E267" s="8"/>
      <c r="F267" s="2"/>
      <c r="G267" s="2"/>
      <c r="H267" s="2"/>
      <c r="I267" s="2"/>
      <c r="J267" s="2"/>
    </row>
    <row r="268" spans="1:10" ht="24" hidden="1" customHeight="1">
      <c r="A268" s="7">
        <v>238</v>
      </c>
      <c r="B268" s="8"/>
      <c r="C268" s="8"/>
      <c r="D268" s="8"/>
      <c r="E268" s="8"/>
      <c r="F268" s="2"/>
      <c r="G268" s="2"/>
      <c r="H268" s="2"/>
      <c r="I268" s="2"/>
      <c r="J268" s="2"/>
    </row>
    <row r="269" spans="1:10" ht="24" hidden="1" customHeight="1">
      <c r="A269" s="7">
        <v>239</v>
      </c>
      <c r="B269" s="8"/>
      <c r="C269" s="8"/>
      <c r="D269" s="8"/>
      <c r="E269" s="8"/>
      <c r="F269" s="2"/>
      <c r="G269" s="2"/>
      <c r="H269" s="2"/>
      <c r="I269" s="2"/>
      <c r="J269" s="2"/>
    </row>
    <row r="270" spans="1:10" ht="24" hidden="1" customHeight="1">
      <c r="A270" s="7">
        <v>240</v>
      </c>
      <c r="B270" s="8"/>
      <c r="C270" s="8"/>
      <c r="D270" s="8"/>
      <c r="E270" s="8"/>
      <c r="F270" s="2"/>
      <c r="G270" s="2"/>
      <c r="H270" s="2"/>
      <c r="I270" s="2"/>
      <c r="J270" s="2"/>
    </row>
    <row r="271" spans="1:10" ht="24" hidden="1" customHeight="1">
      <c r="A271" s="7">
        <v>241</v>
      </c>
      <c r="B271" s="8"/>
      <c r="C271" s="8"/>
      <c r="D271" s="8"/>
      <c r="E271" s="8"/>
      <c r="F271" s="2"/>
      <c r="G271" s="2"/>
      <c r="H271" s="2"/>
      <c r="I271" s="2"/>
      <c r="J271" s="2"/>
    </row>
    <row r="272" spans="1:10" ht="24" hidden="1" customHeight="1">
      <c r="A272" s="7">
        <v>242</v>
      </c>
      <c r="B272" s="8"/>
      <c r="C272" s="8"/>
      <c r="D272" s="8"/>
      <c r="E272" s="8"/>
      <c r="F272" s="2"/>
      <c r="G272" s="2"/>
      <c r="H272" s="2"/>
      <c r="I272" s="2"/>
      <c r="J272" s="2"/>
    </row>
    <row r="273" spans="1:10" ht="24" hidden="1" customHeight="1">
      <c r="A273" s="7">
        <v>243</v>
      </c>
      <c r="B273" s="8"/>
      <c r="C273" s="8"/>
      <c r="D273" s="8"/>
      <c r="E273" s="8"/>
      <c r="F273" s="2"/>
      <c r="G273" s="2"/>
      <c r="H273" s="2"/>
      <c r="I273" s="2"/>
      <c r="J273" s="2"/>
    </row>
    <row r="274" spans="1:10" ht="24" hidden="1" customHeight="1">
      <c r="A274" s="7">
        <v>244</v>
      </c>
      <c r="B274" s="8"/>
      <c r="C274" s="8"/>
      <c r="D274" s="8"/>
      <c r="E274" s="8"/>
      <c r="F274" s="2"/>
      <c r="G274" s="2"/>
      <c r="H274" s="2"/>
      <c r="I274" s="2"/>
      <c r="J274" s="2"/>
    </row>
    <row r="275" spans="1:10" ht="24" hidden="1" customHeight="1">
      <c r="A275" s="7">
        <v>245</v>
      </c>
      <c r="B275" s="8"/>
      <c r="C275" s="8"/>
      <c r="D275" s="8"/>
      <c r="E275" s="8"/>
      <c r="F275" s="2"/>
      <c r="G275" s="2"/>
      <c r="H275" s="2"/>
      <c r="I275" s="2"/>
      <c r="J275" s="2"/>
    </row>
    <row r="276" spans="1:10" ht="24" hidden="1" customHeight="1">
      <c r="A276" s="7">
        <v>246</v>
      </c>
      <c r="B276" s="8"/>
      <c r="C276" s="8"/>
      <c r="D276" s="8"/>
      <c r="E276" s="8"/>
      <c r="F276" s="2"/>
      <c r="G276" s="2"/>
      <c r="H276" s="2"/>
      <c r="I276" s="2"/>
      <c r="J276" s="2"/>
    </row>
    <row r="277" spans="1:10" ht="24" hidden="1" customHeight="1">
      <c r="A277" s="7">
        <v>247</v>
      </c>
      <c r="B277" s="8"/>
      <c r="C277" s="8"/>
      <c r="D277" s="8"/>
      <c r="E277" s="8"/>
      <c r="F277" s="2"/>
      <c r="G277" s="2"/>
      <c r="H277" s="2"/>
      <c r="I277" s="2"/>
      <c r="J277" s="2"/>
    </row>
    <row r="278" spans="1:10" ht="24" hidden="1" customHeight="1">
      <c r="A278" s="7">
        <v>248</v>
      </c>
      <c r="B278" s="8"/>
      <c r="C278" s="8"/>
      <c r="D278" s="8"/>
      <c r="E278" s="8"/>
      <c r="F278" s="2"/>
      <c r="G278" s="2"/>
      <c r="H278" s="2"/>
      <c r="I278" s="2"/>
      <c r="J278" s="2"/>
    </row>
    <row r="279" spans="1:10" ht="24" hidden="1" customHeight="1">
      <c r="A279" s="7">
        <v>249</v>
      </c>
      <c r="B279" s="8"/>
      <c r="C279" s="8"/>
      <c r="D279" s="8"/>
      <c r="E279" s="8"/>
      <c r="F279" s="2"/>
      <c r="G279" s="2"/>
      <c r="H279" s="2"/>
      <c r="I279" s="2"/>
      <c r="J279" s="2"/>
    </row>
    <row r="280" spans="1:10" ht="24" hidden="1" customHeight="1">
      <c r="A280" s="7">
        <v>250</v>
      </c>
      <c r="B280" s="8"/>
      <c r="C280" s="8"/>
      <c r="D280" s="8"/>
      <c r="E280" s="8"/>
      <c r="F280" s="2"/>
      <c r="G280" s="2"/>
      <c r="H280" s="2"/>
      <c r="I280" s="2"/>
      <c r="J280" s="2"/>
    </row>
    <row r="281" spans="1:10" ht="24" hidden="1" customHeight="1">
      <c r="A281" s="7">
        <v>251</v>
      </c>
      <c r="B281" s="8"/>
      <c r="C281" s="8"/>
      <c r="D281" s="8"/>
      <c r="E281" s="8"/>
      <c r="F281" s="2"/>
      <c r="G281" s="2"/>
      <c r="H281" s="2"/>
      <c r="I281" s="2"/>
      <c r="J281" s="2"/>
    </row>
    <row r="282" spans="1:10" ht="24" hidden="1" customHeight="1">
      <c r="A282" s="7">
        <v>252</v>
      </c>
      <c r="B282" s="8"/>
      <c r="C282" s="8"/>
      <c r="D282" s="8"/>
      <c r="E282" s="8"/>
      <c r="F282" s="2"/>
      <c r="G282" s="2"/>
      <c r="H282" s="2"/>
      <c r="I282" s="2"/>
      <c r="J282" s="2"/>
    </row>
    <row r="283" spans="1:10" ht="24" hidden="1" customHeight="1">
      <c r="A283" s="7">
        <v>253</v>
      </c>
      <c r="B283" s="8"/>
      <c r="C283" s="8"/>
      <c r="D283" s="8"/>
      <c r="E283" s="8"/>
      <c r="F283" s="2"/>
      <c r="G283" s="2"/>
      <c r="H283" s="2"/>
      <c r="I283" s="2"/>
      <c r="J283" s="2"/>
    </row>
    <row r="284" spans="1:10" ht="24" hidden="1" customHeight="1">
      <c r="A284" s="7">
        <v>254</v>
      </c>
      <c r="B284" s="8"/>
      <c r="C284" s="8"/>
      <c r="D284" s="8"/>
      <c r="E284" s="8"/>
      <c r="F284" s="2"/>
      <c r="G284" s="2"/>
      <c r="H284" s="2"/>
      <c r="I284" s="2"/>
      <c r="J284" s="2"/>
    </row>
    <row r="285" spans="1:10" ht="24" hidden="1" customHeight="1">
      <c r="A285" s="7">
        <v>255</v>
      </c>
      <c r="B285" s="8"/>
      <c r="C285" s="8"/>
      <c r="D285" s="8"/>
      <c r="E285" s="8"/>
      <c r="F285" s="2"/>
      <c r="G285" s="2"/>
      <c r="H285" s="2"/>
      <c r="I285" s="2"/>
      <c r="J285" s="2"/>
    </row>
    <row r="286" spans="1:10" ht="24" hidden="1" customHeight="1">
      <c r="A286" s="7">
        <v>256</v>
      </c>
      <c r="B286" s="8"/>
      <c r="C286" s="8"/>
      <c r="D286" s="8"/>
      <c r="E286" s="8"/>
      <c r="F286" s="2"/>
      <c r="G286" s="2"/>
      <c r="H286" s="2"/>
      <c r="I286" s="2"/>
      <c r="J286" s="2"/>
    </row>
    <row r="287" spans="1:10" ht="24" hidden="1" customHeight="1">
      <c r="A287" s="7">
        <v>257</v>
      </c>
      <c r="B287" s="8"/>
      <c r="C287" s="8"/>
      <c r="D287" s="8"/>
      <c r="E287" s="8"/>
      <c r="F287" s="2"/>
      <c r="G287" s="2"/>
      <c r="H287" s="2"/>
      <c r="I287" s="2"/>
      <c r="J287" s="2"/>
    </row>
    <row r="288" spans="1:10" ht="24" hidden="1" customHeight="1">
      <c r="A288" s="7">
        <v>258</v>
      </c>
      <c r="B288" s="8"/>
      <c r="C288" s="8"/>
      <c r="D288" s="8"/>
      <c r="E288" s="8"/>
      <c r="F288" s="2"/>
      <c r="G288" s="2"/>
      <c r="H288" s="2"/>
      <c r="I288" s="2"/>
      <c r="J288" s="2"/>
    </row>
    <row r="289" spans="1:10" ht="24" hidden="1" customHeight="1">
      <c r="A289" s="7">
        <v>259</v>
      </c>
      <c r="B289" s="8"/>
      <c r="C289" s="8"/>
      <c r="D289" s="8"/>
      <c r="E289" s="8"/>
      <c r="F289" s="2"/>
      <c r="G289" s="2"/>
      <c r="H289" s="2"/>
      <c r="I289" s="2"/>
      <c r="J289" s="2"/>
    </row>
    <row r="290" spans="1:10" ht="24" hidden="1" customHeight="1">
      <c r="A290" s="7">
        <v>260</v>
      </c>
      <c r="B290" s="8"/>
      <c r="C290" s="8"/>
      <c r="D290" s="8"/>
      <c r="E290" s="8"/>
      <c r="F290" s="2"/>
      <c r="G290" s="2"/>
      <c r="H290" s="2"/>
      <c r="I290" s="2"/>
      <c r="J290" s="2"/>
    </row>
    <row r="291" spans="1:10" ht="24" hidden="1" customHeight="1">
      <c r="A291" s="7">
        <v>261</v>
      </c>
      <c r="B291" s="8"/>
      <c r="C291" s="8"/>
      <c r="D291" s="8"/>
      <c r="E291" s="8"/>
      <c r="F291" s="2"/>
      <c r="G291" s="2"/>
      <c r="H291" s="2"/>
      <c r="I291" s="2"/>
      <c r="J291" s="2"/>
    </row>
    <row r="292" spans="1:10" ht="24" hidden="1" customHeight="1">
      <c r="A292" s="7">
        <v>262</v>
      </c>
      <c r="B292" s="8"/>
      <c r="C292" s="8"/>
      <c r="D292" s="8"/>
      <c r="E292" s="8"/>
      <c r="F292" s="2"/>
      <c r="G292" s="2"/>
      <c r="H292" s="2"/>
      <c r="I292" s="2"/>
      <c r="J292" s="2"/>
    </row>
    <row r="293" spans="1:10" ht="24" hidden="1" customHeight="1">
      <c r="A293" s="7">
        <v>263</v>
      </c>
      <c r="B293" s="8"/>
      <c r="C293" s="8"/>
      <c r="D293" s="8"/>
      <c r="E293" s="8"/>
      <c r="F293" s="2"/>
      <c r="G293" s="2"/>
      <c r="H293" s="2"/>
      <c r="I293" s="2"/>
      <c r="J293" s="2"/>
    </row>
    <row r="294" spans="1:10" ht="24" hidden="1" customHeight="1">
      <c r="A294" s="7">
        <v>264</v>
      </c>
      <c r="B294" s="8"/>
      <c r="C294" s="8"/>
      <c r="D294" s="8"/>
      <c r="E294" s="8"/>
      <c r="F294" s="2"/>
      <c r="G294" s="2"/>
      <c r="H294" s="2"/>
      <c r="I294" s="2"/>
      <c r="J294" s="2"/>
    </row>
    <row r="295" spans="1:10" ht="24" hidden="1" customHeight="1">
      <c r="A295" s="7">
        <v>265</v>
      </c>
      <c r="B295" s="8"/>
      <c r="C295" s="8"/>
      <c r="D295" s="8"/>
      <c r="E295" s="8"/>
      <c r="F295" s="2"/>
      <c r="G295" s="2"/>
      <c r="H295" s="2"/>
      <c r="I295" s="2"/>
      <c r="J295" s="2"/>
    </row>
    <row r="296" spans="1:10" ht="24" hidden="1" customHeight="1">
      <c r="A296" s="7">
        <v>266</v>
      </c>
      <c r="B296" s="8"/>
      <c r="C296" s="8"/>
      <c r="D296" s="8"/>
      <c r="E296" s="8"/>
      <c r="F296" s="2"/>
      <c r="G296" s="2"/>
      <c r="H296" s="2"/>
      <c r="I296" s="2"/>
      <c r="J296" s="2"/>
    </row>
    <row r="297" spans="1:10" ht="24" hidden="1" customHeight="1">
      <c r="A297" s="7">
        <v>267</v>
      </c>
      <c r="B297" s="8"/>
      <c r="C297" s="8"/>
      <c r="D297" s="8"/>
      <c r="E297" s="8"/>
      <c r="F297" s="2"/>
      <c r="G297" s="2"/>
      <c r="H297" s="2"/>
      <c r="I297" s="2"/>
      <c r="J297" s="2"/>
    </row>
    <row r="298" spans="1:10" ht="24" hidden="1" customHeight="1">
      <c r="A298" s="7">
        <v>268</v>
      </c>
      <c r="B298" s="8"/>
      <c r="C298" s="8"/>
      <c r="D298" s="8"/>
      <c r="E298" s="8"/>
      <c r="F298" s="2"/>
      <c r="G298" s="2"/>
      <c r="H298" s="2"/>
      <c r="I298" s="2"/>
      <c r="J298" s="2"/>
    </row>
    <row r="299" spans="1:10" ht="24" hidden="1" customHeight="1">
      <c r="A299" s="7">
        <v>269</v>
      </c>
      <c r="B299" s="8"/>
      <c r="C299" s="8"/>
      <c r="D299" s="8"/>
      <c r="E299" s="8"/>
      <c r="F299" s="2"/>
      <c r="G299" s="2"/>
      <c r="H299" s="2"/>
      <c r="I299" s="2"/>
      <c r="J299" s="2"/>
    </row>
    <row r="300" spans="1:10" ht="24" hidden="1" customHeight="1">
      <c r="A300" s="7">
        <v>270</v>
      </c>
      <c r="B300" s="8"/>
      <c r="C300" s="8"/>
      <c r="D300" s="8"/>
      <c r="E300" s="8"/>
      <c r="F300" s="2"/>
      <c r="G300" s="2"/>
      <c r="H300" s="2"/>
      <c r="I300" s="2"/>
      <c r="J300" s="2"/>
    </row>
    <row r="301" spans="1:10" ht="24" hidden="1" customHeight="1">
      <c r="A301" s="7">
        <v>271</v>
      </c>
      <c r="B301" s="8"/>
      <c r="C301" s="8"/>
      <c r="D301" s="8"/>
      <c r="E301" s="8"/>
      <c r="F301" s="2"/>
      <c r="G301" s="2"/>
      <c r="H301" s="2"/>
      <c r="I301" s="2"/>
      <c r="J301" s="2"/>
    </row>
    <row r="302" spans="1:10" ht="24" hidden="1" customHeight="1">
      <c r="A302" s="7">
        <v>272</v>
      </c>
      <c r="B302" s="8"/>
      <c r="C302" s="8"/>
      <c r="D302" s="8"/>
      <c r="E302" s="8"/>
      <c r="F302" s="2"/>
      <c r="G302" s="2"/>
      <c r="H302" s="2"/>
      <c r="I302" s="2"/>
      <c r="J302" s="2"/>
    </row>
    <row r="303" spans="1:10" ht="24" hidden="1" customHeight="1">
      <c r="A303" s="7">
        <v>273</v>
      </c>
      <c r="B303" s="8"/>
      <c r="C303" s="8"/>
      <c r="D303" s="8"/>
      <c r="E303" s="8"/>
      <c r="F303" s="2"/>
      <c r="G303" s="2"/>
      <c r="H303" s="2"/>
      <c r="I303" s="2"/>
      <c r="J303" s="2"/>
    </row>
    <row r="304" spans="1:10" ht="24" hidden="1" customHeight="1">
      <c r="A304" s="7">
        <v>274</v>
      </c>
      <c r="B304" s="8"/>
      <c r="C304" s="8"/>
      <c r="D304" s="8"/>
      <c r="E304" s="8"/>
      <c r="F304" s="2"/>
      <c r="G304" s="2"/>
      <c r="H304" s="2"/>
      <c r="I304" s="2"/>
      <c r="J304" s="2"/>
    </row>
    <row r="305" spans="1:10" ht="24" hidden="1" customHeight="1">
      <c r="A305" s="7">
        <v>275</v>
      </c>
      <c r="B305" s="8"/>
      <c r="C305" s="8"/>
      <c r="D305" s="8"/>
      <c r="E305" s="8"/>
      <c r="F305" s="2"/>
      <c r="G305" s="2"/>
      <c r="H305" s="2"/>
      <c r="I305" s="2"/>
      <c r="J305" s="2"/>
    </row>
    <row r="306" spans="1:10" ht="24" hidden="1" customHeight="1">
      <c r="A306" s="7">
        <v>276</v>
      </c>
      <c r="B306" s="8"/>
      <c r="C306" s="8"/>
      <c r="D306" s="8"/>
      <c r="E306" s="8"/>
      <c r="F306" s="2"/>
      <c r="G306" s="2"/>
      <c r="H306" s="2"/>
      <c r="I306" s="2"/>
      <c r="J306" s="2"/>
    </row>
    <row r="307" spans="1:10" ht="24" hidden="1" customHeight="1">
      <c r="A307" s="7">
        <v>277</v>
      </c>
      <c r="B307" s="8"/>
      <c r="C307" s="8"/>
      <c r="D307" s="8"/>
      <c r="E307" s="8"/>
      <c r="F307" s="2"/>
      <c r="G307" s="2"/>
      <c r="H307" s="2"/>
      <c r="I307" s="2"/>
      <c r="J307" s="2"/>
    </row>
    <row r="308" spans="1:10" ht="24" hidden="1" customHeight="1">
      <c r="A308" s="7">
        <v>278</v>
      </c>
      <c r="B308" s="8"/>
      <c r="C308" s="8"/>
      <c r="D308" s="8"/>
      <c r="E308" s="8"/>
      <c r="F308" s="2"/>
      <c r="G308" s="2"/>
      <c r="H308" s="2"/>
      <c r="I308" s="2"/>
      <c r="J308" s="2"/>
    </row>
    <row r="309" spans="1:10" ht="24" hidden="1" customHeight="1">
      <c r="A309" s="7">
        <v>279</v>
      </c>
      <c r="B309" s="8"/>
      <c r="C309" s="8"/>
      <c r="D309" s="8"/>
      <c r="E309" s="8"/>
      <c r="F309" s="2"/>
      <c r="G309" s="2"/>
      <c r="H309" s="2"/>
      <c r="I309" s="2"/>
      <c r="J309" s="2"/>
    </row>
    <row r="310" spans="1:10" ht="24" hidden="1" customHeight="1">
      <c r="A310" s="7">
        <v>280</v>
      </c>
      <c r="B310" s="8"/>
      <c r="C310" s="8"/>
      <c r="D310" s="8"/>
      <c r="E310" s="8"/>
      <c r="F310" s="2"/>
      <c r="G310" s="2"/>
      <c r="H310" s="2"/>
      <c r="I310" s="2"/>
      <c r="J310" s="2"/>
    </row>
    <row r="311" spans="1:10" ht="24" hidden="1" customHeight="1">
      <c r="A311" s="7">
        <v>281</v>
      </c>
      <c r="B311" s="8"/>
      <c r="C311" s="8"/>
      <c r="D311" s="8"/>
      <c r="E311" s="8"/>
      <c r="F311" s="2"/>
      <c r="G311" s="2"/>
      <c r="H311" s="2"/>
      <c r="I311" s="2"/>
      <c r="J311" s="2"/>
    </row>
    <row r="312" spans="1:10" ht="24" hidden="1" customHeight="1">
      <c r="A312" s="7">
        <v>282</v>
      </c>
      <c r="B312" s="8"/>
      <c r="C312" s="8"/>
      <c r="D312" s="8"/>
      <c r="E312" s="8"/>
      <c r="F312" s="2"/>
      <c r="G312" s="2"/>
      <c r="H312" s="2"/>
      <c r="I312" s="2"/>
      <c r="J312" s="2"/>
    </row>
    <row r="313" spans="1:10" ht="24" hidden="1" customHeight="1">
      <c r="A313" s="7">
        <v>283</v>
      </c>
      <c r="B313" s="8"/>
      <c r="C313" s="8"/>
      <c r="D313" s="8"/>
      <c r="E313" s="8"/>
      <c r="F313" s="2"/>
      <c r="G313" s="2"/>
      <c r="H313" s="2"/>
      <c r="I313" s="2"/>
      <c r="J313" s="2"/>
    </row>
    <row r="314" spans="1:10" ht="24" hidden="1" customHeight="1">
      <c r="A314" s="7">
        <v>284</v>
      </c>
      <c r="B314" s="8"/>
      <c r="C314" s="8"/>
      <c r="D314" s="8"/>
      <c r="E314" s="8"/>
      <c r="F314" s="2"/>
      <c r="G314" s="2"/>
      <c r="H314" s="2"/>
      <c r="I314" s="2"/>
      <c r="J314" s="2"/>
    </row>
    <row r="315" spans="1:10" ht="24" hidden="1" customHeight="1">
      <c r="A315" s="7">
        <v>285</v>
      </c>
      <c r="B315" s="8"/>
      <c r="C315" s="8"/>
      <c r="D315" s="8"/>
      <c r="E315" s="8"/>
      <c r="F315" s="2"/>
      <c r="G315" s="2"/>
      <c r="H315" s="2"/>
      <c r="I315" s="2"/>
      <c r="J315" s="2"/>
    </row>
    <row r="316" spans="1:10" ht="24" hidden="1" customHeight="1">
      <c r="A316" s="7">
        <v>286</v>
      </c>
      <c r="B316" s="8"/>
      <c r="C316" s="8"/>
      <c r="D316" s="8"/>
      <c r="E316" s="8"/>
      <c r="F316" s="2"/>
      <c r="G316" s="2"/>
      <c r="H316" s="2"/>
      <c r="I316" s="2"/>
      <c r="J316" s="2"/>
    </row>
    <row r="317" spans="1:10" ht="24" hidden="1" customHeight="1">
      <c r="A317" s="7">
        <v>287</v>
      </c>
      <c r="B317" s="8"/>
      <c r="C317" s="8"/>
      <c r="D317" s="8"/>
      <c r="E317" s="8"/>
      <c r="F317" s="2"/>
      <c r="G317" s="2"/>
      <c r="H317" s="2"/>
      <c r="I317" s="2"/>
      <c r="J317" s="2"/>
    </row>
    <row r="318" spans="1:10" ht="24" hidden="1" customHeight="1">
      <c r="A318" s="7">
        <v>288</v>
      </c>
      <c r="B318" s="8"/>
      <c r="C318" s="8"/>
      <c r="D318" s="8"/>
      <c r="E318" s="8"/>
      <c r="F318" s="2"/>
      <c r="G318" s="2"/>
      <c r="H318" s="2"/>
      <c r="I318" s="2"/>
      <c r="J318" s="2"/>
    </row>
    <row r="319" spans="1:10" ht="24" hidden="1" customHeight="1">
      <c r="A319" s="7">
        <v>289</v>
      </c>
      <c r="B319" s="8"/>
      <c r="C319" s="8"/>
      <c r="D319" s="8"/>
      <c r="E319" s="8"/>
      <c r="F319" s="2"/>
      <c r="G319" s="2"/>
      <c r="H319" s="2"/>
      <c r="I319" s="2"/>
      <c r="J319" s="2"/>
    </row>
    <row r="320" spans="1:10" ht="24" hidden="1" customHeight="1">
      <c r="A320" s="7">
        <v>290</v>
      </c>
      <c r="B320" s="8"/>
      <c r="C320" s="8"/>
      <c r="D320" s="8"/>
      <c r="E320" s="8"/>
      <c r="F320" s="2"/>
      <c r="G320" s="2"/>
      <c r="H320" s="2"/>
      <c r="I320" s="2"/>
      <c r="J320" s="2"/>
    </row>
    <row r="321" spans="1:10" ht="24" hidden="1" customHeight="1">
      <c r="A321" s="7">
        <v>291</v>
      </c>
      <c r="B321" s="8"/>
      <c r="C321" s="8"/>
      <c r="D321" s="8"/>
      <c r="E321" s="8"/>
      <c r="F321" s="2"/>
      <c r="G321" s="2"/>
      <c r="H321" s="2"/>
      <c r="I321" s="2"/>
      <c r="J321" s="2"/>
    </row>
    <row r="322" spans="1:10" ht="24" hidden="1" customHeight="1">
      <c r="A322" s="7">
        <v>292</v>
      </c>
      <c r="B322" s="8"/>
      <c r="C322" s="8"/>
      <c r="D322" s="8"/>
      <c r="E322" s="8"/>
      <c r="F322" s="2"/>
      <c r="G322" s="2"/>
      <c r="H322" s="2"/>
      <c r="I322" s="2"/>
      <c r="J322" s="2"/>
    </row>
    <row r="323" spans="1:10" ht="24" hidden="1" customHeight="1">
      <c r="A323" s="7">
        <v>293</v>
      </c>
      <c r="B323" s="8"/>
      <c r="C323" s="8"/>
      <c r="D323" s="8"/>
      <c r="E323" s="8"/>
      <c r="F323" s="2"/>
      <c r="G323" s="2"/>
      <c r="H323" s="2"/>
      <c r="I323" s="2"/>
      <c r="J323" s="2"/>
    </row>
    <row r="324" spans="1:10" ht="24" hidden="1" customHeight="1">
      <c r="A324" s="7">
        <v>294</v>
      </c>
      <c r="B324" s="8"/>
      <c r="C324" s="8"/>
      <c r="D324" s="8"/>
      <c r="E324" s="8"/>
      <c r="F324" s="2"/>
      <c r="G324" s="2"/>
      <c r="H324" s="2"/>
      <c r="I324" s="2"/>
      <c r="J324" s="2"/>
    </row>
    <row r="325" spans="1:10" ht="24" hidden="1" customHeight="1">
      <c r="A325" s="7">
        <v>295</v>
      </c>
      <c r="B325" s="8"/>
      <c r="C325" s="8"/>
      <c r="D325" s="8"/>
      <c r="E325" s="8"/>
      <c r="F325" s="2"/>
      <c r="G325" s="2"/>
      <c r="H325" s="2"/>
      <c r="I325" s="2"/>
      <c r="J325" s="2"/>
    </row>
    <row r="326" spans="1:10" ht="24" hidden="1" customHeight="1">
      <c r="A326" s="7">
        <v>296</v>
      </c>
      <c r="B326" s="8"/>
      <c r="C326" s="8"/>
      <c r="D326" s="8"/>
      <c r="E326" s="8"/>
      <c r="F326" s="2"/>
      <c r="G326" s="2"/>
      <c r="H326" s="2"/>
      <c r="I326" s="2"/>
      <c r="J326" s="2"/>
    </row>
    <row r="327" spans="1:10" ht="24" hidden="1" customHeight="1">
      <c r="A327" s="7">
        <v>297</v>
      </c>
      <c r="B327" s="8"/>
      <c r="C327" s="8"/>
      <c r="D327" s="8"/>
      <c r="E327" s="8"/>
      <c r="F327" s="2"/>
      <c r="G327" s="2"/>
      <c r="H327" s="2"/>
      <c r="I327" s="2"/>
      <c r="J327" s="2"/>
    </row>
    <row r="328" spans="1:10" ht="24" hidden="1" customHeight="1">
      <c r="A328" s="7">
        <v>298</v>
      </c>
      <c r="B328" s="8"/>
      <c r="C328" s="8"/>
      <c r="D328" s="8"/>
      <c r="E328" s="8"/>
      <c r="F328" s="2"/>
      <c r="G328" s="2"/>
      <c r="H328" s="2"/>
      <c r="I328" s="2"/>
      <c r="J328" s="2"/>
    </row>
    <row r="329" spans="1:10" ht="24" hidden="1" customHeight="1">
      <c r="A329" s="7">
        <v>299</v>
      </c>
      <c r="B329" s="8"/>
      <c r="C329" s="8"/>
      <c r="D329" s="8"/>
      <c r="E329" s="8"/>
      <c r="F329" s="2"/>
      <c r="G329" s="2"/>
      <c r="H329" s="2"/>
      <c r="I329" s="2"/>
      <c r="J329" s="2"/>
    </row>
    <row r="330" spans="1:10" ht="24" hidden="1" customHeight="1">
      <c r="A330" s="7">
        <v>300</v>
      </c>
      <c r="B330" s="8"/>
      <c r="C330" s="8"/>
      <c r="D330" s="8"/>
      <c r="E330" s="8"/>
      <c r="F330" s="2"/>
      <c r="G330" s="2"/>
      <c r="H330" s="2"/>
      <c r="I330" s="2"/>
      <c r="J330" s="2"/>
    </row>
  </sheetData>
  <mergeCells count="11">
    <mergeCell ref="B31:E31"/>
    <mergeCell ref="B32:E32"/>
    <mergeCell ref="B33:E33"/>
    <mergeCell ref="B34:E34"/>
    <mergeCell ref="B35:E35"/>
    <mergeCell ref="A1:H1"/>
    <mergeCell ref="F2:H2"/>
    <mergeCell ref="A16:E16"/>
    <mergeCell ref="A29:E29"/>
    <mergeCell ref="B30:E30"/>
    <mergeCell ref="F16:H17"/>
  </mergeCells>
  <phoneticPr fontId="13"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槽位不足" error="如选择的物品超出剩余槽位，宏会自动取消本次携带。" xr:uid="{00000000-0002-0000-0400-000000000000}">
          <x14:formula1>
            <xm:f>OFFSET(【墨家】物品库!$V$5,0,0,COUNTA(【墨家】物品库!$F$5:$F$300)+1,1)</xm:f>
          </x14:formula1>
          <xm:sqref>B31:B330</xm:sqref>
        </x14:dataValidation>
        <x14:dataValidation type="list" allowBlank="1" showInputMessage="1" showErrorMessage="1" xr:uid="{00000000-0002-0000-0400-000001000000}">
          <x14:formula1>
            <xm:f>OFFSET(【墨家】物品库!$W$5,0,0,COUNTA(【墨家】物品库!$K$5:$K$300)+1,1)</xm:f>
          </x14:formula1>
          <xm:sqref>G4:G13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70541D"/>
  </sheetPr>
  <dimension ref="A1:AZ300"/>
  <sheetViews>
    <sheetView showGridLines="0" topLeftCell="M1" workbookViewId="0">
      <selection activeCell="X14" sqref="X14"/>
    </sheetView>
  </sheetViews>
  <sheetFormatPr defaultColWidth="8.88671875" defaultRowHeight="14.4"/>
  <cols>
    <col min="1" max="1" width="18.77734375" style="11" customWidth="1"/>
    <col min="2" max="2" width="10.77734375" style="11" customWidth="1"/>
    <col min="3" max="3" width="12.77734375" style="11" customWidth="1"/>
    <col min="4" max="4" width="30.77734375" style="11" customWidth="1"/>
    <col min="5" max="5" width="3.77734375" style="11" customWidth="1"/>
    <col min="6" max="6" width="18.77734375" style="11" customWidth="1"/>
    <col min="7" max="7" width="10.77734375" style="11" customWidth="1"/>
    <col min="8" max="8" width="12.77734375" style="11" customWidth="1"/>
    <col min="9" max="9" width="32.77734375" style="11" customWidth="1"/>
    <col min="10" max="10" width="3.77734375" style="11" customWidth="1"/>
    <col min="11" max="11" width="18.77734375" style="11" customWidth="1"/>
    <col min="12" max="12" width="10.77734375" style="11" customWidth="1"/>
    <col min="13" max="13" width="12.77734375" style="11" customWidth="1"/>
    <col min="14" max="14" width="32.77734375" style="11" customWidth="1"/>
    <col min="15" max="15" width="3.77734375" style="11" customWidth="1"/>
    <col min="16" max="16" width="18.77734375" style="11" customWidth="1"/>
    <col min="17" max="17" width="10.77734375" style="11" customWidth="1"/>
    <col min="18" max="18" width="24.77734375" style="11" customWidth="1"/>
    <col min="19" max="19" width="14.77734375" style="11" customWidth="1"/>
    <col min="20" max="20" width="3.77734375" style="11" customWidth="1"/>
    <col min="21" max="21" width="18.77734375" style="11" customWidth="1"/>
    <col min="22" max="22" width="10.77734375" style="11" customWidth="1"/>
    <col min="23" max="23" width="24.77734375" style="11" customWidth="1"/>
    <col min="24" max="24" width="12.77734375" style="11" customWidth="1"/>
    <col min="25" max="25" width="3.77734375" style="11" customWidth="1"/>
    <col min="26" max="26" width="20.77734375" style="11" customWidth="1"/>
    <col min="27" max="27" width="10.77734375" style="11" customWidth="1"/>
    <col min="28" max="28" width="12.77734375" style="11" customWidth="1"/>
    <col min="29" max="29" width="34.77734375" style="11" customWidth="1"/>
    <col min="30" max="52" width="9" style="11" hidden="1" customWidth="1"/>
    <col min="53" max="16384" width="8.88671875" style="11"/>
  </cols>
  <sheetData>
    <row r="1" spans="1:49" ht="28.05" customHeight="1">
      <c r="A1" s="75" t="s">
        <v>223</v>
      </c>
      <c r="B1" s="75"/>
      <c r="C1" s="75"/>
      <c r="D1" s="75"/>
      <c r="E1" s="75"/>
      <c r="F1" s="75"/>
      <c r="G1" s="75"/>
      <c r="H1" s="75"/>
      <c r="I1" s="75"/>
      <c r="J1" s="75"/>
      <c r="K1" s="75"/>
      <c r="L1" s="75"/>
      <c r="M1" s="75"/>
      <c r="N1" s="75"/>
      <c r="O1" s="75"/>
      <c r="P1" s="75"/>
      <c r="Q1" s="75"/>
      <c r="R1" s="75"/>
      <c r="S1" s="75"/>
      <c r="T1" s="75"/>
      <c r="U1" s="75"/>
      <c r="V1" s="75"/>
      <c r="W1" s="75"/>
      <c r="X1" s="75"/>
      <c r="Y1" s="75"/>
      <c r="Z1" s="75"/>
      <c r="AA1" s="75"/>
      <c r="AB1" s="75"/>
      <c r="AC1" s="75"/>
    </row>
    <row r="2" spans="1:49" ht="24" customHeight="1">
      <c r="A2" s="15"/>
      <c r="B2" s="15"/>
      <c r="C2" s="15"/>
      <c r="D2" s="15"/>
      <c r="E2" s="15"/>
      <c r="F2" s="15"/>
      <c r="G2" s="15"/>
      <c r="H2" s="15"/>
      <c r="I2" s="15"/>
      <c r="J2" s="15"/>
      <c r="K2" s="15"/>
      <c r="L2" s="15"/>
      <c r="M2" s="15"/>
      <c r="N2" s="15"/>
      <c r="O2" s="16"/>
      <c r="P2" s="16"/>
      <c r="Q2" s="16"/>
      <c r="R2" s="16"/>
      <c r="S2" s="16"/>
      <c r="T2" s="16"/>
      <c r="U2" s="16"/>
      <c r="V2" s="16"/>
      <c r="W2" s="16"/>
      <c r="X2" s="16"/>
      <c r="Y2" s="16"/>
      <c r="Z2" s="16"/>
      <c r="AA2" s="16"/>
      <c r="AB2" s="16"/>
      <c r="AC2" s="16"/>
    </row>
    <row r="3" spans="1:49" ht="24" customHeight="1">
      <c r="A3" s="76" t="s">
        <v>224</v>
      </c>
      <c r="B3" s="77"/>
      <c r="C3" s="77"/>
      <c r="D3" s="78"/>
      <c r="E3" s="16"/>
      <c r="F3" s="79" t="s">
        <v>225</v>
      </c>
      <c r="G3" s="79"/>
      <c r="H3" s="79"/>
      <c r="I3" s="79"/>
      <c r="J3" s="16"/>
      <c r="K3" s="80" t="s">
        <v>226</v>
      </c>
      <c r="L3" s="165"/>
      <c r="M3" s="165"/>
      <c r="N3" s="165"/>
      <c r="O3" s="16"/>
      <c r="P3" s="81" t="s">
        <v>138</v>
      </c>
      <c r="Q3" s="81"/>
      <c r="R3" s="81"/>
      <c r="S3" s="81"/>
      <c r="T3" s="16"/>
      <c r="U3" s="168" t="s">
        <v>181</v>
      </c>
      <c r="V3" s="168"/>
      <c r="W3" s="168"/>
      <c r="X3" s="168"/>
      <c r="Y3" s="16"/>
      <c r="Z3" s="168" t="s">
        <v>227</v>
      </c>
      <c r="AA3" s="168"/>
      <c r="AB3" s="168"/>
      <c r="AC3" s="168"/>
    </row>
    <row r="4" spans="1:49" ht="24" customHeight="1">
      <c r="A4" s="22" t="s">
        <v>228</v>
      </c>
      <c r="B4" s="23" t="s">
        <v>229</v>
      </c>
      <c r="C4" s="23" t="s">
        <v>230</v>
      </c>
      <c r="D4" s="24" t="s">
        <v>11</v>
      </c>
      <c r="E4" s="16"/>
      <c r="F4" s="161" t="s">
        <v>228</v>
      </c>
      <c r="G4" s="161" t="s">
        <v>229</v>
      </c>
      <c r="H4" s="161" t="s">
        <v>230</v>
      </c>
      <c r="I4" s="161" t="s">
        <v>11</v>
      </c>
      <c r="J4" s="16"/>
      <c r="K4" s="25" t="s">
        <v>228</v>
      </c>
      <c r="L4" s="161" t="s">
        <v>229</v>
      </c>
      <c r="M4" s="161" t="s">
        <v>230</v>
      </c>
      <c r="N4" s="166" t="s">
        <v>11</v>
      </c>
      <c r="O4" s="16"/>
      <c r="P4" s="161" t="s">
        <v>145</v>
      </c>
      <c r="Q4" s="161" t="s">
        <v>229</v>
      </c>
      <c r="R4" s="161" t="s">
        <v>11</v>
      </c>
      <c r="S4" s="161" t="s">
        <v>136</v>
      </c>
      <c r="T4" s="16"/>
      <c r="U4" s="166" t="s">
        <v>184</v>
      </c>
      <c r="V4" s="166" t="s">
        <v>229</v>
      </c>
      <c r="W4" s="166" t="s">
        <v>11</v>
      </c>
      <c r="X4" s="166" t="s">
        <v>136</v>
      </c>
      <c r="Y4" s="16"/>
      <c r="Z4" s="166" t="s">
        <v>228</v>
      </c>
      <c r="AA4" s="166" t="s">
        <v>229</v>
      </c>
      <c r="AB4" s="166" t="s">
        <v>231</v>
      </c>
      <c r="AC4" s="166" t="s">
        <v>11</v>
      </c>
      <c r="AE4" s="11" t="s">
        <v>232</v>
      </c>
      <c r="AF4" s="11" t="s">
        <v>186</v>
      </c>
      <c r="AG4" s="11" t="s">
        <v>230</v>
      </c>
      <c r="AH4" s="11" t="s">
        <v>11</v>
      </c>
      <c r="AJ4" s="11" t="s">
        <v>138</v>
      </c>
      <c r="AK4" s="11" t="s">
        <v>186</v>
      </c>
      <c r="AL4" s="11" t="s">
        <v>11</v>
      </c>
      <c r="AN4" s="11" t="s">
        <v>181</v>
      </c>
      <c r="AO4" s="11" t="s">
        <v>186</v>
      </c>
      <c r="AP4" s="11" t="s">
        <v>11</v>
      </c>
      <c r="AR4" s="11" t="s">
        <v>233</v>
      </c>
      <c r="AS4" s="11" t="s">
        <v>186</v>
      </c>
      <c r="AT4" s="11" t="s">
        <v>230</v>
      </c>
      <c r="AV4" s="11" t="s">
        <v>234</v>
      </c>
      <c r="AW4" s="11" t="s">
        <v>153</v>
      </c>
    </row>
    <row r="5" spans="1:49" ht="24" customHeight="1">
      <c r="A5" s="26" t="s">
        <v>235</v>
      </c>
      <c r="B5" s="27">
        <v>1</v>
      </c>
      <c r="C5" s="28" t="s">
        <v>224</v>
      </c>
      <c r="D5" s="29" t="s">
        <v>236</v>
      </c>
      <c r="E5" s="16"/>
      <c r="F5" s="162" t="s">
        <v>237</v>
      </c>
      <c r="G5" s="163">
        <v>3</v>
      </c>
      <c r="H5" s="162" t="s">
        <v>225</v>
      </c>
      <c r="I5" s="162" t="s">
        <v>238</v>
      </c>
      <c r="J5" s="16"/>
      <c r="K5" s="30" t="s">
        <v>239</v>
      </c>
      <c r="L5" s="167">
        <v>3</v>
      </c>
      <c r="M5" s="162" t="s">
        <v>226</v>
      </c>
      <c r="N5" s="164" t="s">
        <v>240</v>
      </c>
      <c r="O5" s="16"/>
      <c r="P5" s="162" t="s">
        <v>241</v>
      </c>
      <c r="Q5" s="167">
        <v>5</v>
      </c>
      <c r="R5" s="162" t="s">
        <v>242</v>
      </c>
      <c r="S5" s="162" t="s">
        <v>243</v>
      </c>
      <c r="T5" s="16"/>
      <c r="U5" s="164" t="s">
        <v>244</v>
      </c>
      <c r="V5" s="163">
        <v>5</v>
      </c>
      <c r="W5" s="164" t="s">
        <v>245</v>
      </c>
      <c r="X5" s="164"/>
      <c r="Y5" s="16"/>
      <c r="Z5" s="164" t="s">
        <v>246</v>
      </c>
      <c r="AA5" s="163">
        <v>10</v>
      </c>
      <c r="AB5" s="164" t="s">
        <v>227</v>
      </c>
      <c r="AC5" s="164" t="s">
        <v>247</v>
      </c>
      <c r="AE5" s="11" t="s">
        <v>248</v>
      </c>
      <c r="AF5" s="11">
        <v>0</v>
      </c>
      <c r="AG5" s="11" t="s">
        <v>249</v>
      </c>
      <c r="AH5" s="11" t="s">
        <v>250</v>
      </c>
      <c r="AJ5" s="11" t="s">
        <v>248</v>
      </c>
      <c r="AK5" s="11">
        <v>0</v>
      </c>
      <c r="AL5" s="11" t="s">
        <v>251</v>
      </c>
      <c r="AN5" s="11" t="s">
        <v>248</v>
      </c>
      <c r="AO5" s="11">
        <v>0</v>
      </c>
      <c r="AP5" s="11" t="s">
        <v>252</v>
      </c>
      <c r="AR5" s="11" t="s">
        <v>235</v>
      </c>
      <c r="AS5" s="11">
        <v>1</v>
      </c>
      <c r="AT5" s="11" t="s">
        <v>224</v>
      </c>
      <c r="AV5" s="11" t="s">
        <v>163</v>
      </c>
      <c r="AW5" s="11" t="s">
        <v>253</v>
      </c>
    </row>
    <row r="6" spans="1:49" ht="24" customHeight="1">
      <c r="A6" s="26" t="s">
        <v>254</v>
      </c>
      <c r="B6" s="27">
        <v>3</v>
      </c>
      <c r="C6" s="28" t="s">
        <v>224</v>
      </c>
      <c r="D6" s="29" t="s">
        <v>255</v>
      </c>
      <c r="E6" s="16"/>
      <c r="F6" s="162" t="s">
        <v>256</v>
      </c>
      <c r="G6" s="163">
        <v>8</v>
      </c>
      <c r="H6" s="162" t="s">
        <v>225</v>
      </c>
      <c r="I6" s="162" t="s">
        <v>257</v>
      </c>
      <c r="J6" s="16"/>
      <c r="K6" s="30" t="s">
        <v>258</v>
      </c>
      <c r="L6" s="167">
        <v>3</v>
      </c>
      <c r="M6" s="162" t="s">
        <v>226</v>
      </c>
      <c r="N6" s="164" t="s">
        <v>259</v>
      </c>
      <c r="O6" s="16"/>
      <c r="P6" s="162" t="s">
        <v>260</v>
      </c>
      <c r="Q6" s="167">
        <v>5</v>
      </c>
      <c r="R6" s="162" t="s">
        <v>261</v>
      </c>
      <c r="S6" s="162" t="s">
        <v>243</v>
      </c>
      <c r="T6" s="16"/>
      <c r="U6" s="164" t="s">
        <v>262</v>
      </c>
      <c r="V6" s="163">
        <v>5</v>
      </c>
      <c r="W6" s="164" t="s">
        <v>263</v>
      </c>
      <c r="X6" s="164"/>
      <c r="Y6" s="16"/>
      <c r="Z6" s="164" t="s">
        <v>264</v>
      </c>
      <c r="AA6" s="163">
        <v>25</v>
      </c>
      <c r="AB6" s="164" t="s">
        <v>227</v>
      </c>
      <c r="AC6" s="164" t="s">
        <v>265</v>
      </c>
      <c r="AE6" s="11" t="s">
        <v>235</v>
      </c>
      <c r="AF6" s="11">
        <v>1</v>
      </c>
      <c r="AG6" s="11" t="s">
        <v>224</v>
      </c>
      <c r="AH6" s="11" t="s">
        <v>236</v>
      </c>
      <c r="AJ6" s="11" t="s">
        <v>241</v>
      </c>
      <c r="AK6" s="11">
        <v>5</v>
      </c>
      <c r="AL6" s="11" t="s">
        <v>242</v>
      </c>
      <c r="AN6" s="11" t="s">
        <v>244</v>
      </c>
      <c r="AO6" s="11">
        <v>5</v>
      </c>
      <c r="AP6" s="11" t="s">
        <v>245</v>
      </c>
      <c r="AR6" s="11" t="s">
        <v>254</v>
      </c>
      <c r="AS6" s="11">
        <v>3</v>
      </c>
      <c r="AT6" s="11" t="s">
        <v>224</v>
      </c>
      <c r="AV6" s="11" t="s">
        <v>166</v>
      </c>
      <c r="AW6" s="11" t="s">
        <v>266</v>
      </c>
    </row>
    <row r="7" spans="1:49" ht="24" customHeight="1">
      <c r="A7" s="26" t="s">
        <v>267</v>
      </c>
      <c r="B7" s="27">
        <v>1</v>
      </c>
      <c r="C7" s="28" t="s">
        <v>224</v>
      </c>
      <c r="D7" s="29" t="s">
        <v>268</v>
      </c>
      <c r="E7" s="16"/>
      <c r="F7" s="162" t="s">
        <v>269</v>
      </c>
      <c r="G7" s="163">
        <v>4</v>
      </c>
      <c r="H7" s="162" t="s">
        <v>225</v>
      </c>
      <c r="I7" s="162" t="s">
        <v>270</v>
      </c>
      <c r="J7" s="16"/>
      <c r="K7" s="30" t="s">
        <v>271</v>
      </c>
      <c r="L7" s="167">
        <v>3</v>
      </c>
      <c r="M7" s="162" t="s">
        <v>226</v>
      </c>
      <c r="N7" s="164" t="s">
        <v>272</v>
      </c>
      <c r="O7" s="16"/>
      <c r="P7" s="162" t="s">
        <v>273</v>
      </c>
      <c r="Q7" s="167">
        <v>5</v>
      </c>
      <c r="R7" s="162" t="s">
        <v>274</v>
      </c>
      <c r="S7" s="162" t="s">
        <v>243</v>
      </c>
      <c r="T7" s="16"/>
      <c r="U7" s="164" t="s">
        <v>275</v>
      </c>
      <c r="V7" s="163">
        <v>5</v>
      </c>
      <c r="W7" s="164" t="s">
        <v>276</v>
      </c>
      <c r="X7" s="164"/>
      <c r="Y7" s="16"/>
      <c r="Z7" s="164" t="s">
        <v>277</v>
      </c>
      <c r="AA7" s="163">
        <v>2</v>
      </c>
      <c r="AB7" s="164" t="s">
        <v>227</v>
      </c>
      <c r="AC7" s="164" t="s">
        <v>278</v>
      </c>
      <c r="AE7" s="11" t="s">
        <v>254</v>
      </c>
      <c r="AF7" s="11">
        <v>3</v>
      </c>
      <c r="AG7" s="11" t="s">
        <v>224</v>
      </c>
      <c r="AH7" s="11" t="s">
        <v>255</v>
      </c>
      <c r="AJ7" s="11" t="s">
        <v>260</v>
      </c>
      <c r="AK7" s="11">
        <v>5</v>
      </c>
      <c r="AL7" s="11" t="s">
        <v>261</v>
      </c>
      <c r="AN7" s="11" t="s">
        <v>262</v>
      </c>
      <c r="AO7" s="11">
        <v>5</v>
      </c>
      <c r="AP7" s="11" t="s">
        <v>263</v>
      </c>
      <c r="AR7" s="11" t="s">
        <v>267</v>
      </c>
      <c r="AS7" s="11">
        <v>1</v>
      </c>
      <c r="AT7" s="11" t="s">
        <v>224</v>
      </c>
      <c r="AV7" s="11" t="s">
        <v>169</v>
      </c>
      <c r="AW7" s="11" t="s">
        <v>112</v>
      </c>
    </row>
    <row r="8" spans="1:49" ht="24" customHeight="1">
      <c r="A8" s="26" t="s">
        <v>279</v>
      </c>
      <c r="B8" s="27">
        <v>2</v>
      </c>
      <c r="C8" s="28" t="s">
        <v>224</v>
      </c>
      <c r="D8" s="29" t="s">
        <v>280</v>
      </c>
      <c r="E8" s="16"/>
      <c r="F8" s="162" t="s">
        <v>281</v>
      </c>
      <c r="G8" s="163">
        <v>1</v>
      </c>
      <c r="H8" s="162" t="s">
        <v>225</v>
      </c>
      <c r="I8" s="162" t="s">
        <v>282</v>
      </c>
      <c r="J8" s="16"/>
      <c r="K8" s="30" t="s">
        <v>283</v>
      </c>
      <c r="L8" s="167">
        <v>5</v>
      </c>
      <c r="M8" s="162" t="s">
        <v>226</v>
      </c>
      <c r="N8" s="164" t="s">
        <v>284</v>
      </c>
      <c r="O8" s="16"/>
      <c r="P8" s="162" t="s">
        <v>285</v>
      </c>
      <c r="Q8" s="167">
        <v>5</v>
      </c>
      <c r="R8" s="164" t="s">
        <v>286</v>
      </c>
      <c r="S8" s="164" t="s">
        <v>243</v>
      </c>
      <c r="T8" s="16"/>
      <c r="U8" s="164" t="s">
        <v>287</v>
      </c>
      <c r="V8" s="163">
        <v>5</v>
      </c>
      <c r="W8" s="164" t="s">
        <v>288</v>
      </c>
      <c r="X8" s="164"/>
      <c r="Y8" s="16"/>
      <c r="Z8" s="164"/>
      <c r="AA8" s="164"/>
      <c r="AB8" s="164"/>
      <c r="AC8" s="164"/>
      <c r="AE8" s="11" t="s">
        <v>267</v>
      </c>
      <c r="AF8" s="11">
        <v>1</v>
      </c>
      <c r="AG8" s="11" t="s">
        <v>224</v>
      </c>
      <c r="AH8" s="11" t="s">
        <v>268</v>
      </c>
      <c r="AJ8" s="11" t="s">
        <v>273</v>
      </c>
      <c r="AK8" s="11">
        <v>5</v>
      </c>
      <c r="AL8" s="11" t="s">
        <v>274</v>
      </c>
      <c r="AN8" s="11" t="s">
        <v>275</v>
      </c>
      <c r="AO8" s="11">
        <v>5</v>
      </c>
      <c r="AP8" s="11" t="s">
        <v>276</v>
      </c>
      <c r="AR8" s="11" t="s">
        <v>279</v>
      </c>
      <c r="AS8" s="11">
        <v>2</v>
      </c>
      <c r="AT8" s="11" t="s">
        <v>224</v>
      </c>
      <c r="AV8" s="11" t="s">
        <v>172</v>
      </c>
    </row>
    <row r="9" spans="1:49" ht="24" customHeight="1">
      <c r="A9" s="26" t="s">
        <v>289</v>
      </c>
      <c r="B9" s="27">
        <v>2</v>
      </c>
      <c r="C9" s="28" t="s">
        <v>224</v>
      </c>
      <c r="D9" s="29" t="s">
        <v>290</v>
      </c>
      <c r="E9" s="16"/>
      <c r="F9" s="162" t="s">
        <v>291</v>
      </c>
      <c r="G9" s="163">
        <v>5</v>
      </c>
      <c r="H9" s="162" t="s">
        <v>225</v>
      </c>
      <c r="I9" s="162" t="s">
        <v>292</v>
      </c>
      <c r="J9" s="16"/>
      <c r="K9" s="30" t="s">
        <v>293</v>
      </c>
      <c r="L9" s="167">
        <v>5</v>
      </c>
      <c r="M9" s="162" t="s">
        <v>226</v>
      </c>
      <c r="N9" s="164" t="s">
        <v>294</v>
      </c>
      <c r="O9" s="16"/>
      <c r="P9" s="162" t="s">
        <v>295</v>
      </c>
      <c r="Q9" s="167">
        <v>5</v>
      </c>
      <c r="R9" s="164" t="s">
        <v>296</v>
      </c>
      <c r="S9" s="164" t="s">
        <v>243</v>
      </c>
      <c r="T9" s="16"/>
      <c r="U9" s="164" t="s">
        <v>297</v>
      </c>
      <c r="V9" s="163">
        <v>10</v>
      </c>
      <c r="W9" s="164" t="s">
        <v>298</v>
      </c>
      <c r="X9" s="164"/>
      <c r="Y9" s="16"/>
      <c r="Z9" s="16"/>
      <c r="AA9" s="16"/>
      <c r="AB9" s="16"/>
      <c r="AC9" s="16"/>
      <c r="AE9" s="11" t="s">
        <v>279</v>
      </c>
      <c r="AF9" s="11">
        <v>2</v>
      </c>
      <c r="AG9" s="11" t="s">
        <v>224</v>
      </c>
      <c r="AH9" s="11" t="s">
        <v>280</v>
      </c>
      <c r="AJ9" s="11" t="s">
        <v>285</v>
      </c>
      <c r="AK9" s="11">
        <v>5</v>
      </c>
      <c r="AL9" s="11" t="s">
        <v>286</v>
      </c>
      <c r="AN9" s="11" t="s">
        <v>287</v>
      </c>
      <c r="AO9" s="11">
        <v>5</v>
      </c>
      <c r="AP9" s="11" t="s">
        <v>288</v>
      </c>
      <c r="AR9" s="11" t="s">
        <v>289</v>
      </c>
      <c r="AS9" s="11">
        <v>2</v>
      </c>
      <c r="AT9" s="11" t="s">
        <v>224</v>
      </c>
      <c r="AV9" s="11" t="s">
        <v>177</v>
      </c>
    </row>
    <row r="10" spans="1:49" ht="24" customHeight="1">
      <c r="A10" s="26" t="s">
        <v>299</v>
      </c>
      <c r="B10" s="27">
        <v>3</v>
      </c>
      <c r="C10" s="28" t="s">
        <v>224</v>
      </c>
      <c r="D10" s="29" t="s">
        <v>255</v>
      </c>
      <c r="E10" s="16"/>
      <c r="F10" s="164" t="s">
        <v>300</v>
      </c>
      <c r="G10" s="163">
        <v>3</v>
      </c>
      <c r="H10" s="164" t="s">
        <v>225</v>
      </c>
      <c r="I10" s="164" t="s">
        <v>301</v>
      </c>
      <c r="J10" s="16"/>
      <c r="K10" s="30" t="s">
        <v>302</v>
      </c>
      <c r="L10" s="167">
        <v>10</v>
      </c>
      <c r="M10" s="162" t="s">
        <v>226</v>
      </c>
      <c r="N10" s="164" t="s">
        <v>303</v>
      </c>
      <c r="O10" s="16"/>
      <c r="P10" s="164" t="s">
        <v>304</v>
      </c>
      <c r="Q10" s="163">
        <v>5</v>
      </c>
      <c r="R10" s="164" t="s">
        <v>305</v>
      </c>
      <c r="S10" s="164" t="s">
        <v>243</v>
      </c>
      <c r="T10" s="16"/>
      <c r="U10" s="16"/>
      <c r="V10" s="16"/>
      <c r="W10" s="16"/>
      <c r="X10" s="16"/>
      <c r="Y10" s="16"/>
      <c r="Z10" s="16"/>
      <c r="AA10" s="16"/>
      <c r="AB10" s="16"/>
      <c r="AC10" s="16"/>
      <c r="AE10" s="11" t="s">
        <v>289</v>
      </c>
      <c r="AF10" s="11">
        <v>2</v>
      </c>
      <c r="AG10" s="11" t="s">
        <v>224</v>
      </c>
      <c r="AH10" s="11" t="s">
        <v>290</v>
      </c>
      <c r="AJ10" s="11" t="s">
        <v>295</v>
      </c>
      <c r="AK10" s="11">
        <v>5</v>
      </c>
      <c r="AL10" s="11" t="s">
        <v>296</v>
      </c>
      <c r="AN10" s="11" t="s">
        <v>297</v>
      </c>
      <c r="AO10" s="11">
        <v>10</v>
      </c>
      <c r="AP10" s="11" t="s">
        <v>298</v>
      </c>
      <c r="AR10" s="11" t="s">
        <v>299</v>
      </c>
      <c r="AS10" s="11">
        <v>3</v>
      </c>
      <c r="AT10" s="11" t="s">
        <v>224</v>
      </c>
    </row>
    <row r="11" spans="1:49" ht="24" customHeight="1">
      <c r="A11" s="26" t="s">
        <v>306</v>
      </c>
      <c r="B11" s="27">
        <v>5</v>
      </c>
      <c r="C11" s="28" t="s">
        <v>224</v>
      </c>
      <c r="D11" s="29" t="s">
        <v>307</v>
      </c>
      <c r="E11" s="16"/>
      <c r="F11" s="164" t="s">
        <v>308</v>
      </c>
      <c r="G11" s="163">
        <v>3</v>
      </c>
      <c r="H11" s="164" t="s">
        <v>225</v>
      </c>
      <c r="I11" s="164" t="s">
        <v>309</v>
      </c>
      <c r="J11" s="16"/>
      <c r="K11" s="30" t="s">
        <v>310</v>
      </c>
      <c r="L11" s="167">
        <v>5</v>
      </c>
      <c r="M11" s="162" t="s">
        <v>226</v>
      </c>
      <c r="N11" s="164" t="s">
        <v>311</v>
      </c>
      <c r="O11" s="16"/>
      <c r="P11" s="167" t="s">
        <v>312</v>
      </c>
      <c r="Q11" s="167">
        <v>5</v>
      </c>
      <c r="R11" s="167" t="s">
        <v>313</v>
      </c>
      <c r="S11" s="167" t="s">
        <v>243</v>
      </c>
      <c r="T11" s="16"/>
      <c r="U11" s="16"/>
      <c r="V11" s="16"/>
      <c r="W11" s="16"/>
      <c r="X11" s="16"/>
      <c r="Y11" s="16"/>
      <c r="Z11" s="16"/>
      <c r="AA11" s="16"/>
      <c r="AB11" s="16"/>
      <c r="AC11" s="16"/>
      <c r="AE11" s="11" t="s">
        <v>299</v>
      </c>
      <c r="AF11" s="11">
        <v>3</v>
      </c>
      <c r="AG11" s="11" t="s">
        <v>224</v>
      </c>
      <c r="AH11" s="11" t="s">
        <v>255</v>
      </c>
      <c r="AJ11" s="11" t="s">
        <v>304</v>
      </c>
      <c r="AK11" s="11">
        <v>5</v>
      </c>
      <c r="AL11" s="11" t="s">
        <v>305</v>
      </c>
      <c r="AR11" s="11" t="s">
        <v>306</v>
      </c>
      <c r="AS11" s="11">
        <v>5</v>
      </c>
      <c r="AT11" s="11" t="s">
        <v>224</v>
      </c>
    </row>
    <row r="12" spans="1:49" ht="24" customHeight="1">
      <c r="A12" s="26" t="s">
        <v>314</v>
      </c>
      <c r="B12" s="27">
        <v>2</v>
      </c>
      <c r="C12" s="28" t="s">
        <v>224</v>
      </c>
      <c r="D12" s="29" t="s">
        <v>315</v>
      </c>
      <c r="E12" s="16"/>
      <c r="F12" s="164" t="s">
        <v>316</v>
      </c>
      <c r="G12" s="163">
        <v>10</v>
      </c>
      <c r="H12" s="164" t="s">
        <v>225</v>
      </c>
      <c r="I12" s="164" t="s">
        <v>317</v>
      </c>
      <c r="J12" s="16"/>
      <c r="K12" s="30" t="s">
        <v>318</v>
      </c>
      <c r="L12" s="167">
        <v>5</v>
      </c>
      <c r="M12" s="162" t="s">
        <v>226</v>
      </c>
      <c r="N12" s="164" t="s">
        <v>319</v>
      </c>
      <c r="O12" s="16"/>
      <c r="P12" s="162" t="s">
        <v>320</v>
      </c>
      <c r="Q12" s="167">
        <v>5</v>
      </c>
      <c r="R12" s="162" t="s">
        <v>321</v>
      </c>
      <c r="S12" s="162" t="s">
        <v>243</v>
      </c>
      <c r="T12" s="16"/>
      <c r="U12" s="16"/>
      <c r="V12" s="16"/>
      <c r="W12" s="16"/>
      <c r="X12" s="16"/>
      <c r="Y12" s="16"/>
      <c r="Z12" s="16"/>
      <c r="AA12" s="16"/>
      <c r="AB12" s="16"/>
      <c r="AC12" s="16"/>
      <c r="AE12" s="11" t="s">
        <v>306</v>
      </c>
      <c r="AF12" s="11">
        <v>5</v>
      </c>
      <c r="AG12" s="11" t="s">
        <v>224</v>
      </c>
      <c r="AH12" s="11" t="s">
        <v>307</v>
      </c>
      <c r="AJ12" s="11" t="s">
        <v>312</v>
      </c>
      <c r="AK12" s="11">
        <v>5</v>
      </c>
      <c r="AL12" s="11" t="s">
        <v>313</v>
      </c>
      <c r="AR12" s="11" t="s">
        <v>314</v>
      </c>
      <c r="AS12" s="11">
        <v>2</v>
      </c>
      <c r="AT12" s="11" t="s">
        <v>224</v>
      </c>
    </row>
    <row r="13" spans="1:49" ht="24" customHeight="1">
      <c r="A13" s="26" t="s">
        <v>322</v>
      </c>
      <c r="B13" s="27">
        <v>1</v>
      </c>
      <c r="C13" s="28" t="s">
        <v>224</v>
      </c>
      <c r="D13" s="29" t="s">
        <v>323</v>
      </c>
      <c r="E13" s="16"/>
      <c r="F13" s="164" t="s">
        <v>324</v>
      </c>
      <c r="G13" s="163">
        <v>8</v>
      </c>
      <c r="H13" s="164" t="s">
        <v>225</v>
      </c>
      <c r="I13" s="164" t="s">
        <v>325</v>
      </c>
      <c r="J13" s="16"/>
      <c r="K13" s="30" t="s">
        <v>326</v>
      </c>
      <c r="L13" s="167">
        <v>5</v>
      </c>
      <c r="M13" s="162" t="s">
        <v>226</v>
      </c>
      <c r="N13" s="164" t="s">
        <v>327</v>
      </c>
      <c r="O13" s="16"/>
      <c r="P13" s="162" t="s">
        <v>328</v>
      </c>
      <c r="Q13" s="167">
        <v>5</v>
      </c>
      <c r="R13" s="162" t="s">
        <v>329</v>
      </c>
      <c r="S13" s="162" t="s">
        <v>243</v>
      </c>
      <c r="T13" s="16"/>
      <c r="U13" s="16"/>
      <c r="V13" s="16"/>
      <c r="W13" s="16"/>
      <c r="X13" s="16"/>
      <c r="Y13" s="16"/>
      <c r="Z13" s="16"/>
      <c r="AA13" s="16"/>
      <c r="AB13" s="16"/>
      <c r="AC13" s="16"/>
      <c r="AE13" s="11" t="s">
        <v>314</v>
      </c>
      <c r="AF13" s="11">
        <v>2</v>
      </c>
      <c r="AG13" s="11" t="s">
        <v>224</v>
      </c>
      <c r="AH13" s="11" t="s">
        <v>315</v>
      </c>
      <c r="AJ13" s="11" t="s">
        <v>320</v>
      </c>
      <c r="AK13" s="11">
        <v>5</v>
      </c>
      <c r="AL13" s="11" t="s">
        <v>321</v>
      </c>
      <c r="AR13" s="11" t="s">
        <v>322</v>
      </c>
      <c r="AS13" s="11">
        <v>1</v>
      </c>
      <c r="AT13" s="11" t="s">
        <v>224</v>
      </c>
    </row>
    <row r="14" spans="1:49" ht="24" customHeight="1">
      <c r="A14" s="26" t="s">
        <v>330</v>
      </c>
      <c r="B14" s="27">
        <v>1</v>
      </c>
      <c r="C14" s="28" t="s">
        <v>224</v>
      </c>
      <c r="D14" s="29" t="s">
        <v>323</v>
      </c>
      <c r="E14" s="16"/>
      <c r="F14" s="164" t="s">
        <v>331</v>
      </c>
      <c r="G14" s="163">
        <v>6</v>
      </c>
      <c r="H14" s="164" t="s">
        <v>225</v>
      </c>
      <c r="I14" s="164" t="s">
        <v>332</v>
      </c>
      <c r="J14" s="16"/>
      <c r="K14" s="30" t="s">
        <v>333</v>
      </c>
      <c r="L14" s="167">
        <v>10</v>
      </c>
      <c r="M14" s="162" t="s">
        <v>226</v>
      </c>
      <c r="N14" s="164" t="s">
        <v>334</v>
      </c>
      <c r="O14" s="16"/>
      <c r="P14" s="162" t="s">
        <v>335</v>
      </c>
      <c r="Q14" s="167">
        <v>5</v>
      </c>
      <c r="R14" s="162" t="s">
        <v>336</v>
      </c>
      <c r="S14" s="162" t="s">
        <v>243</v>
      </c>
      <c r="T14" s="16"/>
      <c r="U14" s="16"/>
      <c r="V14" s="16"/>
      <c r="W14" s="16"/>
      <c r="X14" s="16"/>
      <c r="Y14" s="16"/>
      <c r="Z14" s="16"/>
      <c r="AA14" s="16"/>
      <c r="AB14" s="16"/>
      <c r="AC14" s="16"/>
      <c r="AE14" s="11" t="s">
        <v>322</v>
      </c>
      <c r="AF14" s="11">
        <v>1</v>
      </c>
      <c r="AG14" s="11" t="s">
        <v>224</v>
      </c>
      <c r="AH14" s="11" t="s">
        <v>323</v>
      </c>
      <c r="AJ14" s="11" t="s">
        <v>328</v>
      </c>
      <c r="AK14" s="11">
        <v>5</v>
      </c>
      <c r="AL14" s="11" t="s">
        <v>329</v>
      </c>
      <c r="AR14" s="11" t="s">
        <v>330</v>
      </c>
      <c r="AS14" s="11">
        <v>1</v>
      </c>
      <c r="AT14" s="11" t="s">
        <v>224</v>
      </c>
    </row>
    <row r="15" spans="1:49" ht="24" customHeight="1">
      <c r="A15" s="17"/>
      <c r="B15" s="17"/>
      <c r="C15" s="17"/>
      <c r="D15" s="17"/>
      <c r="E15" s="16"/>
      <c r="F15" s="164" t="s">
        <v>337</v>
      </c>
      <c r="G15" s="163">
        <v>6</v>
      </c>
      <c r="H15" s="164" t="s">
        <v>225</v>
      </c>
      <c r="I15" s="164" t="s">
        <v>338</v>
      </c>
      <c r="J15" s="16"/>
      <c r="K15" s="30" t="s">
        <v>339</v>
      </c>
      <c r="L15" s="167">
        <v>3</v>
      </c>
      <c r="M15" s="162" t="s">
        <v>226</v>
      </c>
      <c r="N15" s="164" t="s">
        <v>340</v>
      </c>
      <c r="O15" s="16"/>
      <c r="P15" s="162" t="s">
        <v>341</v>
      </c>
      <c r="Q15" s="167">
        <v>5</v>
      </c>
      <c r="R15" s="162" t="s">
        <v>342</v>
      </c>
      <c r="S15" s="162" t="s">
        <v>243</v>
      </c>
      <c r="T15" s="16"/>
      <c r="U15" s="16"/>
      <c r="V15" s="16"/>
      <c r="W15" s="16"/>
      <c r="X15" s="16"/>
      <c r="Y15" s="16"/>
      <c r="Z15" s="16"/>
      <c r="AA15" s="16"/>
      <c r="AB15" s="16"/>
      <c r="AC15" s="16"/>
      <c r="AE15" s="11" t="s">
        <v>330</v>
      </c>
      <c r="AF15" s="11">
        <v>1</v>
      </c>
      <c r="AG15" s="11" t="s">
        <v>224</v>
      </c>
      <c r="AH15" s="11" t="s">
        <v>323</v>
      </c>
      <c r="AJ15" s="11" t="s">
        <v>335</v>
      </c>
      <c r="AK15" s="11">
        <v>5</v>
      </c>
      <c r="AL15" s="11" t="s">
        <v>336</v>
      </c>
      <c r="AR15" s="11" t="s">
        <v>237</v>
      </c>
      <c r="AS15" s="11">
        <v>3</v>
      </c>
      <c r="AT15" s="11" t="s">
        <v>225</v>
      </c>
    </row>
    <row r="16" spans="1:49" ht="24" customHeight="1">
      <c r="A16" s="17"/>
      <c r="B16" s="17"/>
      <c r="C16" s="17"/>
      <c r="D16" s="17"/>
      <c r="E16" s="16"/>
      <c r="F16" s="164" t="s">
        <v>343</v>
      </c>
      <c r="G16" s="163">
        <v>5</v>
      </c>
      <c r="H16" s="164" t="s">
        <v>225</v>
      </c>
      <c r="I16" s="164" t="s">
        <v>344</v>
      </c>
      <c r="J16" s="16"/>
      <c r="K16" s="30" t="s">
        <v>345</v>
      </c>
      <c r="L16" s="167">
        <v>50</v>
      </c>
      <c r="M16" s="162" t="s">
        <v>226</v>
      </c>
      <c r="N16" s="164" t="s">
        <v>346</v>
      </c>
      <c r="O16" s="16"/>
      <c r="P16" s="162" t="s">
        <v>347</v>
      </c>
      <c r="Q16" s="167">
        <v>5</v>
      </c>
      <c r="R16" s="162" t="s">
        <v>348</v>
      </c>
      <c r="S16" s="162" t="s">
        <v>243</v>
      </c>
      <c r="T16" s="16"/>
      <c r="U16" s="16"/>
      <c r="V16" s="16"/>
      <c r="W16" s="16"/>
      <c r="X16" s="16"/>
      <c r="Y16" s="16"/>
      <c r="Z16" s="16"/>
      <c r="AA16" s="16"/>
      <c r="AB16" s="16"/>
      <c r="AC16" s="16"/>
      <c r="AE16" s="11" t="s">
        <v>237</v>
      </c>
      <c r="AF16" s="11">
        <v>3</v>
      </c>
      <c r="AG16" s="11" t="s">
        <v>225</v>
      </c>
      <c r="AH16" s="11" t="s">
        <v>238</v>
      </c>
      <c r="AJ16" s="11" t="s">
        <v>341</v>
      </c>
      <c r="AK16" s="11">
        <v>5</v>
      </c>
      <c r="AL16" s="11" t="s">
        <v>342</v>
      </c>
      <c r="AR16" s="11" t="s">
        <v>256</v>
      </c>
      <c r="AS16" s="11">
        <v>8</v>
      </c>
      <c r="AT16" s="11" t="s">
        <v>225</v>
      </c>
    </row>
    <row r="17" spans="1:46" ht="24" customHeight="1">
      <c r="A17" s="17"/>
      <c r="B17" s="17"/>
      <c r="C17" s="17"/>
      <c r="D17" s="17"/>
      <c r="E17" s="16"/>
      <c r="F17" s="164" t="s">
        <v>349</v>
      </c>
      <c r="G17" s="163">
        <v>12</v>
      </c>
      <c r="H17" s="164" t="s">
        <v>225</v>
      </c>
      <c r="I17" s="164" t="s">
        <v>350</v>
      </c>
      <c r="J17" s="16"/>
      <c r="K17" s="18"/>
      <c r="L17" s="18"/>
      <c r="M17" s="18"/>
      <c r="N17" s="16"/>
      <c r="O17" s="16"/>
      <c r="P17" s="31" t="s">
        <v>351</v>
      </c>
      <c r="Q17" s="32">
        <v>5</v>
      </c>
      <c r="R17" s="31" t="s">
        <v>352</v>
      </c>
      <c r="S17" s="31" t="s">
        <v>243</v>
      </c>
      <c r="T17" s="16"/>
      <c r="U17" s="16"/>
      <c r="V17" s="16"/>
      <c r="W17" s="16"/>
      <c r="X17" s="16"/>
      <c r="Y17" s="16"/>
      <c r="Z17" s="16"/>
      <c r="AA17" s="16"/>
      <c r="AB17" s="16"/>
      <c r="AC17" s="16"/>
      <c r="AE17" s="11" t="s">
        <v>256</v>
      </c>
      <c r="AF17" s="11">
        <v>8</v>
      </c>
      <c r="AG17" s="11" t="s">
        <v>225</v>
      </c>
      <c r="AH17" s="11" t="s">
        <v>257</v>
      </c>
      <c r="AJ17" s="11" t="s">
        <v>347</v>
      </c>
      <c r="AK17" s="11">
        <v>5</v>
      </c>
      <c r="AL17" s="11" t="s">
        <v>348</v>
      </c>
      <c r="AR17" s="11" t="s">
        <v>269</v>
      </c>
      <c r="AS17" s="11">
        <v>4</v>
      </c>
      <c r="AT17" s="11" t="s">
        <v>225</v>
      </c>
    </row>
    <row r="18" spans="1:46" ht="24" customHeight="1">
      <c r="A18" s="19"/>
      <c r="B18" s="19"/>
      <c r="C18" s="19"/>
      <c r="D18" s="19"/>
      <c r="E18" s="16"/>
      <c r="F18" s="164" t="s">
        <v>353</v>
      </c>
      <c r="G18" s="163">
        <v>12</v>
      </c>
      <c r="H18" s="164" t="s">
        <v>225</v>
      </c>
      <c r="I18" s="164" t="s">
        <v>354</v>
      </c>
      <c r="J18" s="16"/>
      <c r="K18" s="16"/>
      <c r="L18" s="16"/>
      <c r="M18" s="16"/>
      <c r="N18" s="16"/>
      <c r="O18" s="16"/>
      <c r="P18" s="16"/>
      <c r="Q18" s="16"/>
      <c r="R18" s="16"/>
      <c r="S18" s="16"/>
      <c r="T18" s="16"/>
      <c r="U18" s="16"/>
      <c r="V18" s="16"/>
      <c r="W18" s="16"/>
      <c r="X18" s="16"/>
      <c r="Y18" s="16"/>
      <c r="Z18" s="16"/>
      <c r="AA18" s="16"/>
      <c r="AB18" s="16"/>
      <c r="AC18" s="16"/>
      <c r="AE18" s="11" t="s">
        <v>269</v>
      </c>
      <c r="AF18" s="11">
        <v>4</v>
      </c>
      <c r="AG18" s="11" t="s">
        <v>225</v>
      </c>
      <c r="AH18" s="11" t="s">
        <v>270</v>
      </c>
      <c r="AJ18" s="11" t="s">
        <v>351</v>
      </c>
      <c r="AK18" s="11">
        <v>5</v>
      </c>
      <c r="AL18" s="11" t="s">
        <v>352</v>
      </c>
      <c r="AR18" s="11" t="s">
        <v>281</v>
      </c>
      <c r="AS18" s="11">
        <v>1</v>
      </c>
      <c r="AT18" s="11" t="s">
        <v>225</v>
      </c>
    </row>
    <row r="19" spans="1:46" ht="24" customHeight="1">
      <c r="A19" s="19"/>
      <c r="B19" s="19"/>
      <c r="C19" s="19"/>
      <c r="D19" s="19"/>
      <c r="E19" s="16"/>
      <c r="F19" s="164" t="s">
        <v>355</v>
      </c>
      <c r="G19" s="163">
        <v>25</v>
      </c>
      <c r="H19" s="164" t="s">
        <v>225</v>
      </c>
      <c r="I19" s="164" t="s">
        <v>356</v>
      </c>
      <c r="J19" s="16"/>
      <c r="K19" s="16"/>
      <c r="L19" s="16"/>
      <c r="M19" s="16"/>
      <c r="N19" s="16"/>
      <c r="O19" s="16"/>
      <c r="P19" s="16"/>
      <c r="Q19" s="16"/>
      <c r="R19" s="16"/>
      <c r="S19" s="16"/>
      <c r="T19" s="16"/>
      <c r="U19" s="16"/>
      <c r="V19" s="16"/>
      <c r="W19" s="16"/>
      <c r="X19" s="16"/>
      <c r="Y19" s="16"/>
      <c r="Z19" s="16"/>
      <c r="AA19" s="16"/>
      <c r="AB19" s="16"/>
      <c r="AC19" s="16"/>
      <c r="AE19" s="11" t="s">
        <v>281</v>
      </c>
      <c r="AF19" s="11">
        <v>1</v>
      </c>
      <c r="AG19" s="11" t="s">
        <v>225</v>
      </c>
      <c r="AH19" s="11" t="s">
        <v>282</v>
      </c>
      <c r="AR19" s="11" t="s">
        <v>291</v>
      </c>
      <c r="AS19" s="11">
        <v>5</v>
      </c>
      <c r="AT19" s="11" t="s">
        <v>225</v>
      </c>
    </row>
    <row r="20" spans="1:46" ht="24" customHeight="1">
      <c r="A20" s="19"/>
      <c r="B20" s="19"/>
      <c r="C20" s="19"/>
      <c r="D20" s="19"/>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E20" s="11" t="s">
        <v>291</v>
      </c>
      <c r="AF20" s="11">
        <v>5</v>
      </c>
      <c r="AG20" s="11" t="s">
        <v>225</v>
      </c>
      <c r="AH20" s="11" t="s">
        <v>292</v>
      </c>
      <c r="AR20" s="11" t="s">
        <v>300</v>
      </c>
      <c r="AS20" s="11">
        <v>3</v>
      </c>
      <c r="AT20" s="11" t="s">
        <v>225</v>
      </c>
    </row>
    <row r="21" spans="1:46" ht="24" customHeight="1">
      <c r="A21" s="20"/>
      <c r="B21" s="20"/>
      <c r="C21" s="20"/>
      <c r="D21" s="20"/>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E21" s="11" t="s">
        <v>300</v>
      </c>
      <c r="AF21" s="11">
        <v>3</v>
      </c>
      <c r="AG21" s="11" t="s">
        <v>225</v>
      </c>
      <c r="AH21" s="11" t="s">
        <v>301</v>
      </c>
      <c r="AR21" s="11" t="s">
        <v>308</v>
      </c>
      <c r="AS21" s="11">
        <v>3</v>
      </c>
      <c r="AT21" s="11" t="s">
        <v>225</v>
      </c>
    </row>
    <row r="22" spans="1:46" ht="30" customHeight="1">
      <c r="A22" s="80" t="s">
        <v>357</v>
      </c>
      <c r="B22" s="165"/>
      <c r="C22" s="16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165"/>
      <c r="AB22" s="165"/>
      <c r="AC22" s="165"/>
      <c r="AE22" s="11" t="s">
        <v>308</v>
      </c>
      <c r="AF22" s="11">
        <v>3</v>
      </c>
      <c r="AG22" s="11" t="s">
        <v>225</v>
      </c>
      <c r="AH22" s="11" t="s">
        <v>309</v>
      </c>
      <c r="AR22" s="11" t="s">
        <v>316</v>
      </c>
      <c r="AS22" s="11">
        <v>10</v>
      </c>
      <c r="AT22" s="11" t="s">
        <v>225</v>
      </c>
    </row>
    <row r="23" spans="1:46" ht="30" customHeight="1">
      <c r="A23" s="82" t="s">
        <v>358</v>
      </c>
      <c r="B23" s="169"/>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69"/>
      <c r="AC23" s="169"/>
      <c r="AE23" s="11" t="s">
        <v>316</v>
      </c>
      <c r="AF23" s="11">
        <v>10</v>
      </c>
      <c r="AG23" s="11" t="s">
        <v>225</v>
      </c>
      <c r="AH23" s="11" t="s">
        <v>317</v>
      </c>
      <c r="AR23" s="11" t="s">
        <v>324</v>
      </c>
      <c r="AS23" s="11">
        <v>8</v>
      </c>
      <c r="AT23" s="11" t="s">
        <v>225</v>
      </c>
    </row>
    <row r="24" spans="1:46" ht="30" customHeight="1">
      <c r="A24" s="82" t="s">
        <v>359</v>
      </c>
      <c r="B24" s="169"/>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69"/>
      <c r="AC24" s="169"/>
      <c r="AE24" s="11" t="s">
        <v>324</v>
      </c>
      <c r="AF24" s="11">
        <v>8</v>
      </c>
      <c r="AG24" s="11" t="s">
        <v>225</v>
      </c>
      <c r="AH24" s="11" t="s">
        <v>325</v>
      </c>
      <c r="AR24" s="11" t="s">
        <v>331</v>
      </c>
      <c r="AS24" s="11">
        <v>6</v>
      </c>
      <c r="AT24" s="11" t="s">
        <v>225</v>
      </c>
    </row>
    <row r="25" spans="1:46" ht="30" customHeight="1">
      <c r="A25" s="82" t="s">
        <v>360</v>
      </c>
      <c r="B25" s="169"/>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69"/>
      <c r="AC25" s="169"/>
      <c r="AE25" s="11" t="s">
        <v>331</v>
      </c>
      <c r="AF25" s="11">
        <v>6</v>
      </c>
      <c r="AG25" s="11" t="s">
        <v>225</v>
      </c>
      <c r="AH25" s="11" t="s">
        <v>332</v>
      </c>
      <c r="AR25" s="11" t="s">
        <v>337</v>
      </c>
      <c r="AS25" s="11">
        <v>6</v>
      </c>
      <c r="AT25" s="11" t="s">
        <v>225</v>
      </c>
    </row>
    <row r="26" spans="1:46" ht="30" customHeight="1">
      <c r="A26" s="82" t="s">
        <v>361</v>
      </c>
      <c r="B26" s="169"/>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69"/>
      <c r="AC26" s="169"/>
      <c r="AE26" s="11" t="s">
        <v>337</v>
      </c>
      <c r="AF26" s="11">
        <v>6</v>
      </c>
      <c r="AG26" s="11" t="s">
        <v>225</v>
      </c>
      <c r="AH26" s="11" t="s">
        <v>338</v>
      </c>
      <c r="AR26" s="11" t="s">
        <v>343</v>
      </c>
      <c r="AS26" s="11">
        <v>5</v>
      </c>
      <c r="AT26" s="11" t="s">
        <v>225</v>
      </c>
    </row>
    <row r="27" spans="1:46" ht="24" customHeight="1">
      <c r="A27" s="21"/>
      <c r="B27" s="21"/>
      <c r="C27" s="21"/>
      <c r="D27" s="21"/>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E27" s="11" t="s">
        <v>343</v>
      </c>
      <c r="AF27" s="11">
        <v>5</v>
      </c>
      <c r="AG27" s="11" t="s">
        <v>225</v>
      </c>
      <c r="AH27" s="11" t="s">
        <v>344</v>
      </c>
      <c r="AR27" s="11" t="s">
        <v>349</v>
      </c>
      <c r="AS27" s="11">
        <v>12</v>
      </c>
      <c r="AT27" s="11" t="s">
        <v>225</v>
      </c>
    </row>
    <row r="28" spans="1:46" ht="24" customHeight="1">
      <c r="A28" s="19"/>
      <c r="B28" s="19"/>
      <c r="C28" s="19"/>
      <c r="D28" s="19"/>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E28" s="11" t="s">
        <v>349</v>
      </c>
      <c r="AF28" s="11">
        <v>12</v>
      </c>
      <c r="AG28" s="11" t="s">
        <v>225</v>
      </c>
      <c r="AH28" s="11" t="s">
        <v>350</v>
      </c>
      <c r="AR28" s="11" t="s">
        <v>353</v>
      </c>
      <c r="AS28" s="11">
        <v>12</v>
      </c>
      <c r="AT28" s="11" t="s">
        <v>225</v>
      </c>
    </row>
    <row r="29" spans="1:46" ht="24" customHeight="1">
      <c r="A29" s="19"/>
      <c r="B29" s="19"/>
      <c r="C29" s="19"/>
      <c r="D29" s="19"/>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E29" s="11" t="s">
        <v>353</v>
      </c>
      <c r="AF29" s="11">
        <v>12</v>
      </c>
      <c r="AG29" s="11" t="s">
        <v>225</v>
      </c>
      <c r="AH29" s="11" t="s">
        <v>354</v>
      </c>
      <c r="AR29" s="11" t="s">
        <v>355</v>
      </c>
      <c r="AS29" s="11">
        <v>25</v>
      </c>
      <c r="AT29" s="11" t="s">
        <v>225</v>
      </c>
    </row>
    <row r="30" spans="1:46" ht="24" customHeight="1">
      <c r="A30" s="19"/>
      <c r="B30" s="19"/>
      <c r="C30" s="19"/>
      <c r="D30" s="19"/>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E30" s="11" t="s">
        <v>355</v>
      </c>
      <c r="AF30" s="11">
        <v>25</v>
      </c>
      <c r="AG30" s="11" t="s">
        <v>225</v>
      </c>
      <c r="AH30" s="11" t="s">
        <v>356</v>
      </c>
      <c r="AR30" s="11" t="s">
        <v>239</v>
      </c>
      <c r="AS30" s="11">
        <v>3</v>
      </c>
      <c r="AT30" s="11" t="s">
        <v>226</v>
      </c>
    </row>
    <row r="31" spans="1:46" ht="24" customHeight="1">
      <c r="A31" s="12"/>
      <c r="B31" s="12"/>
      <c r="C31" s="12"/>
      <c r="D31" s="12"/>
      <c r="E31" s="13"/>
      <c r="F31" s="13"/>
      <c r="G31" s="13"/>
      <c r="H31" s="13"/>
      <c r="I31" s="13"/>
      <c r="J31" s="13"/>
      <c r="K31" s="13"/>
      <c r="L31" s="13"/>
      <c r="M31" s="13"/>
      <c r="N31" s="13"/>
      <c r="O31" s="13"/>
      <c r="P31" s="13"/>
      <c r="Q31" s="13"/>
      <c r="R31" s="13"/>
      <c r="S31" s="13"/>
      <c r="T31" s="13"/>
      <c r="U31" s="13"/>
      <c r="V31" s="13"/>
      <c r="W31" s="13"/>
      <c r="AE31" s="11" t="s">
        <v>239</v>
      </c>
      <c r="AF31" s="11">
        <v>3</v>
      </c>
      <c r="AG31" s="11" t="s">
        <v>226</v>
      </c>
      <c r="AH31" s="11" t="s">
        <v>240</v>
      </c>
      <c r="AR31" s="11" t="s">
        <v>258</v>
      </c>
      <c r="AS31" s="11">
        <v>3</v>
      </c>
      <c r="AT31" s="11" t="s">
        <v>226</v>
      </c>
    </row>
    <row r="32" spans="1:46" ht="24" customHeight="1">
      <c r="A32" s="12"/>
      <c r="B32" s="12"/>
      <c r="C32" s="12"/>
      <c r="D32" s="12"/>
      <c r="E32" s="13"/>
      <c r="F32" s="13"/>
      <c r="G32" s="13"/>
      <c r="H32" s="13"/>
      <c r="I32" s="13"/>
      <c r="J32" s="13"/>
      <c r="K32" s="13"/>
      <c r="L32" s="13"/>
      <c r="M32" s="13"/>
      <c r="N32" s="13"/>
      <c r="O32" s="13"/>
      <c r="P32" s="13"/>
      <c r="Q32" s="13"/>
      <c r="R32" s="13"/>
      <c r="S32" s="13"/>
      <c r="T32" s="13"/>
      <c r="U32" s="13"/>
      <c r="V32" s="13"/>
      <c r="W32" s="13"/>
      <c r="AE32" s="11" t="s">
        <v>258</v>
      </c>
      <c r="AF32" s="11">
        <v>3</v>
      </c>
      <c r="AG32" s="11" t="s">
        <v>226</v>
      </c>
      <c r="AH32" s="11" t="s">
        <v>259</v>
      </c>
      <c r="AR32" s="11" t="s">
        <v>271</v>
      </c>
      <c r="AS32" s="11">
        <v>3</v>
      </c>
      <c r="AT32" s="11" t="s">
        <v>226</v>
      </c>
    </row>
    <row r="33" spans="1:46" ht="24" customHeight="1">
      <c r="A33" s="12"/>
      <c r="B33" s="12"/>
      <c r="C33" s="12"/>
      <c r="D33" s="12"/>
      <c r="E33" s="13"/>
      <c r="F33" s="13"/>
      <c r="G33" s="13"/>
      <c r="H33" s="13"/>
      <c r="I33" s="13"/>
      <c r="J33" s="13"/>
      <c r="K33" s="13"/>
      <c r="L33" s="13"/>
      <c r="M33" s="13"/>
      <c r="N33" s="13"/>
      <c r="O33" s="13"/>
      <c r="P33" s="13"/>
      <c r="Q33" s="13"/>
      <c r="R33" s="13"/>
      <c r="S33" s="13"/>
      <c r="T33" s="13"/>
      <c r="U33" s="13"/>
      <c r="V33" s="13"/>
      <c r="W33" s="13"/>
      <c r="AE33" s="11" t="s">
        <v>271</v>
      </c>
      <c r="AF33" s="11">
        <v>3</v>
      </c>
      <c r="AG33" s="11" t="s">
        <v>226</v>
      </c>
      <c r="AH33" s="11" t="s">
        <v>272</v>
      </c>
      <c r="AR33" s="11" t="s">
        <v>283</v>
      </c>
      <c r="AS33" s="11">
        <v>5</v>
      </c>
      <c r="AT33" s="11" t="s">
        <v>226</v>
      </c>
    </row>
    <row r="34" spans="1:46" ht="24" customHeight="1">
      <c r="A34" s="12"/>
      <c r="B34" s="12"/>
      <c r="C34" s="12"/>
      <c r="D34" s="12"/>
      <c r="E34" s="13"/>
      <c r="F34" s="13"/>
      <c r="G34" s="13"/>
      <c r="H34" s="13"/>
      <c r="I34" s="13"/>
      <c r="J34" s="13"/>
      <c r="K34" s="13"/>
      <c r="L34" s="13"/>
      <c r="M34" s="13"/>
      <c r="N34" s="13"/>
      <c r="O34" s="13"/>
      <c r="P34" s="13"/>
      <c r="Q34" s="13"/>
      <c r="R34" s="13"/>
      <c r="S34" s="13"/>
      <c r="T34" s="13"/>
      <c r="U34" s="13"/>
      <c r="V34" s="13"/>
      <c r="W34" s="13"/>
      <c r="AE34" s="11" t="s">
        <v>283</v>
      </c>
      <c r="AF34" s="11">
        <v>5</v>
      </c>
      <c r="AG34" s="11" t="s">
        <v>226</v>
      </c>
      <c r="AH34" s="11" t="s">
        <v>284</v>
      </c>
      <c r="AR34" s="11" t="s">
        <v>293</v>
      </c>
      <c r="AS34" s="11">
        <v>5</v>
      </c>
      <c r="AT34" s="11" t="s">
        <v>226</v>
      </c>
    </row>
    <row r="35" spans="1:46" ht="24" customHeight="1">
      <c r="A35" s="12"/>
      <c r="B35" s="12"/>
      <c r="C35" s="12"/>
      <c r="D35" s="12"/>
      <c r="E35" s="13"/>
      <c r="F35" s="13"/>
      <c r="G35" s="13"/>
      <c r="H35" s="13"/>
      <c r="I35" s="13"/>
      <c r="J35" s="13"/>
      <c r="K35" s="13"/>
      <c r="L35" s="13"/>
      <c r="M35" s="13"/>
      <c r="N35" s="13"/>
      <c r="O35" s="13"/>
      <c r="P35" s="13"/>
      <c r="Q35" s="13"/>
      <c r="R35" s="13"/>
      <c r="S35" s="13"/>
      <c r="T35" s="13"/>
      <c r="U35" s="13"/>
      <c r="V35" s="13"/>
      <c r="W35" s="13"/>
      <c r="AE35" s="11" t="s">
        <v>293</v>
      </c>
      <c r="AF35" s="11">
        <v>5</v>
      </c>
      <c r="AG35" s="11" t="s">
        <v>226</v>
      </c>
      <c r="AH35" s="11" t="s">
        <v>294</v>
      </c>
      <c r="AR35" s="11" t="s">
        <v>302</v>
      </c>
      <c r="AS35" s="11">
        <v>10</v>
      </c>
      <c r="AT35" s="11" t="s">
        <v>226</v>
      </c>
    </row>
    <row r="36" spans="1:46" ht="24" customHeight="1">
      <c r="A36" s="12"/>
      <c r="B36" s="12"/>
      <c r="C36" s="12"/>
      <c r="D36" s="12"/>
      <c r="E36" s="13"/>
      <c r="F36" s="13"/>
      <c r="G36" s="13"/>
      <c r="H36" s="13"/>
      <c r="I36" s="13"/>
      <c r="J36" s="13"/>
      <c r="K36" s="13"/>
      <c r="L36" s="13"/>
      <c r="M36" s="13"/>
      <c r="N36" s="13"/>
      <c r="O36" s="13"/>
      <c r="P36" s="13"/>
      <c r="Q36" s="13"/>
      <c r="R36" s="13"/>
      <c r="S36" s="13"/>
      <c r="T36" s="13"/>
      <c r="U36" s="13"/>
      <c r="V36" s="13"/>
      <c r="W36" s="13"/>
      <c r="AE36" s="11" t="s">
        <v>302</v>
      </c>
      <c r="AF36" s="11">
        <v>10</v>
      </c>
      <c r="AG36" s="11" t="s">
        <v>226</v>
      </c>
      <c r="AH36" s="11" t="s">
        <v>303</v>
      </c>
      <c r="AR36" s="11" t="s">
        <v>310</v>
      </c>
      <c r="AS36" s="11">
        <v>5</v>
      </c>
      <c r="AT36" s="11" t="s">
        <v>226</v>
      </c>
    </row>
    <row r="37" spans="1:46" ht="24" customHeight="1">
      <c r="A37" s="12"/>
      <c r="B37" s="12"/>
      <c r="C37" s="12"/>
      <c r="D37" s="12"/>
      <c r="E37" s="13"/>
      <c r="F37" s="13"/>
      <c r="G37" s="13"/>
      <c r="H37" s="13"/>
      <c r="I37" s="13"/>
      <c r="J37" s="13"/>
      <c r="K37" s="13"/>
      <c r="L37" s="13"/>
      <c r="M37" s="13"/>
      <c r="N37" s="13"/>
      <c r="O37" s="13"/>
      <c r="P37" s="13"/>
      <c r="Q37" s="13"/>
      <c r="R37" s="13"/>
      <c r="S37" s="13"/>
      <c r="T37" s="13"/>
      <c r="U37" s="13"/>
      <c r="V37" s="13"/>
      <c r="W37" s="13"/>
      <c r="AE37" s="11" t="s">
        <v>310</v>
      </c>
      <c r="AF37" s="11">
        <v>5</v>
      </c>
      <c r="AG37" s="11" t="s">
        <v>226</v>
      </c>
      <c r="AH37" s="11" t="s">
        <v>311</v>
      </c>
      <c r="AR37" s="11" t="s">
        <v>318</v>
      </c>
      <c r="AS37" s="11">
        <v>5</v>
      </c>
      <c r="AT37" s="11" t="s">
        <v>226</v>
      </c>
    </row>
    <row r="38" spans="1:46" ht="24" customHeight="1">
      <c r="A38" s="12"/>
      <c r="B38" s="12"/>
      <c r="C38" s="12"/>
      <c r="D38" s="12"/>
      <c r="E38" s="13"/>
      <c r="F38" s="13"/>
      <c r="G38" s="13"/>
      <c r="H38" s="13"/>
      <c r="I38" s="13"/>
      <c r="J38" s="13"/>
      <c r="K38" s="13"/>
      <c r="L38" s="13"/>
      <c r="M38" s="13"/>
      <c r="N38" s="13"/>
      <c r="O38" s="13"/>
      <c r="P38" s="13"/>
      <c r="Q38" s="13"/>
      <c r="R38" s="13"/>
      <c r="S38" s="13"/>
      <c r="T38" s="13"/>
      <c r="U38" s="13"/>
      <c r="V38" s="13"/>
      <c r="W38" s="13"/>
      <c r="AE38" s="11" t="s">
        <v>318</v>
      </c>
      <c r="AF38" s="11">
        <v>5</v>
      </c>
      <c r="AG38" s="11" t="s">
        <v>226</v>
      </c>
      <c r="AH38" s="11" t="s">
        <v>319</v>
      </c>
      <c r="AR38" s="11" t="s">
        <v>326</v>
      </c>
      <c r="AS38" s="11">
        <v>5</v>
      </c>
      <c r="AT38" s="11" t="s">
        <v>226</v>
      </c>
    </row>
    <row r="39" spans="1:46" ht="24" customHeight="1">
      <c r="A39" s="12"/>
      <c r="B39" s="12"/>
      <c r="C39" s="12"/>
      <c r="D39" s="12"/>
      <c r="E39" s="13"/>
      <c r="F39" s="13"/>
      <c r="G39" s="13"/>
      <c r="H39" s="13"/>
      <c r="I39" s="13"/>
      <c r="J39" s="13"/>
      <c r="K39" s="13"/>
      <c r="L39" s="13"/>
      <c r="M39" s="13"/>
      <c r="N39" s="13"/>
      <c r="O39" s="13"/>
      <c r="P39" s="13"/>
      <c r="Q39" s="13"/>
      <c r="R39" s="13"/>
      <c r="S39" s="13"/>
      <c r="T39" s="13"/>
      <c r="U39" s="13"/>
      <c r="V39" s="13"/>
      <c r="W39" s="13"/>
      <c r="AE39" s="11" t="s">
        <v>326</v>
      </c>
      <c r="AF39" s="11">
        <v>5</v>
      </c>
      <c r="AG39" s="11" t="s">
        <v>226</v>
      </c>
      <c r="AH39" s="11" t="s">
        <v>327</v>
      </c>
      <c r="AR39" s="11" t="s">
        <v>333</v>
      </c>
      <c r="AS39" s="11">
        <v>10</v>
      </c>
      <c r="AT39" s="11" t="s">
        <v>226</v>
      </c>
    </row>
    <row r="40" spans="1:46" ht="24" customHeight="1">
      <c r="A40" s="12"/>
      <c r="B40" s="12"/>
      <c r="C40" s="12"/>
      <c r="D40" s="12"/>
      <c r="E40" s="13"/>
      <c r="F40" s="13"/>
      <c r="G40" s="13"/>
      <c r="H40" s="13"/>
      <c r="I40" s="13"/>
      <c r="J40" s="13"/>
      <c r="K40" s="13"/>
      <c r="L40" s="13"/>
      <c r="M40" s="13"/>
      <c r="N40" s="13"/>
      <c r="O40" s="13"/>
      <c r="P40" s="13"/>
      <c r="Q40" s="13"/>
      <c r="R40" s="13"/>
      <c r="S40" s="13"/>
      <c r="T40" s="13"/>
      <c r="U40" s="13"/>
      <c r="V40" s="13"/>
      <c r="W40" s="13"/>
      <c r="AE40" s="11" t="s">
        <v>333</v>
      </c>
      <c r="AF40" s="11">
        <v>10</v>
      </c>
      <c r="AG40" s="11" t="s">
        <v>226</v>
      </c>
      <c r="AH40" s="11" t="s">
        <v>334</v>
      </c>
      <c r="AR40" s="11" t="s">
        <v>339</v>
      </c>
      <c r="AS40" s="11">
        <v>3</v>
      </c>
      <c r="AT40" s="11" t="s">
        <v>226</v>
      </c>
    </row>
    <row r="41" spans="1:46" ht="24" customHeight="1">
      <c r="A41" s="12"/>
      <c r="B41" s="12"/>
      <c r="C41" s="12"/>
      <c r="D41" s="12"/>
      <c r="E41" s="13"/>
      <c r="F41" s="13"/>
      <c r="G41" s="13"/>
      <c r="H41" s="13"/>
      <c r="I41" s="13"/>
      <c r="J41" s="13"/>
      <c r="K41" s="13"/>
      <c r="L41" s="13"/>
      <c r="M41" s="13"/>
      <c r="N41" s="13"/>
      <c r="O41" s="13"/>
      <c r="P41" s="13"/>
      <c r="Q41" s="13"/>
      <c r="R41" s="13"/>
      <c r="S41" s="13"/>
      <c r="T41" s="13"/>
      <c r="U41" s="13"/>
      <c r="V41" s="13"/>
      <c r="W41" s="13"/>
      <c r="AE41" s="11" t="s">
        <v>339</v>
      </c>
      <c r="AF41" s="11">
        <v>3</v>
      </c>
      <c r="AG41" s="11" t="s">
        <v>226</v>
      </c>
      <c r="AH41" s="11" t="s">
        <v>340</v>
      </c>
      <c r="AR41" s="11" t="s">
        <v>345</v>
      </c>
      <c r="AS41" s="11">
        <v>50</v>
      </c>
      <c r="AT41" s="11" t="s">
        <v>226</v>
      </c>
    </row>
    <row r="42" spans="1:46">
      <c r="AE42" s="11" t="s">
        <v>345</v>
      </c>
      <c r="AF42" s="11">
        <v>50</v>
      </c>
      <c r="AG42" s="11" t="s">
        <v>226</v>
      </c>
      <c r="AH42" s="11" t="s">
        <v>346</v>
      </c>
      <c r="AR42" s="11" t="s">
        <v>246</v>
      </c>
      <c r="AS42" s="11">
        <v>10</v>
      </c>
      <c r="AT42" s="11" t="s">
        <v>227</v>
      </c>
    </row>
    <row r="43" spans="1:46">
      <c r="AE43" s="11" t="s">
        <v>246</v>
      </c>
      <c r="AF43" s="11">
        <v>10</v>
      </c>
      <c r="AG43" s="11" t="s">
        <v>227</v>
      </c>
      <c r="AH43" s="11" t="s">
        <v>247</v>
      </c>
      <c r="AR43" s="11" t="s">
        <v>264</v>
      </c>
      <c r="AS43" s="11">
        <v>25</v>
      </c>
      <c r="AT43" s="11" t="s">
        <v>227</v>
      </c>
    </row>
    <row r="44" spans="1:46">
      <c r="AE44" s="11" t="s">
        <v>264</v>
      </c>
      <c r="AF44" s="11">
        <v>25</v>
      </c>
      <c r="AG44" s="11" t="s">
        <v>227</v>
      </c>
      <c r="AH44" s="11" t="s">
        <v>265</v>
      </c>
      <c r="AR44" s="11" t="s">
        <v>277</v>
      </c>
      <c r="AS44" s="11">
        <v>2</v>
      </c>
      <c r="AT44" s="11" t="s">
        <v>227</v>
      </c>
    </row>
    <row r="45" spans="1:46">
      <c r="AE45" s="11" t="s">
        <v>277</v>
      </c>
      <c r="AF45" s="11">
        <v>2</v>
      </c>
      <c r="AG45" s="11" t="s">
        <v>227</v>
      </c>
      <c r="AH45" s="11" t="s">
        <v>278</v>
      </c>
      <c r="AR45" s="11" t="s">
        <v>362</v>
      </c>
      <c r="AS45" s="11">
        <v>5</v>
      </c>
      <c r="AT45" s="11" t="s">
        <v>138</v>
      </c>
    </row>
    <row r="46" spans="1:46">
      <c r="AR46" s="11" t="s">
        <v>363</v>
      </c>
      <c r="AS46" s="11">
        <v>5</v>
      </c>
      <c r="AT46" s="11" t="s">
        <v>138</v>
      </c>
    </row>
    <row r="47" spans="1:46">
      <c r="AR47" s="11" t="s">
        <v>364</v>
      </c>
      <c r="AS47" s="11">
        <v>5</v>
      </c>
      <c r="AT47" s="11" t="s">
        <v>138</v>
      </c>
    </row>
    <row r="48" spans="1:46">
      <c r="AR48" s="11" t="s">
        <v>365</v>
      </c>
      <c r="AS48" s="11">
        <v>5</v>
      </c>
      <c r="AT48" s="11" t="s">
        <v>138</v>
      </c>
    </row>
    <row r="49" spans="44:46">
      <c r="AR49" s="11" t="s">
        <v>366</v>
      </c>
      <c r="AS49" s="11">
        <v>5</v>
      </c>
      <c r="AT49" s="11" t="s">
        <v>138</v>
      </c>
    </row>
    <row r="50" spans="44:46">
      <c r="AR50" s="11" t="s">
        <v>367</v>
      </c>
      <c r="AS50" s="11">
        <v>5</v>
      </c>
      <c r="AT50" s="11" t="s">
        <v>138</v>
      </c>
    </row>
    <row r="51" spans="44:46">
      <c r="AR51" s="11" t="s">
        <v>368</v>
      </c>
      <c r="AS51" s="11">
        <v>5</v>
      </c>
      <c r="AT51" s="11" t="s">
        <v>138</v>
      </c>
    </row>
    <row r="52" spans="44:46">
      <c r="AR52" s="11" t="s">
        <v>369</v>
      </c>
      <c r="AS52" s="11">
        <v>5</v>
      </c>
      <c r="AT52" s="11" t="s">
        <v>138</v>
      </c>
    </row>
    <row r="53" spans="44:46">
      <c r="AR53" s="11" t="s">
        <v>370</v>
      </c>
      <c r="AS53" s="11">
        <v>5</v>
      </c>
      <c r="AT53" s="11" t="s">
        <v>138</v>
      </c>
    </row>
    <row r="54" spans="44:46">
      <c r="AR54" s="11" t="s">
        <v>371</v>
      </c>
      <c r="AS54" s="11">
        <v>5</v>
      </c>
      <c r="AT54" s="11" t="s">
        <v>138</v>
      </c>
    </row>
    <row r="55" spans="44:46">
      <c r="AR55" s="11" t="s">
        <v>372</v>
      </c>
      <c r="AS55" s="11">
        <v>5</v>
      </c>
      <c r="AT55" s="11" t="s">
        <v>138</v>
      </c>
    </row>
    <row r="56" spans="44:46">
      <c r="AR56" s="11" t="s">
        <v>373</v>
      </c>
      <c r="AS56" s="11">
        <v>5</v>
      </c>
      <c r="AT56" s="11" t="s">
        <v>138</v>
      </c>
    </row>
    <row r="57" spans="44:46">
      <c r="AR57" s="11" t="s">
        <v>374</v>
      </c>
      <c r="AS57" s="11">
        <v>5</v>
      </c>
      <c r="AT57" s="11" t="s">
        <v>138</v>
      </c>
    </row>
    <row r="58" spans="44:46">
      <c r="AR58" s="11" t="s">
        <v>375</v>
      </c>
      <c r="AS58" s="11">
        <v>5</v>
      </c>
      <c r="AT58" s="11" t="s">
        <v>181</v>
      </c>
    </row>
    <row r="59" spans="44:46">
      <c r="AR59" s="11" t="s">
        <v>376</v>
      </c>
      <c r="AS59" s="11">
        <v>5</v>
      </c>
      <c r="AT59" s="11" t="s">
        <v>181</v>
      </c>
    </row>
    <row r="60" spans="44:46">
      <c r="AR60" s="11" t="s">
        <v>377</v>
      </c>
      <c r="AS60" s="11">
        <v>5</v>
      </c>
      <c r="AT60" s="11" t="s">
        <v>181</v>
      </c>
    </row>
    <row r="61" spans="44:46">
      <c r="AR61" s="11" t="s">
        <v>378</v>
      </c>
      <c r="AS61" s="11">
        <v>5</v>
      </c>
      <c r="AT61" s="11" t="s">
        <v>181</v>
      </c>
    </row>
    <row r="62" spans="44:46">
      <c r="AR62" s="11" t="s">
        <v>379</v>
      </c>
      <c r="AS62" s="11">
        <v>10</v>
      </c>
      <c r="AT62" s="11" t="s">
        <v>181</v>
      </c>
    </row>
    <row r="81" spans="21:23">
      <c r="U81" s="11" t="str">
        <f t="shared" ref="U81:U133" si="0">IF(ROW()-1&lt;=COUNTA($A$5:$A$300)+4,INDEX($A:$A,ROW()-1),"")</f>
        <v/>
      </c>
      <c r="V81" s="11" t="str">
        <f t="shared" ref="V81:V133" si="1">IF(ROW()-1&lt;=COUNTA($F$5:$F$300)+4,INDEX($F:$F,ROW()-1),"")</f>
        <v/>
      </c>
      <c r="W81" s="11" t="str">
        <f t="shared" ref="W81:W133" si="2">IF(ROW()-1&lt;=COUNTA($K$5:$K$300)+4,INDEX($K:$K,ROW()-1),"")</f>
        <v/>
      </c>
    </row>
    <row r="82" spans="21:23">
      <c r="U82" s="11" t="str">
        <f t="shared" si="0"/>
        <v/>
      </c>
      <c r="V82" s="11" t="str">
        <f t="shared" si="1"/>
        <v/>
      </c>
      <c r="W82" s="11" t="str">
        <f t="shared" si="2"/>
        <v/>
      </c>
    </row>
    <row r="83" spans="21:23">
      <c r="U83" s="11" t="str">
        <f t="shared" si="0"/>
        <v/>
      </c>
      <c r="V83" s="11" t="str">
        <f t="shared" si="1"/>
        <v/>
      </c>
      <c r="W83" s="11" t="str">
        <f t="shared" si="2"/>
        <v/>
      </c>
    </row>
    <row r="84" spans="21:23">
      <c r="U84" s="11" t="str">
        <f t="shared" si="0"/>
        <v/>
      </c>
      <c r="V84" s="11" t="str">
        <f t="shared" si="1"/>
        <v/>
      </c>
      <c r="W84" s="11" t="str">
        <f t="shared" si="2"/>
        <v/>
      </c>
    </row>
    <row r="85" spans="21:23">
      <c r="U85" s="11" t="str">
        <f t="shared" si="0"/>
        <v/>
      </c>
      <c r="V85" s="11" t="str">
        <f t="shared" si="1"/>
        <v/>
      </c>
      <c r="W85" s="11" t="str">
        <f t="shared" si="2"/>
        <v/>
      </c>
    </row>
    <row r="86" spans="21:23">
      <c r="U86" s="11" t="str">
        <f t="shared" si="0"/>
        <v/>
      </c>
      <c r="V86" s="11" t="str">
        <f t="shared" si="1"/>
        <v/>
      </c>
      <c r="W86" s="11" t="str">
        <f t="shared" si="2"/>
        <v/>
      </c>
    </row>
    <row r="87" spans="21:23">
      <c r="U87" s="11" t="str">
        <f t="shared" si="0"/>
        <v/>
      </c>
      <c r="V87" s="11" t="str">
        <f t="shared" si="1"/>
        <v/>
      </c>
      <c r="W87" s="11" t="str">
        <f t="shared" si="2"/>
        <v/>
      </c>
    </row>
    <row r="88" spans="21:23">
      <c r="U88" s="11" t="str">
        <f t="shared" si="0"/>
        <v/>
      </c>
      <c r="V88" s="11" t="str">
        <f t="shared" si="1"/>
        <v/>
      </c>
      <c r="W88" s="11" t="str">
        <f t="shared" si="2"/>
        <v/>
      </c>
    </row>
    <row r="89" spans="21:23">
      <c r="U89" s="11" t="str">
        <f t="shared" si="0"/>
        <v/>
      </c>
      <c r="V89" s="11" t="str">
        <f t="shared" si="1"/>
        <v/>
      </c>
      <c r="W89" s="11" t="str">
        <f t="shared" si="2"/>
        <v/>
      </c>
    </row>
    <row r="90" spans="21:23">
      <c r="U90" s="11" t="str">
        <f t="shared" si="0"/>
        <v/>
      </c>
      <c r="V90" s="11" t="str">
        <f t="shared" si="1"/>
        <v/>
      </c>
      <c r="W90" s="11" t="str">
        <f t="shared" si="2"/>
        <v/>
      </c>
    </row>
    <row r="91" spans="21:23">
      <c r="U91" s="11" t="str">
        <f t="shared" si="0"/>
        <v/>
      </c>
      <c r="V91" s="11" t="str">
        <f t="shared" si="1"/>
        <v/>
      </c>
      <c r="W91" s="11" t="str">
        <f t="shared" si="2"/>
        <v/>
      </c>
    </row>
    <row r="92" spans="21:23">
      <c r="U92" s="11" t="str">
        <f t="shared" si="0"/>
        <v/>
      </c>
      <c r="V92" s="11" t="str">
        <f t="shared" si="1"/>
        <v/>
      </c>
      <c r="W92" s="11" t="str">
        <f t="shared" si="2"/>
        <v/>
      </c>
    </row>
    <row r="93" spans="21:23">
      <c r="U93" s="11" t="str">
        <f t="shared" si="0"/>
        <v/>
      </c>
      <c r="V93" s="11" t="str">
        <f t="shared" si="1"/>
        <v/>
      </c>
      <c r="W93" s="11" t="str">
        <f t="shared" si="2"/>
        <v/>
      </c>
    </row>
    <row r="94" spans="21:23">
      <c r="U94" s="11" t="str">
        <f t="shared" si="0"/>
        <v/>
      </c>
      <c r="V94" s="11" t="str">
        <f t="shared" si="1"/>
        <v/>
      </c>
      <c r="W94" s="11" t="str">
        <f t="shared" si="2"/>
        <v/>
      </c>
    </row>
    <row r="95" spans="21:23">
      <c r="U95" s="11" t="str">
        <f t="shared" si="0"/>
        <v/>
      </c>
      <c r="V95" s="11" t="str">
        <f t="shared" si="1"/>
        <v/>
      </c>
      <c r="W95" s="11" t="str">
        <f t="shared" si="2"/>
        <v/>
      </c>
    </row>
    <row r="96" spans="21:23">
      <c r="U96" s="11" t="str">
        <f t="shared" si="0"/>
        <v/>
      </c>
      <c r="V96" s="11" t="str">
        <f t="shared" si="1"/>
        <v/>
      </c>
      <c r="W96" s="11" t="str">
        <f t="shared" si="2"/>
        <v/>
      </c>
    </row>
    <row r="97" spans="21:23">
      <c r="U97" s="11" t="str">
        <f t="shared" si="0"/>
        <v/>
      </c>
      <c r="V97" s="11" t="str">
        <f t="shared" si="1"/>
        <v/>
      </c>
      <c r="W97" s="11" t="str">
        <f t="shared" si="2"/>
        <v/>
      </c>
    </row>
    <row r="98" spans="21:23">
      <c r="U98" s="11" t="str">
        <f t="shared" si="0"/>
        <v/>
      </c>
      <c r="V98" s="11" t="str">
        <f t="shared" si="1"/>
        <v/>
      </c>
      <c r="W98" s="11" t="str">
        <f t="shared" si="2"/>
        <v/>
      </c>
    </row>
    <row r="99" spans="21:23">
      <c r="U99" s="11" t="str">
        <f t="shared" si="0"/>
        <v/>
      </c>
      <c r="V99" s="11" t="str">
        <f t="shared" si="1"/>
        <v/>
      </c>
      <c r="W99" s="11" t="str">
        <f t="shared" si="2"/>
        <v/>
      </c>
    </row>
    <row r="100" spans="21:23">
      <c r="U100" s="11" t="str">
        <f t="shared" si="0"/>
        <v/>
      </c>
      <c r="V100" s="11" t="str">
        <f t="shared" si="1"/>
        <v/>
      </c>
      <c r="W100" s="11" t="str">
        <f t="shared" si="2"/>
        <v/>
      </c>
    </row>
    <row r="101" spans="21:23">
      <c r="U101" s="11" t="str">
        <f t="shared" si="0"/>
        <v/>
      </c>
      <c r="V101" s="11" t="str">
        <f t="shared" si="1"/>
        <v/>
      </c>
      <c r="W101" s="11" t="str">
        <f t="shared" si="2"/>
        <v/>
      </c>
    </row>
    <row r="102" spans="21:23">
      <c r="U102" s="11" t="str">
        <f t="shared" si="0"/>
        <v/>
      </c>
      <c r="V102" s="11" t="str">
        <f t="shared" si="1"/>
        <v/>
      </c>
      <c r="W102" s="11" t="str">
        <f t="shared" si="2"/>
        <v/>
      </c>
    </row>
    <row r="103" spans="21:23">
      <c r="U103" s="11" t="str">
        <f t="shared" si="0"/>
        <v/>
      </c>
      <c r="V103" s="11" t="str">
        <f t="shared" si="1"/>
        <v/>
      </c>
      <c r="W103" s="11" t="str">
        <f t="shared" si="2"/>
        <v/>
      </c>
    </row>
    <row r="104" spans="21:23">
      <c r="U104" s="11" t="str">
        <f t="shared" si="0"/>
        <v/>
      </c>
      <c r="V104" s="11" t="str">
        <f t="shared" si="1"/>
        <v/>
      </c>
      <c r="W104" s="11" t="str">
        <f t="shared" si="2"/>
        <v/>
      </c>
    </row>
    <row r="105" spans="21:23">
      <c r="U105" s="11" t="str">
        <f t="shared" si="0"/>
        <v/>
      </c>
      <c r="V105" s="11" t="str">
        <f t="shared" si="1"/>
        <v/>
      </c>
      <c r="W105" s="11" t="str">
        <f t="shared" si="2"/>
        <v/>
      </c>
    </row>
    <row r="106" spans="21:23">
      <c r="U106" s="11" t="str">
        <f t="shared" si="0"/>
        <v/>
      </c>
      <c r="V106" s="11" t="str">
        <f t="shared" si="1"/>
        <v/>
      </c>
      <c r="W106" s="11" t="str">
        <f t="shared" si="2"/>
        <v/>
      </c>
    </row>
    <row r="107" spans="21:23">
      <c r="U107" s="11" t="str">
        <f t="shared" si="0"/>
        <v/>
      </c>
      <c r="V107" s="11" t="str">
        <f t="shared" si="1"/>
        <v/>
      </c>
      <c r="W107" s="11" t="str">
        <f t="shared" si="2"/>
        <v/>
      </c>
    </row>
    <row r="108" spans="21:23">
      <c r="U108" s="11" t="str">
        <f t="shared" si="0"/>
        <v/>
      </c>
      <c r="V108" s="11" t="str">
        <f t="shared" si="1"/>
        <v/>
      </c>
      <c r="W108" s="11" t="str">
        <f t="shared" si="2"/>
        <v/>
      </c>
    </row>
    <row r="109" spans="21:23">
      <c r="U109" s="11" t="str">
        <f t="shared" si="0"/>
        <v/>
      </c>
      <c r="V109" s="11" t="str">
        <f t="shared" si="1"/>
        <v/>
      </c>
      <c r="W109" s="11" t="str">
        <f t="shared" si="2"/>
        <v/>
      </c>
    </row>
    <row r="110" spans="21:23">
      <c r="U110" s="11" t="str">
        <f t="shared" si="0"/>
        <v/>
      </c>
      <c r="V110" s="11" t="str">
        <f t="shared" si="1"/>
        <v/>
      </c>
      <c r="W110" s="11" t="str">
        <f t="shared" si="2"/>
        <v/>
      </c>
    </row>
    <row r="111" spans="21:23">
      <c r="U111" s="11" t="str">
        <f t="shared" si="0"/>
        <v/>
      </c>
      <c r="V111" s="11" t="str">
        <f t="shared" si="1"/>
        <v/>
      </c>
      <c r="W111" s="11" t="str">
        <f t="shared" si="2"/>
        <v/>
      </c>
    </row>
    <row r="112" spans="21:23">
      <c r="U112" s="11" t="str">
        <f t="shared" si="0"/>
        <v/>
      </c>
      <c r="V112" s="11" t="str">
        <f t="shared" si="1"/>
        <v/>
      </c>
      <c r="W112" s="11" t="str">
        <f t="shared" si="2"/>
        <v/>
      </c>
    </row>
    <row r="113" spans="21:23">
      <c r="U113" s="11" t="str">
        <f t="shared" si="0"/>
        <v/>
      </c>
      <c r="V113" s="11" t="str">
        <f t="shared" si="1"/>
        <v/>
      </c>
      <c r="W113" s="11" t="str">
        <f t="shared" si="2"/>
        <v/>
      </c>
    </row>
    <row r="114" spans="21:23">
      <c r="U114" s="11" t="str">
        <f t="shared" si="0"/>
        <v/>
      </c>
      <c r="V114" s="11" t="str">
        <f t="shared" si="1"/>
        <v/>
      </c>
      <c r="W114" s="11" t="str">
        <f t="shared" si="2"/>
        <v/>
      </c>
    </row>
    <row r="115" spans="21:23">
      <c r="U115" s="11" t="str">
        <f t="shared" si="0"/>
        <v/>
      </c>
      <c r="V115" s="11" t="str">
        <f t="shared" si="1"/>
        <v/>
      </c>
      <c r="W115" s="11" t="str">
        <f t="shared" si="2"/>
        <v/>
      </c>
    </row>
    <row r="116" spans="21:23">
      <c r="U116" s="11" t="str">
        <f t="shared" si="0"/>
        <v/>
      </c>
      <c r="V116" s="11" t="str">
        <f t="shared" si="1"/>
        <v/>
      </c>
      <c r="W116" s="11" t="str">
        <f t="shared" si="2"/>
        <v/>
      </c>
    </row>
    <row r="117" spans="21:23">
      <c r="U117" s="11" t="str">
        <f t="shared" si="0"/>
        <v/>
      </c>
      <c r="V117" s="11" t="str">
        <f t="shared" si="1"/>
        <v/>
      </c>
      <c r="W117" s="11" t="str">
        <f t="shared" si="2"/>
        <v/>
      </c>
    </row>
    <row r="118" spans="21:23">
      <c r="U118" s="11" t="str">
        <f t="shared" si="0"/>
        <v/>
      </c>
      <c r="V118" s="11" t="str">
        <f t="shared" si="1"/>
        <v/>
      </c>
      <c r="W118" s="11" t="str">
        <f t="shared" si="2"/>
        <v/>
      </c>
    </row>
    <row r="119" spans="21:23">
      <c r="U119" s="11" t="str">
        <f t="shared" si="0"/>
        <v/>
      </c>
      <c r="V119" s="11" t="str">
        <f t="shared" si="1"/>
        <v/>
      </c>
      <c r="W119" s="11" t="str">
        <f t="shared" si="2"/>
        <v/>
      </c>
    </row>
    <row r="120" spans="21:23">
      <c r="U120" s="11" t="str">
        <f t="shared" si="0"/>
        <v/>
      </c>
      <c r="V120" s="11" t="str">
        <f t="shared" si="1"/>
        <v/>
      </c>
      <c r="W120" s="11" t="str">
        <f t="shared" si="2"/>
        <v/>
      </c>
    </row>
    <row r="121" spans="21:23">
      <c r="U121" s="11" t="str">
        <f t="shared" si="0"/>
        <v/>
      </c>
      <c r="V121" s="11" t="str">
        <f t="shared" si="1"/>
        <v/>
      </c>
      <c r="W121" s="11" t="str">
        <f t="shared" si="2"/>
        <v/>
      </c>
    </row>
    <row r="122" spans="21:23">
      <c r="U122" s="11" t="str">
        <f t="shared" si="0"/>
        <v/>
      </c>
      <c r="V122" s="11" t="str">
        <f t="shared" si="1"/>
        <v/>
      </c>
      <c r="W122" s="11" t="str">
        <f t="shared" si="2"/>
        <v/>
      </c>
    </row>
    <row r="123" spans="21:23">
      <c r="U123" s="11" t="str">
        <f t="shared" si="0"/>
        <v/>
      </c>
      <c r="V123" s="11" t="str">
        <f t="shared" si="1"/>
        <v/>
      </c>
      <c r="W123" s="11" t="str">
        <f t="shared" si="2"/>
        <v/>
      </c>
    </row>
    <row r="124" spans="21:23">
      <c r="U124" s="11" t="str">
        <f t="shared" si="0"/>
        <v/>
      </c>
      <c r="V124" s="11" t="str">
        <f t="shared" si="1"/>
        <v/>
      </c>
      <c r="W124" s="11" t="str">
        <f t="shared" si="2"/>
        <v/>
      </c>
    </row>
    <row r="125" spans="21:23">
      <c r="U125" s="11" t="str">
        <f t="shared" si="0"/>
        <v/>
      </c>
      <c r="V125" s="11" t="str">
        <f t="shared" si="1"/>
        <v/>
      </c>
      <c r="W125" s="11" t="str">
        <f t="shared" si="2"/>
        <v/>
      </c>
    </row>
    <row r="126" spans="21:23">
      <c r="U126" s="11" t="str">
        <f t="shared" si="0"/>
        <v/>
      </c>
      <c r="V126" s="11" t="str">
        <f t="shared" si="1"/>
        <v/>
      </c>
      <c r="W126" s="11" t="str">
        <f t="shared" si="2"/>
        <v/>
      </c>
    </row>
    <row r="127" spans="21:23">
      <c r="U127" s="11" t="str">
        <f t="shared" si="0"/>
        <v/>
      </c>
      <c r="V127" s="11" t="str">
        <f t="shared" si="1"/>
        <v/>
      </c>
      <c r="W127" s="11" t="str">
        <f t="shared" si="2"/>
        <v/>
      </c>
    </row>
    <row r="128" spans="21:23">
      <c r="U128" s="11" t="str">
        <f t="shared" si="0"/>
        <v/>
      </c>
      <c r="V128" s="11" t="str">
        <f t="shared" si="1"/>
        <v/>
      </c>
      <c r="W128" s="11" t="str">
        <f t="shared" si="2"/>
        <v/>
      </c>
    </row>
    <row r="129" spans="21:23">
      <c r="U129" s="11" t="str">
        <f t="shared" si="0"/>
        <v/>
      </c>
      <c r="V129" s="11" t="str">
        <f t="shared" si="1"/>
        <v/>
      </c>
      <c r="W129" s="11" t="str">
        <f t="shared" si="2"/>
        <v/>
      </c>
    </row>
    <row r="130" spans="21:23">
      <c r="U130" s="11" t="str">
        <f t="shared" si="0"/>
        <v/>
      </c>
      <c r="V130" s="11" t="str">
        <f t="shared" si="1"/>
        <v/>
      </c>
      <c r="W130" s="11" t="str">
        <f t="shared" si="2"/>
        <v/>
      </c>
    </row>
    <row r="131" spans="21:23">
      <c r="U131" s="11" t="str">
        <f t="shared" si="0"/>
        <v/>
      </c>
      <c r="V131" s="11" t="str">
        <f t="shared" si="1"/>
        <v/>
      </c>
      <c r="W131" s="11" t="str">
        <f t="shared" si="2"/>
        <v/>
      </c>
    </row>
    <row r="132" spans="21:23">
      <c r="U132" s="11" t="str">
        <f t="shared" si="0"/>
        <v/>
      </c>
      <c r="V132" s="11" t="str">
        <f t="shared" si="1"/>
        <v/>
      </c>
      <c r="W132" s="11" t="str">
        <f t="shared" si="2"/>
        <v/>
      </c>
    </row>
    <row r="133" spans="21:23">
      <c r="U133" s="11" t="str">
        <f t="shared" si="0"/>
        <v/>
      </c>
      <c r="V133" s="11" t="str">
        <f t="shared" si="1"/>
        <v/>
      </c>
      <c r="W133" s="11" t="str">
        <f t="shared" si="2"/>
        <v/>
      </c>
    </row>
    <row r="134" spans="21:23">
      <c r="U134" s="11" t="str">
        <f t="shared" ref="U134:U197" si="3">IF(ROW()-1&lt;=COUNTA($A$5:$A$300)+4,INDEX($A:$A,ROW()-1),"")</f>
        <v/>
      </c>
      <c r="V134" s="11" t="str">
        <f t="shared" ref="V134:V197" si="4">IF(ROW()-1&lt;=COUNTA($F$5:$F$300)+4,INDEX($F:$F,ROW()-1),"")</f>
        <v/>
      </c>
      <c r="W134" s="11" t="str">
        <f t="shared" ref="W134:W197" si="5">IF(ROW()-1&lt;=COUNTA($K$5:$K$300)+4,INDEX($K:$K,ROW()-1),"")</f>
        <v/>
      </c>
    </row>
    <row r="135" spans="21:23">
      <c r="U135" s="11" t="str">
        <f t="shared" si="3"/>
        <v/>
      </c>
      <c r="V135" s="11" t="str">
        <f t="shared" si="4"/>
        <v/>
      </c>
      <c r="W135" s="11" t="str">
        <f t="shared" si="5"/>
        <v/>
      </c>
    </row>
    <row r="136" spans="21:23">
      <c r="U136" s="11" t="str">
        <f t="shared" si="3"/>
        <v/>
      </c>
      <c r="V136" s="11" t="str">
        <f t="shared" si="4"/>
        <v/>
      </c>
      <c r="W136" s="11" t="str">
        <f t="shared" si="5"/>
        <v/>
      </c>
    </row>
    <row r="137" spans="21:23">
      <c r="U137" s="11" t="str">
        <f t="shared" si="3"/>
        <v/>
      </c>
      <c r="V137" s="11" t="str">
        <f t="shared" si="4"/>
        <v/>
      </c>
      <c r="W137" s="11" t="str">
        <f t="shared" si="5"/>
        <v/>
      </c>
    </row>
    <row r="138" spans="21:23">
      <c r="U138" s="11" t="str">
        <f t="shared" si="3"/>
        <v/>
      </c>
      <c r="V138" s="11" t="str">
        <f t="shared" si="4"/>
        <v/>
      </c>
      <c r="W138" s="11" t="str">
        <f t="shared" si="5"/>
        <v/>
      </c>
    </row>
    <row r="139" spans="21:23">
      <c r="U139" s="11" t="str">
        <f t="shared" si="3"/>
        <v/>
      </c>
      <c r="V139" s="11" t="str">
        <f t="shared" si="4"/>
        <v/>
      </c>
      <c r="W139" s="11" t="str">
        <f t="shared" si="5"/>
        <v/>
      </c>
    </row>
    <row r="140" spans="21:23">
      <c r="U140" s="11" t="str">
        <f t="shared" si="3"/>
        <v/>
      </c>
      <c r="V140" s="11" t="str">
        <f t="shared" si="4"/>
        <v/>
      </c>
      <c r="W140" s="11" t="str">
        <f t="shared" si="5"/>
        <v/>
      </c>
    </row>
    <row r="141" spans="21:23">
      <c r="U141" s="11" t="str">
        <f t="shared" si="3"/>
        <v/>
      </c>
      <c r="V141" s="11" t="str">
        <f t="shared" si="4"/>
        <v/>
      </c>
      <c r="W141" s="11" t="str">
        <f t="shared" si="5"/>
        <v/>
      </c>
    </row>
    <row r="142" spans="21:23">
      <c r="U142" s="11" t="str">
        <f t="shared" si="3"/>
        <v/>
      </c>
      <c r="V142" s="11" t="str">
        <f t="shared" si="4"/>
        <v/>
      </c>
      <c r="W142" s="11" t="str">
        <f t="shared" si="5"/>
        <v/>
      </c>
    </row>
    <row r="143" spans="21:23">
      <c r="U143" s="11" t="str">
        <f t="shared" si="3"/>
        <v/>
      </c>
      <c r="V143" s="11" t="str">
        <f t="shared" si="4"/>
        <v/>
      </c>
      <c r="W143" s="11" t="str">
        <f t="shared" si="5"/>
        <v/>
      </c>
    </row>
    <row r="144" spans="21:23">
      <c r="U144" s="11" t="str">
        <f t="shared" si="3"/>
        <v/>
      </c>
      <c r="V144" s="11" t="str">
        <f t="shared" si="4"/>
        <v/>
      </c>
      <c r="W144" s="11" t="str">
        <f t="shared" si="5"/>
        <v/>
      </c>
    </row>
    <row r="145" spans="21:23">
      <c r="U145" s="11" t="str">
        <f t="shared" si="3"/>
        <v/>
      </c>
      <c r="V145" s="11" t="str">
        <f t="shared" si="4"/>
        <v/>
      </c>
      <c r="W145" s="11" t="str">
        <f t="shared" si="5"/>
        <v/>
      </c>
    </row>
    <row r="146" spans="21:23">
      <c r="U146" s="11" t="str">
        <f t="shared" si="3"/>
        <v/>
      </c>
      <c r="V146" s="11" t="str">
        <f t="shared" si="4"/>
        <v/>
      </c>
      <c r="W146" s="11" t="str">
        <f t="shared" si="5"/>
        <v/>
      </c>
    </row>
    <row r="147" spans="21:23">
      <c r="U147" s="11" t="str">
        <f t="shared" si="3"/>
        <v/>
      </c>
      <c r="V147" s="11" t="str">
        <f t="shared" si="4"/>
        <v/>
      </c>
      <c r="W147" s="11" t="str">
        <f t="shared" si="5"/>
        <v/>
      </c>
    </row>
    <row r="148" spans="21:23">
      <c r="U148" s="11" t="str">
        <f t="shared" si="3"/>
        <v/>
      </c>
      <c r="V148" s="11" t="str">
        <f t="shared" si="4"/>
        <v/>
      </c>
      <c r="W148" s="11" t="str">
        <f t="shared" si="5"/>
        <v/>
      </c>
    </row>
    <row r="149" spans="21:23">
      <c r="U149" s="11" t="str">
        <f t="shared" si="3"/>
        <v/>
      </c>
      <c r="V149" s="11" t="str">
        <f t="shared" si="4"/>
        <v/>
      </c>
      <c r="W149" s="11" t="str">
        <f t="shared" si="5"/>
        <v/>
      </c>
    </row>
    <row r="150" spans="21:23">
      <c r="U150" s="11" t="str">
        <f t="shared" si="3"/>
        <v/>
      </c>
      <c r="V150" s="11" t="str">
        <f t="shared" si="4"/>
        <v/>
      </c>
      <c r="W150" s="11" t="str">
        <f t="shared" si="5"/>
        <v/>
      </c>
    </row>
    <row r="151" spans="21:23">
      <c r="U151" s="11" t="str">
        <f t="shared" si="3"/>
        <v/>
      </c>
      <c r="V151" s="11" t="str">
        <f t="shared" si="4"/>
        <v/>
      </c>
      <c r="W151" s="11" t="str">
        <f t="shared" si="5"/>
        <v/>
      </c>
    </row>
    <row r="152" spans="21:23">
      <c r="U152" s="11" t="str">
        <f t="shared" si="3"/>
        <v/>
      </c>
      <c r="V152" s="11" t="str">
        <f t="shared" si="4"/>
        <v/>
      </c>
      <c r="W152" s="11" t="str">
        <f t="shared" si="5"/>
        <v/>
      </c>
    </row>
    <row r="153" spans="21:23">
      <c r="U153" s="11" t="str">
        <f t="shared" si="3"/>
        <v/>
      </c>
      <c r="V153" s="11" t="str">
        <f t="shared" si="4"/>
        <v/>
      </c>
      <c r="W153" s="11" t="str">
        <f t="shared" si="5"/>
        <v/>
      </c>
    </row>
    <row r="154" spans="21:23">
      <c r="U154" s="11" t="str">
        <f t="shared" si="3"/>
        <v/>
      </c>
      <c r="V154" s="11" t="str">
        <f t="shared" si="4"/>
        <v/>
      </c>
      <c r="W154" s="11" t="str">
        <f t="shared" si="5"/>
        <v/>
      </c>
    </row>
    <row r="155" spans="21:23">
      <c r="U155" s="11" t="str">
        <f t="shared" si="3"/>
        <v/>
      </c>
      <c r="V155" s="11" t="str">
        <f t="shared" si="4"/>
        <v/>
      </c>
      <c r="W155" s="11" t="str">
        <f t="shared" si="5"/>
        <v/>
      </c>
    </row>
    <row r="156" spans="21:23">
      <c r="U156" s="11" t="str">
        <f t="shared" si="3"/>
        <v/>
      </c>
      <c r="V156" s="11" t="str">
        <f t="shared" si="4"/>
        <v/>
      </c>
      <c r="W156" s="11" t="str">
        <f t="shared" si="5"/>
        <v/>
      </c>
    </row>
    <row r="157" spans="21:23">
      <c r="U157" s="11" t="str">
        <f t="shared" si="3"/>
        <v/>
      </c>
      <c r="V157" s="11" t="str">
        <f t="shared" si="4"/>
        <v/>
      </c>
      <c r="W157" s="11" t="str">
        <f t="shared" si="5"/>
        <v/>
      </c>
    </row>
    <row r="158" spans="21:23">
      <c r="U158" s="11" t="str">
        <f t="shared" si="3"/>
        <v/>
      </c>
      <c r="V158" s="11" t="str">
        <f t="shared" si="4"/>
        <v/>
      </c>
      <c r="W158" s="11" t="str">
        <f t="shared" si="5"/>
        <v/>
      </c>
    </row>
    <row r="159" spans="21:23">
      <c r="U159" s="11" t="str">
        <f t="shared" si="3"/>
        <v/>
      </c>
      <c r="V159" s="11" t="str">
        <f t="shared" si="4"/>
        <v/>
      </c>
      <c r="W159" s="11" t="str">
        <f t="shared" si="5"/>
        <v/>
      </c>
    </row>
    <row r="160" spans="21:23">
      <c r="U160" s="11" t="str">
        <f t="shared" si="3"/>
        <v/>
      </c>
      <c r="V160" s="11" t="str">
        <f t="shared" si="4"/>
        <v/>
      </c>
      <c r="W160" s="11" t="str">
        <f t="shared" si="5"/>
        <v/>
      </c>
    </row>
    <row r="161" spans="21:23">
      <c r="U161" s="11" t="str">
        <f t="shared" si="3"/>
        <v/>
      </c>
      <c r="V161" s="11" t="str">
        <f t="shared" si="4"/>
        <v/>
      </c>
      <c r="W161" s="11" t="str">
        <f t="shared" si="5"/>
        <v/>
      </c>
    </row>
    <row r="162" spans="21:23">
      <c r="U162" s="11" t="str">
        <f t="shared" si="3"/>
        <v/>
      </c>
      <c r="V162" s="11" t="str">
        <f t="shared" si="4"/>
        <v/>
      </c>
      <c r="W162" s="11" t="str">
        <f t="shared" si="5"/>
        <v/>
      </c>
    </row>
    <row r="163" spans="21:23">
      <c r="U163" s="11" t="str">
        <f t="shared" si="3"/>
        <v/>
      </c>
      <c r="V163" s="11" t="str">
        <f t="shared" si="4"/>
        <v/>
      </c>
      <c r="W163" s="11" t="str">
        <f t="shared" si="5"/>
        <v/>
      </c>
    </row>
    <row r="164" spans="21:23">
      <c r="U164" s="11" t="str">
        <f t="shared" si="3"/>
        <v/>
      </c>
      <c r="V164" s="11" t="str">
        <f t="shared" si="4"/>
        <v/>
      </c>
      <c r="W164" s="11" t="str">
        <f t="shared" si="5"/>
        <v/>
      </c>
    </row>
    <row r="165" spans="21:23">
      <c r="U165" s="11" t="str">
        <f t="shared" si="3"/>
        <v/>
      </c>
      <c r="V165" s="11" t="str">
        <f t="shared" si="4"/>
        <v/>
      </c>
      <c r="W165" s="11" t="str">
        <f t="shared" si="5"/>
        <v/>
      </c>
    </row>
    <row r="166" spans="21:23">
      <c r="U166" s="11" t="str">
        <f t="shared" si="3"/>
        <v/>
      </c>
      <c r="V166" s="11" t="str">
        <f t="shared" si="4"/>
        <v/>
      </c>
      <c r="W166" s="11" t="str">
        <f t="shared" si="5"/>
        <v/>
      </c>
    </row>
    <row r="167" spans="21:23">
      <c r="U167" s="11" t="str">
        <f t="shared" si="3"/>
        <v/>
      </c>
      <c r="V167" s="11" t="str">
        <f t="shared" si="4"/>
        <v/>
      </c>
      <c r="W167" s="11" t="str">
        <f t="shared" si="5"/>
        <v/>
      </c>
    </row>
    <row r="168" spans="21:23">
      <c r="U168" s="11" t="str">
        <f t="shared" si="3"/>
        <v/>
      </c>
      <c r="V168" s="11" t="str">
        <f t="shared" si="4"/>
        <v/>
      </c>
      <c r="W168" s="11" t="str">
        <f t="shared" si="5"/>
        <v/>
      </c>
    </row>
    <row r="169" spans="21:23">
      <c r="U169" s="11" t="str">
        <f t="shared" si="3"/>
        <v/>
      </c>
      <c r="V169" s="11" t="str">
        <f t="shared" si="4"/>
        <v/>
      </c>
      <c r="W169" s="11" t="str">
        <f t="shared" si="5"/>
        <v/>
      </c>
    </row>
    <row r="170" spans="21:23">
      <c r="U170" s="11" t="str">
        <f t="shared" si="3"/>
        <v/>
      </c>
      <c r="V170" s="11" t="str">
        <f t="shared" si="4"/>
        <v/>
      </c>
      <c r="W170" s="11" t="str">
        <f t="shared" si="5"/>
        <v/>
      </c>
    </row>
    <row r="171" spans="21:23">
      <c r="U171" s="11" t="str">
        <f t="shared" si="3"/>
        <v/>
      </c>
      <c r="V171" s="11" t="str">
        <f t="shared" si="4"/>
        <v/>
      </c>
      <c r="W171" s="11" t="str">
        <f t="shared" si="5"/>
        <v/>
      </c>
    </row>
    <row r="172" spans="21:23">
      <c r="U172" s="11" t="str">
        <f t="shared" si="3"/>
        <v/>
      </c>
      <c r="V172" s="11" t="str">
        <f t="shared" si="4"/>
        <v/>
      </c>
      <c r="W172" s="11" t="str">
        <f t="shared" si="5"/>
        <v/>
      </c>
    </row>
    <row r="173" spans="21:23">
      <c r="U173" s="11" t="str">
        <f t="shared" si="3"/>
        <v/>
      </c>
      <c r="V173" s="11" t="str">
        <f t="shared" si="4"/>
        <v/>
      </c>
      <c r="W173" s="11" t="str">
        <f t="shared" si="5"/>
        <v/>
      </c>
    </row>
    <row r="174" spans="21:23">
      <c r="U174" s="11" t="str">
        <f t="shared" si="3"/>
        <v/>
      </c>
      <c r="V174" s="11" t="str">
        <f t="shared" si="4"/>
        <v/>
      </c>
      <c r="W174" s="11" t="str">
        <f t="shared" si="5"/>
        <v/>
      </c>
    </row>
    <row r="175" spans="21:23">
      <c r="U175" s="11" t="str">
        <f t="shared" si="3"/>
        <v/>
      </c>
      <c r="V175" s="11" t="str">
        <f t="shared" si="4"/>
        <v/>
      </c>
      <c r="W175" s="11" t="str">
        <f t="shared" si="5"/>
        <v/>
      </c>
    </row>
    <row r="176" spans="21:23">
      <c r="U176" s="11" t="str">
        <f t="shared" si="3"/>
        <v/>
      </c>
      <c r="V176" s="11" t="str">
        <f t="shared" si="4"/>
        <v/>
      </c>
      <c r="W176" s="11" t="str">
        <f t="shared" si="5"/>
        <v/>
      </c>
    </row>
    <row r="177" spans="21:23">
      <c r="U177" s="11" t="str">
        <f t="shared" si="3"/>
        <v/>
      </c>
      <c r="V177" s="11" t="str">
        <f t="shared" si="4"/>
        <v/>
      </c>
      <c r="W177" s="11" t="str">
        <f t="shared" si="5"/>
        <v/>
      </c>
    </row>
    <row r="178" spans="21:23">
      <c r="U178" s="11" t="str">
        <f t="shared" si="3"/>
        <v/>
      </c>
      <c r="V178" s="11" t="str">
        <f t="shared" si="4"/>
        <v/>
      </c>
      <c r="W178" s="11" t="str">
        <f t="shared" si="5"/>
        <v/>
      </c>
    </row>
    <row r="179" spans="21:23">
      <c r="U179" s="11" t="str">
        <f t="shared" si="3"/>
        <v/>
      </c>
      <c r="V179" s="11" t="str">
        <f t="shared" si="4"/>
        <v/>
      </c>
      <c r="W179" s="11" t="str">
        <f t="shared" si="5"/>
        <v/>
      </c>
    </row>
    <row r="180" spans="21:23">
      <c r="U180" s="11" t="str">
        <f t="shared" si="3"/>
        <v/>
      </c>
      <c r="V180" s="11" t="str">
        <f t="shared" si="4"/>
        <v/>
      </c>
      <c r="W180" s="11" t="str">
        <f t="shared" si="5"/>
        <v/>
      </c>
    </row>
    <row r="181" spans="21:23">
      <c r="U181" s="11" t="str">
        <f t="shared" si="3"/>
        <v/>
      </c>
      <c r="V181" s="11" t="str">
        <f t="shared" si="4"/>
        <v/>
      </c>
      <c r="W181" s="11" t="str">
        <f t="shared" si="5"/>
        <v/>
      </c>
    </row>
    <row r="182" spans="21:23">
      <c r="U182" s="11" t="str">
        <f t="shared" si="3"/>
        <v/>
      </c>
      <c r="V182" s="11" t="str">
        <f t="shared" si="4"/>
        <v/>
      </c>
      <c r="W182" s="11" t="str">
        <f t="shared" si="5"/>
        <v/>
      </c>
    </row>
    <row r="183" spans="21:23">
      <c r="U183" s="11" t="str">
        <f t="shared" si="3"/>
        <v/>
      </c>
      <c r="V183" s="11" t="str">
        <f t="shared" si="4"/>
        <v/>
      </c>
      <c r="W183" s="11" t="str">
        <f t="shared" si="5"/>
        <v/>
      </c>
    </row>
    <row r="184" spans="21:23">
      <c r="U184" s="11" t="str">
        <f t="shared" si="3"/>
        <v/>
      </c>
      <c r="V184" s="11" t="str">
        <f t="shared" si="4"/>
        <v/>
      </c>
      <c r="W184" s="11" t="str">
        <f t="shared" si="5"/>
        <v/>
      </c>
    </row>
    <row r="185" spans="21:23">
      <c r="U185" s="11" t="str">
        <f t="shared" si="3"/>
        <v/>
      </c>
      <c r="V185" s="11" t="str">
        <f t="shared" si="4"/>
        <v/>
      </c>
      <c r="W185" s="11" t="str">
        <f t="shared" si="5"/>
        <v/>
      </c>
    </row>
    <row r="186" spans="21:23">
      <c r="U186" s="11" t="str">
        <f t="shared" si="3"/>
        <v/>
      </c>
      <c r="V186" s="11" t="str">
        <f t="shared" si="4"/>
        <v/>
      </c>
      <c r="W186" s="11" t="str">
        <f t="shared" si="5"/>
        <v/>
      </c>
    </row>
    <row r="187" spans="21:23">
      <c r="U187" s="11" t="str">
        <f t="shared" si="3"/>
        <v/>
      </c>
      <c r="V187" s="11" t="str">
        <f t="shared" si="4"/>
        <v/>
      </c>
      <c r="W187" s="11" t="str">
        <f t="shared" si="5"/>
        <v/>
      </c>
    </row>
    <row r="188" spans="21:23">
      <c r="U188" s="11" t="str">
        <f t="shared" si="3"/>
        <v/>
      </c>
      <c r="V188" s="11" t="str">
        <f t="shared" si="4"/>
        <v/>
      </c>
      <c r="W188" s="11" t="str">
        <f t="shared" si="5"/>
        <v/>
      </c>
    </row>
    <row r="189" spans="21:23">
      <c r="U189" s="11" t="str">
        <f t="shared" si="3"/>
        <v/>
      </c>
      <c r="V189" s="11" t="str">
        <f t="shared" si="4"/>
        <v/>
      </c>
      <c r="W189" s="11" t="str">
        <f t="shared" si="5"/>
        <v/>
      </c>
    </row>
    <row r="190" spans="21:23">
      <c r="U190" s="11" t="str">
        <f t="shared" si="3"/>
        <v/>
      </c>
      <c r="V190" s="11" t="str">
        <f t="shared" si="4"/>
        <v/>
      </c>
      <c r="W190" s="11" t="str">
        <f t="shared" si="5"/>
        <v/>
      </c>
    </row>
    <row r="191" spans="21:23">
      <c r="U191" s="11" t="str">
        <f t="shared" si="3"/>
        <v/>
      </c>
      <c r="V191" s="11" t="str">
        <f t="shared" si="4"/>
        <v/>
      </c>
      <c r="W191" s="11" t="str">
        <f t="shared" si="5"/>
        <v/>
      </c>
    </row>
    <row r="192" spans="21:23">
      <c r="U192" s="11" t="str">
        <f t="shared" si="3"/>
        <v/>
      </c>
      <c r="V192" s="11" t="str">
        <f t="shared" si="4"/>
        <v/>
      </c>
      <c r="W192" s="11" t="str">
        <f t="shared" si="5"/>
        <v/>
      </c>
    </row>
    <row r="193" spans="21:23">
      <c r="U193" s="11" t="str">
        <f t="shared" si="3"/>
        <v/>
      </c>
      <c r="V193" s="11" t="str">
        <f t="shared" si="4"/>
        <v/>
      </c>
      <c r="W193" s="11" t="str">
        <f t="shared" si="5"/>
        <v/>
      </c>
    </row>
    <row r="194" spans="21:23">
      <c r="U194" s="11" t="str">
        <f t="shared" si="3"/>
        <v/>
      </c>
      <c r="V194" s="11" t="str">
        <f t="shared" si="4"/>
        <v/>
      </c>
      <c r="W194" s="11" t="str">
        <f t="shared" si="5"/>
        <v/>
      </c>
    </row>
    <row r="195" spans="21:23">
      <c r="U195" s="11" t="str">
        <f t="shared" si="3"/>
        <v/>
      </c>
      <c r="V195" s="11" t="str">
        <f t="shared" si="4"/>
        <v/>
      </c>
      <c r="W195" s="11" t="str">
        <f t="shared" si="5"/>
        <v/>
      </c>
    </row>
    <row r="196" spans="21:23">
      <c r="U196" s="11" t="str">
        <f t="shared" si="3"/>
        <v/>
      </c>
      <c r="V196" s="11" t="str">
        <f t="shared" si="4"/>
        <v/>
      </c>
      <c r="W196" s="11" t="str">
        <f t="shared" si="5"/>
        <v/>
      </c>
    </row>
    <row r="197" spans="21:23">
      <c r="U197" s="11" t="str">
        <f t="shared" si="3"/>
        <v/>
      </c>
      <c r="V197" s="11" t="str">
        <f t="shared" si="4"/>
        <v/>
      </c>
      <c r="W197" s="11" t="str">
        <f t="shared" si="5"/>
        <v/>
      </c>
    </row>
    <row r="198" spans="21:23">
      <c r="U198" s="11" t="str">
        <f t="shared" ref="U198:U261" si="6">IF(ROW()-1&lt;=COUNTA($A$5:$A$300)+4,INDEX($A:$A,ROW()-1),"")</f>
        <v/>
      </c>
      <c r="V198" s="11" t="str">
        <f t="shared" ref="V198:V261" si="7">IF(ROW()-1&lt;=COUNTA($F$5:$F$300)+4,INDEX($F:$F,ROW()-1),"")</f>
        <v/>
      </c>
      <c r="W198" s="11" t="str">
        <f t="shared" ref="W198:W261" si="8">IF(ROW()-1&lt;=COUNTA($K$5:$K$300)+4,INDEX($K:$K,ROW()-1),"")</f>
        <v/>
      </c>
    </row>
    <row r="199" spans="21:23">
      <c r="U199" s="11" t="str">
        <f t="shared" si="6"/>
        <v/>
      </c>
      <c r="V199" s="11" t="str">
        <f t="shared" si="7"/>
        <v/>
      </c>
      <c r="W199" s="11" t="str">
        <f t="shared" si="8"/>
        <v/>
      </c>
    </row>
    <row r="200" spans="21:23">
      <c r="U200" s="11" t="str">
        <f t="shared" si="6"/>
        <v/>
      </c>
      <c r="V200" s="11" t="str">
        <f t="shared" si="7"/>
        <v/>
      </c>
      <c r="W200" s="11" t="str">
        <f t="shared" si="8"/>
        <v/>
      </c>
    </row>
    <row r="201" spans="21:23">
      <c r="U201" s="11" t="str">
        <f t="shared" si="6"/>
        <v/>
      </c>
      <c r="V201" s="11" t="str">
        <f t="shared" si="7"/>
        <v/>
      </c>
      <c r="W201" s="11" t="str">
        <f t="shared" si="8"/>
        <v/>
      </c>
    </row>
    <row r="202" spans="21:23">
      <c r="U202" s="11" t="str">
        <f t="shared" si="6"/>
        <v/>
      </c>
      <c r="V202" s="11" t="str">
        <f t="shared" si="7"/>
        <v/>
      </c>
      <c r="W202" s="11" t="str">
        <f t="shared" si="8"/>
        <v/>
      </c>
    </row>
    <row r="203" spans="21:23">
      <c r="U203" s="11" t="str">
        <f t="shared" si="6"/>
        <v/>
      </c>
      <c r="V203" s="11" t="str">
        <f t="shared" si="7"/>
        <v/>
      </c>
      <c r="W203" s="11" t="str">
        <f t="shared" si="8"/>
        <v/>
      </c>
    </row>
    <row r="204" spans="21:23">
      <c r="U204" s="11" t="str">
        <f t="shared" si="6"/>
        <v/>
      </c>
      <c r="V204" s="11" t="str">
        <f t="shared" si="7"/>
        <v/>
      </c>
      <c r="W204" s="11" t="str">
        <f t="shared" si="8"/>
        <v/>
      </c>
    </row>
    <row r="205" spans="21:23">
      <c r="U205" s="11" t="str">
        <f t="shared" si="6"/>
        <v/>
      </c>
      <c r="V205" s="11" t="str">
        <f t="shared" si="7"/>
        <v/>
      </c>
      <c r="W205" s="11" t="str">
        <f t="shared" si="8"/>
        <v/>
      </c>
    </row>
    <row r="206" spans="21:23">
      <c r="U206" s="11" t="str">
        <f t="shared" si="6"/>
        <v/>
      </c>
      <c r="V206" s="11" t="str">
        <f t="shared" si="7"/>
        <v/>
      </c>
      <c r="W206" s="11" t="str">
        <f t="shared" si="8"/>
        <v/>
      </c>
    </row>
    <row r="207" spans="21:23">
      <c r="U207" s="11" t="str">
        <f t="shared" si="6"/>
        <v/>
      </c>
      <c r="V207" s="11" t="str">
        <f t="shared" si="7"/>
        <v/>
      </c>
      <c r="W207" s="11" t="str">
        <f t="shared" si="8"/>
        <v/>
      </c>
    </row>
    <row r="208" spans="21:23">
      <c r="U208" s="11" t="str">
        <f t="shared" si="6"/>
        <v/>
      </c>
      <c r="V208" s="11" t="str">
        <f t="shared" si="7"/>
        <v/>
      </c>
      <c r="W208" s="11" t="str">
        <f t="shared" si="8"/>
        <v/>
      </c>
    </row>
    <row r="209" spans="21:23">
      <c r="U209" s="11" t="str">
        <f t="shared" si="6"/>
        <v/>
      </c>
      <c r="V209" s="11" t="str">
        <f t="shared" si="7"/>
        <v/>
      </c>
      <c r="W209" s="11" t="str">
        <f t="shared" si="8"/>
        <v/>
      </c>
    </row>
    <row r="210" spans="21:23">
      <c r="U210" s="11" t="str">
        <f t="shared" si="6"/>
        <v/>
      </c>
      <c r="V210" s="11" t="str">
        <f t="shared" si="7"/>
        <v/>
      </c>
      <c r="W210" s="11" t="str">
        <f t="shared" si="8"/>
        <v/>
      </c>
    </row>
    <row r="211" spans="21:23">
      <c r="U211" s="11" t="str">
        <f t="shared" si="6"/>
        <v/>
      </c>
      <c r="V211" s="11" t="str">
        <f t="shared" si="7"/>
        <v/>
      </c>
      <c r="W211" s="11" t="str">
        <f t="shared" si="8"/>
        <v/>
      </c>
    </row>
    <row r="212" spans="21:23">
      <c r="U212" s="11" t="str">
        <f t="shared" si="6"/>
        <v/>
      </c>
      <c r="V212" s="11" t="str">
        <f t="shared" si="7"/>
        <v/>
      </c>
      <c r="W212" s="11" t="str">
        <f t="shared" si="8"/>
        <v/>
      </c>
    </row>
    <row r="213" spans="21:23">
      <c r="U213" s="11" t="str">
        <f t="shared" si="6"/>
        <v/>
      </c>
      <c r="V213" s="11" t="str">
        <f t="shared" si="7"/>
        <v/>
      </c>
      <c r="W213" s="11" t="str">
        <f t="shared" si="8"/>
        <v/>
      </c>
    </row>
    <row r="214" spans="21:23">
      <c r="U214" s="11" t="str">
        <f t="shared" si="6"/>
        <v/>
      </c>
      <c r="V214" s="11" t="str">
        <f t="shared" si="7"/>
        <v/>
      </c>
      <c r="W214" s="11" t="str">
        <f t="shared" si="8"/>
        <v/>
      </c>
    </row>
    <row r="215" spans="21:23">
      <c r="U215" s="11" t="str">
        <f t="shared" si="6"/>
        <v/>
      </c>
      <c r="V215" s="11" t="str">
        <f t="shared" si="7"/>
        <v/>
      </c>
      <c r="W215" s="11" t="str">
        <f t="shared" si="8"/>
        <v/>
      </c>
    </row>
    <row r="216" spans="21:23">
      <c r="U216" s="11" t="str">
        <f t="shared" si="6"/>
        <v/>
      </c>
      <c r="V216" s="11" t="str">
        <f t="shared" si="7"/>
        <v/>
      </c>
      <c r="W216" s="11" t="str">
        <f t="shared" si="8"/>
        <v/>
      </c>
    </row>
    <row r="217" spans="21:23">
      <c r="U217" s="11" t="str">
        <f t="shared" si="6"/>
        <v/>
      </c>
      <c r="V217" s="11" t="str">
        <f t="shared" si="7"/>
        <v/>
      </c>
      <c r="W217" s="11" t="str">
        <f t="shared" si="8"/>
        <v/>
      </c>
    </row>
    <row r="218" spans="21:23">
      <c r="U218" s="11" t="str">
        <f t="shared" si="6"/>
        <v/>
      </c>
      <c r="V218" s="11" t="str">
        <f t="shared" si="7"/>
        <v/>
      </c>
      <c r="W218" s="11" t="str">
        <f t="shared" si="8"/>
        <v/>
      </c>
    </row>
    <row r="219" spans="21:23">
      <c r="U219" s="11" t="str">
        <f t="shared" si="6"/>
        <v/>
      </c>
      <c r="V219" s="11" t="str">
        <f t="shared" si="7"/>
        <v/>
      </c>
      <c r="W219" s="11" t="str">
        <f t="shared" si="8"/>
        <v/>
      </c>
    </row>
    <row r="220" spans="21:23">
      <c r="U220" s="11" t="str">
        <f t="shared" si="6"/>
        <v/>
      </c>
      <c r="V220" s="11" t="str">
        <f t="shared" si="7"/>
        <v/>
      </c>
      <c r="W220" s="11" t="str">
        <f t="shared" si="8"/>
        <v/>
      </c>
    </row>
    <row r="221" spans="21:23">
      <c r="U221" s="11" t="str">
        <f t="shared" si="6"/>
        <v/>
      </c>
      <c r="V221" s="11" t="str">
        <f t="shared" si="7"/>
        <v/>
      </c>
      <c r="W221" s="11" t="str">
        <f t="shared" si="8"/>
        <v/>
      </c>
    </row>
    <row r="222" spans="21:23">
      <c r="U222" s="11" t="str">
        <f t="shared" si="6"/>
        <v/>
      </c>
      <c r="V222" s="11" t="str">
        <f t="shared" si="7"/>
        <v/>
      </c>
      <c r="W222" s="11" t="str">
        <f t="shared" si="8"/>
        <v/>
      </c>
    </row>
    <row r="223" spans="21:23">
      <c r="U223" s="11" t="str">
        <f t="shared" si="6"/>
        <v/>
      </c>
      <c r="V223" s="11" t="str">
        <f t="shared" si="7"/>
        <v/>
      </c>
      <c r="W223" s="11" t="str">
        <f t="shared" si="8"/>
        <v/>
      </c>
    </row>
    <row r="224" spans="21:23">
      <c r="U224" s="11" t="str">
        <f t="shared" si="6"/>
        <v/>
      </c>
      <c r="V224" s="11" t="str">
        <f t="shared" si="7"/>
        <v/>
      </c>
      <c r="W224" s="11" t="str">
        <f t="shared" si="8"/>
        <v/>
      </c>
    </row>
    <row r="225" spans="21:23">
      <c r="U225" s="11" t="str">
        <f t="shared" si="6"/>
        <v/>
      </c>
      <c r="V225" s="11" t="str">
        <f t="shared" si="7"/>
        <v/>
      </c>
      <c r="W225" s="11" t="str">
        <f t="shared" si="8"/>
        <v/>
      </c>
    </row>
    <row r="226" spans="21:23">
      <c r="U226" s="11" t="str">
        <f t="shared" si="6"/>
        <v/>
      </c>
      <c r="V226" s="11" t="str">
        <f t="shared" si="7"/>
        <v/>
      </c>
      <c r="W226" s="11" t="str">
        <f t="shared" si="8"/>
        <v/>
      </c>
    </row>
    <row r="227" spans="21:23">
      <c r="U227" s="11" t="str">
        <f t="shared" si="6"/>
        <v/>
      </c>
      <c r="V227" s="11" t="str">
        <f t="shared" si="7"/>
        <v/>
      </c>
      <c r="W227" s="11" t="str">
        <f t="shared" si="8"/>
        <v/>
      </c>
    </row>
    <row r="228" spans="21:23">
      <c r="U228" s="11" t="str">
        <f t="shared" si="6"/>
        <v/>
      </c>
      <c r="V228" s="11" t="str">
        <f t="shared" si="7"/>
        <v/>
      </c>
      <c r="W228" s="11" t="str">
        <f t="shared" si="8"/>
        <v/>
      </c>
    </row>
    <row r="229" spans="21:23">
      <c r="U229" s="11" t="str">
        <f t="shared" si="6"/>
        <v/>
      </c>
      <c r="V229" s="11" t="str">
        <f t="shared" si="7"/>
        <v/>
      </c>
      <c r="W229" s="11" t="str">
        <f t="shared" si="8"/>
        <v/>
      </c>
    </row>
    <row r="230" spans="21:23">
      <c r="U230" s="11" t="str">
        <f t="shared" si="6"/>
        <v/>
      </c>
      <c r="V230" s="11" t="str">
        <f t="shared" si="7"/>
        <v/>
      </c>
      <c r="W230" s="11" t="str">
        <f t="shared" si="8"/>
        <v/>
      </c>
    </row>
    <row r="231" spans="21:23">
      <c r="U231" s="11" t="str">
        <f t="shared" si="6"/>
        <v/>
      </c>
      <c r="V231" s="11" t="str">
        <f t="shared" si="7"/>
        <v/>
      </c>
      <c r="W231" s="11" t="str">
        <f t="shared" si="8"/>
        <v/>
      </c>
    </row>
    <row r="232" spans="21:23">
      <c r="U232" s="11" t="str">
        <f t="shared" si="6"/>
        <v/>
      </c>
      <c r="V232" s="11" t="str">
        <f t="shared" si="7"/>
        <v/>
      </c>
      <c r="W232" s="11" t="str">
        <f t="shared" si="8"/>
        <v/>
      </c>
    </row>
    <row r="233" spans="21:23">
      <c r="U233" s="11" t="str">
        <f t="shared" si="6"/>
        <v/>
      </c>
      <c r="V233" s="11" t="str">
        <f t="shared" si="7"/>
        <v/>
      </c>
      <c r="W233" s="11" t="str">
        <f t="shared" si="8"/>
        <v/>
      </c>
    </row>
    <row r="234" spans="21:23">
      <c r="U234" s="11" t="str">
        <f t="shared" si="6"/>
        <v/>
      </c>
      <c r="V234" s="11" t="str">
        <f t="shared" si="7"/>
        <v/>
      </c>
      <c r="W234" s="11" t="str">
        <f t="shared" si="8"/>
        <v/>
      </c>
    </row>
    <row r="235" spans="21:23">
      <c r="U235" s="11" t="str">
        <f t="shared" si="6"/>
        <v/>
      </c>
      <c r="V235" s="11" t="str">
        <f t="shared" si="7"/>
        <v/>
      </c>
      <c r="W235" s="11" t="str">
        <f t="shared" si="8"/>
        <v/>
      </c>
    </row>
    <row r="236" spans="21:23">
      <c r="U236" s="11" t="str">
        <f t="shared" si="6"/>
        <v/>
      </c>
      <c r="V236" s="11" t="str">
        <f t="shared" si="7"/>
        <v/>
      </c>
      <c r="W236" s="11" t="str">
        <f t="shared" si="8"/>
        <v/>
      </c>
    </row>
    <row r="237" spans="21:23">
      <c r="U237" s="11" t="str">
        <f t="shared" si="6"/>
        <v/>
      </c>
      <c r="V237" s="11" t="str">
        <f t="shared" si="7"/>
        <v/>
      </c>
      <c r="W237" s="11" t="str">
        <f t="shared" si="8"/>
        <v/>
      </c>
    </row>
    <row r="238" spans="21:23">
      <c r="U238" s="11" t="str">
        <f t="shared" si="6"/>
        <v/>
      </c>
      <c r="V238" s="11" t="str">
        <f t="shared" si="7"/>
        <v/>
      </c>
      <c r="W238" s="11" t="str">
        <f t="shared" si="8"/>
        <v/>
      </c>
    </row>
    <row r="239" spans="21:23">
      <c r="U239" s="11" t="str">
        <f t="shared" si="6"/>
        <v/>
      </c>
      <c r="V239" s="11" t="str">
        <f t="shared" si="7"/>
        <v/>
      </c>
      <c r="W239" s="11" t="str">
        <f t="shared" si="8"/>
        <v/>
      </c>
    </row>
    <row r="240" spans="21:23">
      <c r="U240" s="11" t="str">
        <f t="shared" si="6"/>
        <v/>
      </c>
      <c r="V240" s="11" t="str">
        <f t="shared" si="7"/>
        <v/>
      </c>
      <c r="W240" s="11" t="str">
        <f t="shared" si="8"/>
        <v/>
      </c>
    </row>
    <row r="241" spans="21:23">
      <c r="U241" s="11" t="str">
        <f t="shared" si="6"/>
        <v/>
      </c>
      <c r="V241" s="11" t="str">
        <f t="shared" si="7"/>
        <v/>
      </c>
      <c r="W241" s="11" t="str">
        <f t="shared" si="8"/>
        <v/>
      </c>
    </row>
    <row r="242" spans="21:23">
      <c r="U242" s="11" t="str">
        <f t="shared" si="6"/>
        <v/>
      </c>
      <c r="V242" s="11" t="str">
        <f t="shared" si="7"/>
        <v/>
      </c>
      <c r="W242" s="11" t="str">
        <f t="shared" si="8"/>
        <v/>
      </c>
    </row>
    <row r="243" spans="21:23">
      <c r="U243" s="11" t="str">
        <f t="shared" si="6"/>
        <v/>
      </c>
      <c r="V243" s="11" t="str">
        <f t="shared" si="7"/>
        <v/>
      </c>
      <c r="W243" s="11" t="str">
        <f t="shared" si="8"/>
        <v/>
      </c>
    </row>
    <row r="244" spans="21:23">
      <c r="U244" s="11" t="str">
        <f t="shared" si="6"/>
        <v/>
      </c>
      <c r="V244" s="11" t="str">
        <f t="shared" si="7"/>
        <v/>
      </c>
      <c r="W244" s="11" t="str">
        <f t="shared" si="8"/>
        <v/>
      </c>
    </row>
    <row r="245" spans="21:23">
      <c r="U245" s="11" t="str">
        <f t="shared" si="6"/>
        <v/>
      </c>
      <c r="V245" s="11" t="str">
        <f t="shared" si="7"/>
        <v/>
      </c>
      <c r="W245" s="11" t="str">
        <f t="shared" si="8"/>
        <v/>
      </c>
    </row>
    <row r="246" spans="21:23">
      <c r="U246" s="11" t="str">
        <f t="shared" si="6"/>
        <v/>
      </c>
      <c r="V246" s="11" t="str">
        <f t="shared" si="7"/>
        <v/>
      </c>
      <c r="W246" s="11" t="str">
        <f t="shared" si="8"/>
        <v/>
      </c>
    </row>
    <row r="247" spans="21:23">
      <c r="U247" s="11" t="str">
        <f t="shared" si="6"/>
        <v/>
      </c>
      <c r="V247" s="11" t="str">
        <f t="shared" si="7"/>
        <v/>
      </c>
      <c r="W247" s="11" t="str">
        <f t="shared" si="8"/>
        <v/>
      </c>
    </row>
    <row r="248" spans="21:23">
      <c r="U248" s="11" t="str">
        <f t="shared" si="6"/>
        <v/>
      </c>
      <c r="V248" s="11" t="str">
        <f t="shared" si="7"/>
        <v/>
      </c>
      <c r="W248" s="11" t="str">
        <f t="shared" si="8"/>
        <v/>
      </c>
    </row>
    <row r="249" spans="21:23">
      <c r="U249" s="11" t="str">
        <f t="shared" si="6"/>
        <v/>
      </c>
      <c r="V249" s="11" t="str">
        <f t="shared" si="7"/>
        <v/>
      </c>
      <c r="W249" s="11" t="str">
        <f t="shared" si="8"/>
        <v/>
      </c>
    </row>
    <row r="250" spans="21:23">
      <c r="U250" s="11" t="str">
        <f t="shared" si="6"/>
        <v/>
      </c>
      <c r="V250" s="11" t="str">
        <f t="shared" si="7"/>
        <v/>
      </c>
      <c r="W250" s="11" t="str">
        <f t="shared" si="8"/>
        <v/>
      </c>
    </row>
    <row r="251" spans="21:23">
      <c r="U251" s="11" t="str">
        <f t="shared" si="6"/>
        <v/>
      </c>
      <c r="V251" s="11" t="str">
        <f t="shared" si="7"/>
        <v/>
      </c>
      <c r="W251" s="11" t="str">
        <f t="shared" si="8"/>
        <v/>
      </c>
    </row>
    <row r="252" spans="21:23">
      <c r="U252" s="11" t="str">
        <f t="shared" si="6"/>
        <v/>
      </c>
      <c r="V252" s="11" t="str">
        <f t="shared" si="7"/>
        <v/>
      </c>
      <c r="W252" s="11" t="str">
        <f t="shared" si="8"/>
        <v/>
      </c>
    </row>
    <row r="253" spans="21:23">
      <c r="U253" s="11" t="str">
        <f t="shared" si="6"/>
        <v/>
      </c>
      <c r="V253" s="11" t="str">
        <f t="shared" si="7"/>
        <v/>
      </c>
      <c r="W253" s="11" t="str">
        <f t="shared" si="8"/>
        <v/>
      </c>
    </row>
    <row r="254" spans="21:23">
      <c r="U254" s="11" t="str">
        <f t="shared" si="6"/>
        <v/>
      </c>
      <c r="V254" s="11" t="str">
        <f t="shared" si="7"/>
        <v/>
      </c>
      <c r="W254" s="11" t="str">
        <f t="shared" si="8"/>
        <v/>
      </c>
    </row>
    <row r="255" spans="21:23">
      <c r="U255" s="11" t="str">
        <f t="shared" si="6"/>
        <v/>
      </c>
      <c r="V255" s="11" t="str">
        <f t="shared" si="7"/>
        <v/>
      </c>
      <c r="W255" s="11" t="str">
        <f t="shared" si="8"/>
        <v/>
      </c>
    </row>
    <row r="256" spans="21:23">
      <c r="U256" s="11" t="str">
        <f t="shared" si="6"/>
        <v/>
      </c>
      <c r="V256" s="11" t="str">
        <f t="shared" si="7"/>
        <v/>
      </c>
      <c r="W256" s="11" t="str">
        <f t="shared" si="8"/>
        <v/>
      </c>
    </row>
    <row r="257" spans="21:23">
      <c r="U257" s="11" t="str">
        <f t="shared" si="6"/>
        <v/>
      </c>
      <c r="V257" s="11" t="str">
        <f t="shared" si="7"/>
        <v/>
      </c>
      <c r="W257" s="11" t="str">
        <f t="shared" si="8"/>
        <v/>
      </c>
    </row>
    <row r="258" spans="21:23">
      <c r="U258" s="11" t="str">
        <f t="shared" si="6"/>
        <v/>
      </c>
      <c r="V258" s="11" t="str">
        <f t="shared" si="7"/>
        <v/>
      </c>
      <c r="W258" s="11" t="str">
        <f t="shared" si="8"/>
        <v/>
      </c>
    </row>
    <row r="259" spans="21:23">
      <c r="U259" s="11" t="str">
        <f t="shared" si="6"/>
        <v/>
      </c>
      <c r="V259" s="11" t="str">
        <f t="shared" si="7"/>
        <v/>
      </c>
      <c r="W259" s="11" t="str">
        <f t="shared" si="8"/>
        <v/>
      </c>
    </row>
    <row r="260" spans="21:23">
      <c r="U260" s="11" t="str">
        <f t="shared" si="6"/>
        <v/>
      </c>
      <c r="V260" s="11" t="str">
        <f t="shared" si="7"/>
        <v/>
      </c>
      <c r="W260" s="11" t="str">
        <f t="shared" si="8"/>
        <v/>
      </c>
    </row>
    <row r="261" spans="21:23">
      <c r="U261" s="11" t="str">
        <f t="shared" si="6"/>
        <v/>
      </c>
      <c r="V261" s="11" t="str">
        <f t="shared" si="7"/>
        <v/>
      </c>
      <c r="W261" s="11" t="str">
        <f t="shared" si="8"/>
        <v/>
      </c>
    </row>
    <row r="262" spans="21:23">
      <c r="U262" s="11" t="str">
        <f t="shared" ref="U262:U300" si="9">IF(ROW()-1&lt;=COUNTA($A$5:$A$300)+4,INDEX($A:$A,ROW()-1),"")</f>
        <v/>
      </c>
      <c r="V262" s="11" t="str">
        <f t="shared" ref="V262:V300" si="10">IF(ROW()-1&lt;=COUNTA($F$5:$F$300)+4,INDEX($F:$F,ROW()-1),"")</f>
        <v/>
      </c>
      <c r="W262" s="11" t="str">
        <f t="shared" ref="W262:W300" si="11">IF(ROW()-1&lt;=COUNTA($K$5:$K$300)+4,INDEX($K:$K,ROW()-1),"")</f>
        <v/>
      </c>
    </row>
    <row r="263" spans="21:23">
      <c r="U263" s="11" t="str">
        <f t="shared" si="9"/>
        <v/>
      </c>
      <c r="V263" s="11" t="str">
        <f t="shared" si="10"/>
        <v/>
      </c>
      <c r="W263" s="11" t="str">
        <f t="shared" si="11"/>
        <v/>
      </c>
    </row>
    <row r="264" spans="21:23">
      <c r="U264" s="11" t="str">
        <f t="shared" si="9"/>
        <v/>
      </c>
      <c r="V264" s="11" t="str">
        <f t="shared" si="10"/>
        <v/>
      </c>
      <c r="W264" s="11" t="str">
        <f t="shared" si="11"/>
        <v/>
      </c>
    </row>
    <row r="265" spans="21:23">
      <c r="U265" s="11" t="str">
        <f t="shared" si="9"/>
        <v/>
      </c>
      <c r="V265" s="11" t="str">
        <f t="shared" si="10"/>
        <v/>
      </c>
      <c r="W265" s="11" t="str">
        <f t="shared" si="11"/>
        <v/>
      </c>
    </row>
    <row r="266" spans="21:23">
      <c r="U266" s="11" t="str">
        <f t="shared" si="9"/>
        <v/>
      </c>
      <c r="V266" s="11" t="str">
        <f t="shared" si="10"/>
        <v/>
      </c>
      <c r="W266" s="11" t="str">
        <f t="shared" si="11"/>
        <v/>
      </c>
    </row>
    <row r="267" spans="21:23">
      <c r="U267" s="11" t="str">
        <f t="shared" si="9"/>
        <v/>
      </c>
      <c r="V267" s="11" t="str">
        <f t="shared" si="10"/>
        <v/>
      </c>
      <c r="W267" s="11" t="str">
        <f t="shared" si="11"/>
        <v/>
      </c>
    </row>
    <row r="268" spans="21:23">
      <c r="U268" s="11" t="str">
        <f t="shared" si="9"/>
        <v/>
      </c>
      <c r="V268" s="11" t="str">
        <f t="shared" si="10"/>
        <v/>
      </c>
      <c r="W268" s="11" t="str">
        <f t="shared" si="11"/>
        <v/>
      </c>
    </row>
    <row r="269" spans="21:23">
      <c r="U269" s="11" t="str">
        <f t="shared" si="9"/>
        <v/>
      </c>
      <c r="V269" s="11" t="str">
        <f t="shared" si="10"/>
        <v/>
      </c>
      <c r="W269" s="11" t="str">
        <f t="shared" si="11"/>
        <v/>
      </c>
    </row>
    <row r="270" spans="21:23">
      <c r="U270" s="11" t="str">
        <f t="shared" si="9"/>
        <v/>
      </c>
      <c r="V270" s="11" t="str">
        <f t="shared" si="10"/>
        <v/>
      </c>
      <c r="W270" s="11" t="str">
        <f t="shared" si="11"/>
        <v/>
      </c>
    </row>
    <row r="271" spans="21:23">
      <c r="U271" s="11" t="str">
        <f t="shared" si="9"/>
        <v/>
      </c>
      <c r="V271" s="11" t="str">
        <f t="shared" si="10"/>
        <v/>
      </c>
      <c r="W271" s="11" t="str">
        <f t="shared" si="11"/>
        <v/>
      </c>
    </row>
    <row r="272" spans="21:23">
      <c r="U272" s="11" t="str">
        <f t="shared" si="9"/>
        <v/>
      </c>
      <c r="V272" s="11" t="str">
        <f t="shared" si="10"/>
        <v/>
      </c>
      <c r="W272" s="11" t="str">
        <f t="shared" si="11"/>
        <v/>
      </c>
    </row>
    <row r="273" spans="21:23">
      <c r="U273" s="11" t="str">
        <f t="shared" si="9"/>
        <v/>
      </c>
      <c r="V273" s="11" t="str">
        <f t="shared" si="10"/>
        <v/>
      </c>
      <c r="W273" s="11" t="str">
        <f t="shared" si="11"/>
        <v/>
      </c>
    </row>
    <row r="274" spans="21:23">
      <c r="U274" s="11" t="str">
        <f t="shared" si="9"/>
        <v/>
      </c>
      <c r="V274" s="11" t="str">
        <f t="shared" si="10"/>
        <v/>
      </c>
      <c r="W274" s="11" t="str">
        <f t="shared" si="11"/>
        <v/>
      </c>
    </row>
    <row r="275" spans="21:23">
      <c r="U275" s="11" t="str">
        <f t="shared" si="9"/>
        <v/>
      </c>
      <c r="V275" s="11" t="str">
        <f t="shared" si="10"/>
        <v/>
      </c>
      <c r="W275" s="11" t="str">
        <f t="shared" si="11"/>
        <v/>
      </c>
    </row>
    <row r="276" spans="21:23">
      <c r="U276" s="11" t="str">
        <f t="shared" si="9"/>
        <v/>
      </c>
      <c r="V276" s="11" t="str">
        <f t="shared" si="10"/>
        <v/>
      </c>
      <c r="W276" s="11" t="str">
        <f t="shared" si="11"/>
        <v/>
      </c>
    </row>
    <row r="277" spans="21:23">
      <c r="U277" s="11" t="str">
        <f t="shared" si="9"/>
        <v/>
      </c>
      <c r="V277" s="11" t="str">
        <f t="shared" si="10"/>
        <v/>
      </c>
      <c r="W277" s="11" t="str">
        <f t="shared" si="11"/>
        <v/>
      </c>
    </row>
    <row r="278" spans="21:23">
      <c r="U278" s="11" t="str">
        <f t="shared" si="9"/>
        <v/>
      </c>
      <c r="V278" s="11" t="str">
        <f t="shared" si="10"/>
        <v/>
      </c>
      <c r="W278" s="11" t="str">
        <f t="shared" si="11"/>
        <v/>
      </c>
    </row>
    <row r="279" spans="21:23">
      <c r="U279" s="11" t="str">
        <f t="shared" si="9"/>
        <v/>
      </c>
      <c r="V279" s="11" t="str">
        <f t="shared" si="10"/>
        <v/>
      </c>
      <c r="W279" s="11" t="str">
        <f t="shared" si="11"/>
        <v/>
      </c>
    </row>
    <row r="280" spans="21:23">
      <c r="U280" s="11" t="str">
        <f t="shared" si="9"/>
        <v/>
      </c>
      <c r="V280" s="11" t="str">
        <f t="shared" si="10"/>
        <v/>
      </c>
      <c r="W280" s="11" t="str">
        <f t="shared" si="11"/>
        <v/>
      </c>
    </row>
    <row r="281" spans="21:23">
      <c r="U281" s="11" t="str">
        <f t="shared" si="9"/>
        <v/>
      </c>
      <c r="V281" s="11" t="str">
        <f t="shared" si="10"/>
        <v/>
      </c>
      <c r="W281" s="11" t="str">
        <f t="shared" si="11"/>
        <v/>
      </c>
    </row>
    <row r="282" spans="21:23">
      <c r="U282" s="11" t="str">
        <f t="shared" si="9"/>
        <v/>
      </c>
      <c r="V282" s="11" t="str">
        <f t="shared" si="10"/>
        <v/>
      </c>
      <c r="W282" s="11" t="str">
        <f t="shared" si="11"/>
        <v/>
      </c>
    </row>
    <row r="283" spans="21:23">
      <c r="U283" s="11" t="str">
        <f t="shared" si="9"/>
        <v/>
      </c>
      <c r="V283" s="11" t="str">
        <f t="shared" si="10"/>
        <v/>
      </c>
      <c r="W283" s="11" t="str">
        <f t="shared" si="11"/>
        <v/>
      </c>
    </row>
    <row r="284" spans="21:23">
      <c r="U284" s="11" t="str">
        <f t="shared" si="9"/>
        <v/>
      </c>
      <c r="V284" s="11" t="str">
        <f t="shared" si="10"/>
        <v/>
      </c>
      <c r="W284" s="11" t="str">
        <f t="shared" si="11"/>
        <v/>
      </c>
    </row>
    <row r="285" spans="21:23">
      <c r="U285" s="11" t="str">
        <f t="shared" si="9"/>
        <v/>
      </c>
      <c r="V285" s="11" t="str">
        <f t="shared" si="10"/>
        <v/>
      </c>
      <c r="W285" s="11" t="str">
        <f t="shared" si="11"/>
        <v/>
      </c>
    </row>
    <row r="286" spans="21:23">
      <c r="U286" s="11" t="str">
        <f t="shared" si="9"/>
        <v/>
      </c>
      <c r="V286" s="11" t="str">
        <f t="shared" si="10"/>
        <v/>
      </c>
      <c r="W286" s="11" t="str">
        <f t="shared" si="11"/>
        <v/>
      </c>
    </row>
    <row r="287" spans="21:23">
      <c r="U287" s="11" t="str">
        <f t="shared" si="9"/>
        <v/>
      </c>
      <c r="V287" s="11" t="str">
        <f t="shared" si="10"/>
        <v/>
      </c>
      <c r="W287" s="11" t="str">
        <f t="shared" si="11"/>
        <v/>
      </c>
    </row>
    <row r="288" spans="21:23">
      <c r="U288" s="11" t="str">
        <f t="shared" si="9"/>
        <v/>
      </c>
      <c r="V288" s="11" t="str">
        <f t="shared" si="10"/>
        <v/>
      </c>
      <c r="W288" s="11" t="str">
        <f t="shared" si="11"/>
        <v/>
      </c>
    </row>
    <row r="289" spans="21:23">
      <c r="U289" s="11" t="str">
        <f t="shared" si="9"/>
        <v/>
      </c>
      <c r="V289" s="11" t="str">
        <f t="shared" si="10"/>
        <v/>
      </c>
      <c r="W289" s="11" t="str">
        <f t="shared" si="11"/>
        <v/>
      </c>
    </row>
    <row r="290" spans="21:23">
      <c r="U290" s="11" t="str">
        <f t="shared" si="9"/>
        <v/>
      </c>
      <c r="V290" s="11" t="str">
        <f t="shared" si="10"/>
        <v/>
      </c>
      <c r="W290" s="11" t="str">
        <f t="shared" si="11"/>
        <v/>
      </c>
    </row>
    <row r="291" spans="21:23">
      <c r="U291" s="11" t="str">
        <f t="shared" si="9"/>
        <v/>
      </c>
      <c r="V291" s="11" t="str">
        <f t="shared" si="10"/>
        <v/>
      </c>
      <c r="W291" s="11" t="str">
        <f t="shared" si="11"/>
        <v/>
      </c>
    </row>
    <row r="292" spans="21:23">
      <c r="U292" s="11" t="str">
        <f t="shared" si="9"/>
        <v/>
      </c>
      <c r="V292" s="11" t="str">
        <f t="shared" si="10"/>
        <v/>
      </c>
      <c r="W292" s="11" t="str">
        <f t="shared" si="11"/>
        <v/>
      </c>
    </row>
    <row r="293" spans="21:23">
      <c r="U293" s="11" t="str">
        <f t="shared" si="9"/>
        <v/>
      </c>
      <c r="V293" s="11" t="str">
        <f t="shared" si="10"/>
        <v/>
      </c>
      <c r="W293" s="11" t="str">
        <f t="shared" si="11"/>
        <v/>
      </c>
    </row>
    <row r="294" spans="21:23">
      <c r="U294" s="11" t="str">
        <f t="shared" si="9"/>
        <v/>
      </c>
      <c r="V294" s="11" t="str">
        <f t="shared" si="10"/>
        <v/>
      </c>
      <c r="W294" s="11" t="str">
        <f t="shared" si="11"/>
        <v/>
      </c>
    </row>
    <row r="295" spans="21:23">
      <c r="U295" s="11" t="str">
        <f t="shared" si="9"/>
        <v/>
      </c>
      <c r="V295" s="11" t="str">
        <f t="shared" si="10"/>
        <v/>
      </c>
      <c r="W295" s="11" t="str">
        <f t="shared" si="11"/>
        <v/>
      </c>
    </row>
    <row r="296" spans="21:23">
      <c r="U296" s="11" t="str">
        <f t="shared" si="9"/>
        <v/>
      </c>
      <c r="V296" s="11" t="str">
        <f t="shared" si="10"/>
        <v/>
      </c>
      <c r="W296" s="11" t="str">
        <f t="shared" si="11"/>
        <v/>
      </c>
    </row>
    <row r="297" spans="21:23">
      <c r="U297" s="11" t="str">
        <f t="shared" si="9"/>
        <v/>
      </c>
      <c r="V297" s="11" t="str">
        <f t="shared" si="10"/>
        <v/>
      </c>
      <c r="W297" s="11" t="str">
        <f t="shared" si="11"/>
        <v/>
      </c>
    </row>
    <row r="298" spans="21:23">
      <c r="U298" s="11" t="str">
        <f t="shared" si="9"/>
        <v/>
      </c>
      <c r="V298" s="11" t="str">
        <f t="shared" si="10"/>
        <v/>
      </c>
      <c r="W298" s="11" t="str">
        <f t="shared" si="11"/>
        <v/>
      </c>
    </row>
    <row r="299" spans="21:23">
      <c r="U299" s="11" t="str">
        <f t="shared" si="9"/>
        <v/>
      </c>
      <c r="V299" s="11" t="str">
        <f t="shared" si="10"/>
        <v/>
      </c>
      <c r="W299" s="11" t="str">
        <f t="shared" si="11"/>
        <v/>
      </c>
    </row>
    <row r="300" spans="21:23">
      <c r="U300" s="11" t="str">
        <f t="shared" si="9"/>
        <v/>
      </c>
      <c r="V300" s="11" t="str">
        <f t="shared" si="10"/>
        <v/>
      </c>
      <c r="W300" s="11" t="str">
        <f t="shared" si="11"/>
        <v/>
      </c>
    </row>
  </sheetData>
  <mergeCells count="12">
    <mergeCell ref="A22:AC22"/>
    <mergeCell ref="A23:AC23"/>
    <mergeCell ref="A24:AC24"/>
    <mergeCell ref="A25:AC25"/>
    <mergeCell ref="A26:AC26"/>
    <mergeCell ref="A1:AC1"/>
    <mergeCell ref="A3:D3"/>
    <mergeCell ref="F3:I3"/>
    <mergeCell ref="K3:N3"/>
    <mergeCell ref="P3:S3"/>
    <mergeCell ref="U3:X3"/>
    <mergeCell ref="Z3:AC3"/>
  </mergeCells>
  <phoneticPr fontId="1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A9038"/>
  </sheetPr>
  <dimension ref="B1:G11"/>
  <sheetViews>
    <sheetView zoomScale="150" zoomScaleNormal="150" workbookViewId="0">
      <selection activeCell="I5" sqref="I5"/>
    </sheetView>
  </sheetViews>
  <sheetFormatPr defaultColWidth="9" defaultRowHeight="14.4"/>
  <cols>
    <col min="1" max="5" width="9" style="9"/>
    <col min="6" max="6" width="14" style="9" customWidth="1"/>
    <col min="7" max="16384" width="9" style="9"/>
  </cols>
  <sheetData>
    <row r="1" spans="2:7" ht="24" customHeight="1">
      <c r="B1" s="51" t="s">
        <v>380</v>
      </c>
      <c r="C1" s="51"/>
      <c r="D1" s="51"/>
      <c r="E1" s="51"/>
      <c r="F1" s="51"/>
      <c r="G1" s="51"/>
    </row>
    <row r="2" spans="2:7" ht="24" customHeight="1">
      <c r="B2" s="51"/>
      <c r="C2" s="51"/>
      <c r="D2" s="51"/>
      <c r="E2" s="51"/>
      <c r="F2" s="51"/>
      <c r="G2" s="51"/>
    </row>
    <row r="3" spans="2:7" ht="24" customHeight="1">
      <c r="B3" s="170" t="s">
        <v>381</v>
      </c>
      <c r="C3" s="84">
        <f>个人信息!B2</f>
        <v>0</v>
      </c>
      <c r="D3" s="170" t="s">
        <v>382</v>
      </c>
      <c r="E3" s="84">
        <f>个人信息!G2</f>
        <v>0</v>
      </c>
      <c r="F3" s="170" t="s">
        <v>383</v>
      </c>
      <c r="G3" s="84">
        <f>个人信息!A13</f>
        <v>10</v>
      </c>
    </row>
    <row r="4" spans="2:7" ht="24" customHeight="1">
      <c r="B4" s="170" t="s">
        <v>384</v>
      </c>
      <c r="C4" s="84">
        <f>个人信息!B3</f>
        <v>0</v>
      </c>
      <c r="D4" s="170" t="s">
        <v>385</v>
      </c>
      <c r="E4" s="84">
        <f>个人信息!G4</f>
        <v>0</v>
      </c>
      <c r="F4" s="170" t="s">
        <v>386</v>
      </c>
      <c r="G4" s="84">
        <f>个人信息!C13</f>
        <v>0</v>
      </c>
    </row>
    <row r="5" spans="2:7" ht="24" customHeight="1">
      <c r="B5" s="170" t="s">
        <v>387</v>
      </c>
      <c r="C5" s="84">
        <f>个人信息!B5</f>
        <v>0</v>
      </c>
      <c r="D5" s="170" t="s">
        <v>388</v>
      </c>
      <c r="E5" s="84">
        <f>个人信息!G6</f>
        <v>0</v>
      </c>
      <c r="F5" s="170" t="s">
        <v>389</v>
      </c>
      <c r="G5" s="84">
        <f>个人信息!A15</f>
        <v>0</v>
      </c>
    </row>
    <row r="6" spans="2:7" ht="24" customHeight="1">
      <c r="B6" s="170" t="s">
        <v>390</v>
      </c>
      <c r="C6" s="84">
        <f>个人信息!B9</f>
        <v>0</v>
      </c>
      <c r="D6" s="170" t="s">
        <v>391</v>
      </c>
      <c r="E6" s="84">
        <f>个人信息!G8</f>
        <v>0</v>
      </c>
      <c r="F6" s="170" t="s">
        <v>392</v>
      </c>
      <c r="G6" s="84">
        <f>个人信息!A17</f>
        <v>0</v>
      </c>
    </row>
    <row r="7" spans="2:7" ht="24" customHeight="1">
      <c r="B7" s="170" t="s">
        <v>393</v>
      </c>
      <c r="C7" s="84">
        <f>个人信息!N31</f>
        <v>20</v>
      </c>
      <c r="D7" s="170" t="s">
        <v>394</v>
      </c>
      <c r="E7" s="84">
        <f>个人信息!I2</f>
        <v>0</v>
      </c>
      <c r="F7" s="170" t="s">
        <v>395</v>
      </c>
      <c r="G7" s="84">
        <f>个人信息!L15</f>
        <v>0</v>
      </c>
    </row>
    <row r="8" spans="2:7" ht="24" customHeight="1">
      <c r="B8" s="170" t="s">
        <v>396</v>
      </c>
      <c r="C8" s="84">
        <f>个人信息!N32</f>
        <v>20</v>
      </c>
      <c r="D8" s="170" t="s">
        <v>397</v>
      </c>
      <c r="E8" s="84">
        <f>个人信息!I4</f>
        <v>0</v>
      </c>
      <c r="F8" s="170" t="s">
        <v>398</v>
      </c>
      <c r="G8" s="84">
        <f>个人信息!L13</f>
        <v>0</v>
      </c>
    </row>
    <row r="9" spans="2:7" ht="24" customHeight="1">
      <c r="B9" s="170" t="s">
        <v>399</v>
      </c>
      <c r="C9" s="84">
        <f>个人信息!N33</f>
        <v>15</v>
      </c>
      <c r="D9" s="170" t="s">
        <v>400</v>
      </c>
      <c r="E9" s="84">
        <f>个人信息!I6</f>
        <v>0</v>
      </c>
      <c r="F9" s="170" t="s">
        <v>401</v>
      </c>
      <c r="G9" s="84">
        <f>个人信息!N13</f>
        <v>0</v>
      </c>
    </row>
    <row r="10" spans="2:7" ht="24" customHeight="1">
      <c r="B10" s="170" t="s">
        <v>116</v>
      </c>
      <c r="C10" s="84">
        <f>个人信息!N44</f>
        <v>40</v>
      </c>
      <c r="D10" s="170" t="s">
        <v>402</v>
      </c>
      <c r="E10" s="84">
        <f>个人信息!I8</f>
        <v>0</v>
      </c>
      <c r="F10" s="170" t="s">
        <v>403</v>
      </c>
      <c r="G10" s="84">
        <f>个人信息!L19</f>
        <v>0</v>
      </c>
    </row>
    <row r="11" spans="2:7" ht="24" customHeight="1">
      <c r="B11" s="170" t="s">
        <v>404</v>
      </c>
      <c r="C11" s="84">
        <f>个人信息!G42</f>
        <v>10</v>
      </c>
      <c r="D11" s="170" t="s">
        <v>405</v>
      </c>
      <c r="E11" s="84">
        <f>个人信息!K2</f>
        <v>0</v>
      </c>
      <c r="F11" s="170" t="s">
        <v>406</v>
      </c>
      <c r="G11" s="84">
        <f>个人信息!N19</f>
        <v>0</v>
      </c>
    </row>
  </sheetData>
  <mergeCells count="1">
    <mergeCell ref="B1:G2"/>
  </mergeCells>
  <phoneticPr fontId="13"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基本信息</vt:lpstr>
      <vt:lpstr>个人信息</vt:lpstr>
      <vt:lpstr>书籍、特性与技能</vt:lpstr>
      <vt:lpstr>通用特性体系</vt:lpstr>
      <vt:lpstr>技能列表</vt:lpstr>
      <vt:lpstr>装备列表</vt:lpstr>
      <vt:lpstr>【药家】草药学列表</vt:lpstr>
      <vt:lpstr>随从列表</vt:lpstr>
      <vt:lpstr>【墨家】工巧格与魁人</vt:lpstr>
      <vt:lpstr>【墨家】物品库</vt:lpstr>
      <vt:lpstr>快速复制区</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陈治汝</cp:lastModifiedBy>
  <dcterms:created xsi:type="dcterms:W3CDTF">2023-05-12T11:15:00Z</dcterms:created>
  <dcterms:modified xsi:type="dcterms:W3CDTF">2026-07-04T07:37:51Z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2052-12.1.0.26895</vt:lpwstr>
  </property>
  <property fmtid="{D5CDD505-2E9C-101B-9397-08002B2CF9AE}" pid="3" name="ICV">
    <vt:lpwstr>A061DAEC98664FBFAECF57EF46140090_12</vt:lpwstr>
  </property>
  <property fmtid="{D5CDD505-2E9C-101B-9397-08002B2CF9AE}" pid="4" name="CalculationRule">
    <vt:i4>0</vt:i4>
  </property>
</Properties>
</file>