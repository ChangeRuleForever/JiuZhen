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JiuZhen\workbooks\"/>
    </mc:Choice>
  </mc:AlternateContent>
  <xr:revisionPtr revIDLastSave="0" documentId="13_ncr:1_{13899776-C5A8-4319-9AAD-80C8921049BA}" xr6:coauthVersionLast="47" xr6:coauthVersionMax="47" xr10:uidLastSave="{00000000-0000-0000-0000-000000000000}"/>
  <bookViews>
    <workbookView xWindow="-108" yWindow="-108" windowWidth="30936" windowHeight="16776" xr2:uid="{00000000-000D-0000-FFFF-FFFF00000000}"/>
  </bookViews>
  <sheets>
    <sheet name="基本信息" sheetId="7" r:id="rId1"/>
    <sheet name="个人信息" sheetId="1" r:id="rId2"/>
    <sheet name="书籍、特性与技能" sheetId="2" r:id="rId3"/>
    <sheet name="通用特性体系" sheetId="13" r:id="rId4"/>
    <sheet name="技能列表" sheetId="14" r:id="rId5"/>
    <sheet name="装备列表" sheetId="15" r:id="rId6"/>
    <sheet name="【药家】草药学列表" sheetId="16" state="hidden" r:id="rId7"/>
    <sheet name="随从列表" sheetId="17" r:id="rId8"/>
    <sheet name="【墨家】工巧格与魁人" sheetId="4" state="hidden" r:id="rId9"/>
    <sheet name="魁人面板" sheetId="6" state="veryHidden" r:id="rId10"/>
    <sheet name="【墨家】物品库" sheetId="5" state="hidden" r:id="rId11"/>
    <sheet name="快速复制区" sheetId="3"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12" i="4" l="1"/>
  <c r="R11" i="4"/>
  <c r="R10" i="4"/>
  <c r="R8" i="4"/>
  <c r="R7" i="4"/>
  <c r="R6" i="4"/>
  <c r="R4" i="4"/>
  <c r="P5" i="4"/>
  <c r="I6" i="4"/>
  <c r="I8" i="4" s="1"/>
  <c r="I5" i="4"/>
  <c r="I4" i="4"/>
  <c r="I3" i="4"/>
  <c r="R18" i="4"/>
  <c r="R19" i="4"/>
  <c r="R17" i="4"/>
  <c r="Q18" i="4"/>
  <c r="Q19" i="4"/>
  <c r="Q17" i="4"/>
  <c r="W6" i="4"/>
  <c r="W7" i="4"/>
  <c r="W8" i="4"/>
  <c r="W9" i="4"/>
  <c r="W10" i="4"/>
  <c r="W11" i="4"/>
  <c r="W12" i="4"/>
  <c r="W13" i="4"/>
  <c r="W14" i="4"/>
  <c r="W5" i="4"/>
  <c r="V6" i="4"/>
  <c r="V7" i="4"/>
  <c r="V8" i="4"/>
  <c r="V9" i="4"/>
  <c r="V10" i="4"/>
  <c r="V11" i="4"/>
  <c r="V12" i="4"/>
  <c r="V13" i="4"/>
  <c r="V14" i="4"/>
  <c r="V5" i="4"/>
  <c r="J54" i="17"/>
  <c r="J53" i="17"/>
  <c r="J52" i="17"/>
  <c r="J51" i="17"/>
  <c r="K47" i="17"/>
  <c r="K46" i="17"/>
  <c r="K45" i="17"/>
  <c r="K44" i="17"/>
  <c r="J40" i="17"/>
  <c r="J39" i="17"/>
  <c r="J38" i="17"/>
  <c r="J37" i="17"/>
  <c r="K33" i="17"/>
  <c r="K32" i="17"/>
  <c r="K31" i="17"/>
  <c r="K30" i="17"/>
  <c r="J26" i="17"/>
  <c r="J25" i="17"/>
  <c r="J24" i="17"/>
  <c r="J23" i="17"/>
  <c r="K19" i="17"/>
  <c r="K18" i="17"/>
  <c r="K17" i="17"/>
  <c r="K16" i="17"/>
  <c r="J12" i="17"/>
  <c r="J11" i="17"/>
  <c r="J10" i="17"/>
  <c r="J9" i="17"/>
  <c r="K5" i="17"/>
  <c r="K4" i="17"/>
  <c r="K3" i="17"/>
  <c r="K2" i="17"/>
  <c r="H21" i="1"/>
  <c r="H19" i="1"/>
  <c r="H17" i="1"/>
  <c r="H15" i="1"/>
  <c r="H13" i="1"/>
  <c r="B54" i="17"/>
  <c r="B53" i="17"/>
  <c r="B52" i="17"/>
  <c r="B51" i="17"/>
  <c r="B40" i="17"/>
  <c r="B39" i="17"/>
  <c r="B38" i="17"/>
  <c r="B37" i="17"/>
  <c r="B26" i="17"/>
  <c r="B25" i="17"/>
  <c r="B24" i="17"/>
  <c r="B23" i="17"/>
  <c r="B12" i="17"/>
  <c r="B11" i="17"/>
  <c r="B10" i="17"/>
  <c r="B9" i="17"/>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U20" i="2"/>
  <c r="T20" i="2"/>
  <c r="M20" i="2"/>
  <c r="J20" i="2"/>
  <c r="I20" i="2"/>
  <c r="B20" i="2"/>
  <c r="M17" i="2"/>
  <c r="M16" i="2"/>
  <c r="M15" i="2"/>
  <c r="M14" i="2"/>
  <c r="M13" i="2"/>
  <c r="M12" i="2"/>
  <c r="M11" i="2"/>
  <c r="M10" i="2"/>
  <c r="M9" i="2"/>
  <c r="M8" i="2"/>
  <c r="M7" i="2"/>
  <c r="M6" i="2"/>
  <c r="M5" i="2"/>
  <c r="M4" i="2"/>
  <c r="M3" i="2"/>
  <c r="M2"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39" i="1"/>
  <c r="C39" i="1"/>
  <c r="G39" i="1" s="1"/>
  <c r="N38" i="1"/>
  <c r="C10" i="3" s="1"/>
  <c r="I38" i="1"/>
  <c r="G38" i="1"/>
  <c r="N37" i="1"/>
  <c r="G37" i="1"/>
  <c r="N36" i="1"/>
  <c r="G36" i="1"/>
  <c r="C11" i="3" s="1"/>
  <c r="N35" i="1"/>
  <c r="G35" i="1"/>
  <c r="N34" i="1"/>
  <c r="G34" i="1"/>
  <c r="N33" i="1"/>
  <c r="G33" i="1"/>
  <c r="N32" i="1"/>
  <c r="G32" i="1"/>
  <c r="N31" i="1"/>
  <c r="G31" i="1"/>
  <c r="N30" i="1"/>
  <c r="G30" i="1"/>
  <c r="N29" i="1"/>
  <c r="G29" i="1"/>
  <c r="N28" i="1"/>
  <c r="G28" i="1"/>
  <c r="N27" i="1"/>
  <c r="C9" i="3" s="1"/>
  <c r="G27" i="1"/>
  <c r="N26" i="1"/>
  <c r="C8" i="3" s="1"/>
  <c r="G26" i="1"/>
  <c r="J25" i="1"/>
  <c r="N25" i="1" s="1"/>
  <c r="C7" i="3" s="1"/>
  <c r="G25" i="1"/>
  <c r="A13" i="1"/>
  <c r="G3" i="3" s="1"/>
  <c r="I7" i="4" l="1"/>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<sst xmlns="http://schemas.openxmlformats.org/spreadsheetml/2006/main" count="6401" uniqueCount="2661">
  <si>
    <t>基本信息</t>
  </si>
  <si>
    <t>当前主题</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</si>
  <si>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</si>
  <si>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</si>
  <si>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</si>
  <si>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</si>
  <si>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</si>
  <si>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</si>
  <si>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</si>
  <si>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</si>
  <si>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</si>
  <si>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</si>
  <si>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</si>
  <si>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</si>
  <si>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</si>
  <si>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</si>
  <si>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</si>
  <si>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</si>
  <si>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</si>
  <si>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</si>
  <si>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</si>
  <si>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</si>
  <si>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</si>
  <si>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</si>
  <si>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</si>
  <si>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</si>
  <si>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</si>
  <si>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</si>
  <si>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</si>
  <si>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</si>
  <si>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</si>
  <si>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</si>
  <si>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</si>
  <si>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</si>
  <si>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</si>
  <si>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</si>
  <si>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</si>
  <si>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</si>
  <si>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</si>
  <si>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</si>
  <si>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</si>
  <si>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</si>
  <si>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</si>
  <si>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</si>
  <si>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</si>
  <si>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</si>
  <si>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</si>
  <si>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</si>
  <si>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</si>
  <si>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</si>
  <si>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</si>
  <si>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</si>
  <si>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</si>
  <si>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</si>
  <si>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</si>
  <si>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</si>
  <si>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</si>
  <si>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</si>
  <si>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</si>
  <si>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</si>
  <si>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</si>
  <si>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</si>
  <si>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</si>
  <si>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</si>
  <si>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</si>
  <si>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</si>
  <si>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</si>
  <si>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</si>
  <si>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</si>
  <si>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</si>
  <si>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</si>
  <si>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</si>
  <si>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</si>
  <si>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</si>
  <si>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</si>
  <si>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</si>
  <si>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</si>
  <si>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</si>
  <si>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</si>
  <si>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</si>
  <si>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</si>
  <si>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</si>
  <si>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</si>
  <si>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</si>
  <si>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</si>
  <si>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</si>
  <si>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</si>
  <si>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</si>
  <si>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</si>
  <si>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</si>
  <si>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</si>
  <si>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</si>
  <si>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</si>
  <si>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</si>
  <si>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</si>
  <si>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</si>
  <si>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</si>
  <si>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</si>
  <si>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</si>
  <si>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</si>
  <si>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</si>
  <si>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</si>
  <si>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</si>
  <si>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</si>
  <si>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</si>
  <si>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</si>
  <si>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</si>
  <si>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</si>
  <si>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</si>
  <si>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</si>
  <si>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</si>
  <si>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</si>
  <si>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</si>
  <si>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</si>
  <si>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</si>
  <si>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</si>
  <si>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</si>
  <si>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</si>
  <si>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</si>
  <si>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</si>
  <si>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</si>
  <si>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</si>
  <si>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</si>
  <si>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</si>
  <si>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</si>
  <si>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</si>
  <si>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</si>
  <si>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</si>
  <si>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</si>
  <si>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</si>
  <si>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</si>
  <si>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</si>
  <si>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</si>
  <si>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</si>
  <si>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</si>
  <si>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</si>
  <si>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</si>
  <si>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</si>
  <si>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</si>
  <si>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</si>
  <si>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</si>
  <si>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</si>
  <si>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</si>
  <si>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</si>
  <si>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</si>
  <si>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</si>
  <si>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</si>
  <si>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</si>
  <si>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</si>
  <si>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</si>
  <si>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</si>
  <si>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</si>
  <si>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</si>
  <si>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</si>
  <si>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</si>
  <si>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</si>
  <si>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</si>
  <si>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</si>
  <si>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</si>
  <si>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</si>
  <si>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</si>
  <si>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</si>
  <si>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</si>
  <si>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</si>
  <si>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</si>
  <si>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</si>
  <si>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</si>
  <si>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</si>
  <si>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</si>
  <si>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</si>
  <si>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</si>
  <si>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</si>
  <si>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</si>
  <si>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</si>
  <si>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</si>
  <si>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</si>
  <si>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</si>
  <si>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</si>
  <si>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</si>
  <si>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</si>
  <si>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</si>
  <si>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</si>
  <si>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</si>
  <si>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</si>
  <si>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</si>
  <si>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</si>
  <si>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</si>
  <si>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</si>
  <si>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</si>
  <si>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</si>
  <si>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</si>
  <si>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</si>
  <si>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</si>
  <si>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</si>
  <si>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</si>
  <si>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</si>
  <si>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</si>
  <si>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</si>
  <si>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</si>
  <si>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</si>
  <si>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</si>
  <si>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</si>
  <si>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</si>
  <si>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</si>
  <si>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</si>
  <si>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</si>
  <si>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</si>
  <si>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</si>
  <si>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</si>
  <si>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</si>
  <si>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</si>
  <si>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</si>
  <si>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</si>
  <si>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</si>
  <si>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</si>
  <si>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</si>
  <si>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</si>
  <si>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</si>
  <si>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</si>
  <si>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</si>
  <si>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</si>
  <si>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</si>
  <si>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</si>
  <si>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</si>
  <si>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</si>
  <si>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</si>
  <si>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</si>
  <si>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</si>
  <si>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</si>
  <si>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</si>
  <si>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</si>
  <si>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</si>
  <si>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</si>
  <si>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</si>
  <si>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</si>
  <si>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</si>
  <si>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</si>
  <si>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</si>
  <si>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</si>
  <si>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</si>
  <si>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</si>
  <si>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</si>
  <si>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</si>
  <si>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</si>
  <si>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</si>
  <si>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</si>
  <si>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</si>
  <si>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</si>
  <si>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</si>
  <si>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</si>
  <si>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</si>
  <si>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</si>
  <si>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</si>
  <si>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</si>
  <si>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</si>
  <si>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</si>
  <si>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</si>
  <si>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</si>
  <si>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</si>
  <si>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</si>
  <si>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</si>
  <si>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</si>
  <si>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</si>
  <si>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</si>
  <si>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</si>
  <si>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</si>
  <si>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</si>
  <si>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</si>
  <si>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</si>
  <si>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</si>
  <si>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</si>
  <si>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</si>
  <si>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</si>
  <si>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</si>
  <si>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</si>
  <si>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</si>
  <si>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</si>
  <si>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</si>
  <si>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</si>
  <si>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</si>
  <si>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</si>
  <si>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</si>
  <si>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</si>
  <si>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</si>
  <si>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</si>
  <si>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</si>
  <si>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</si>
  <si>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</si>
  <si>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</si>
  <si>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</si>
  <si>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</si>
  <si>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</si>
  <si>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</si>
  <si>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</si>
  <si>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</si>
  <si>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</si>
  <si>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</si>
  <si>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</si>
  <si>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</si>
  <si>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</si>
  <si>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</si>
  <si>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</si>
  <si>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</si>
  <si>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</si>
  <si>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</si>
  <si>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</si>
  <si>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</si>
  <si>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</si>
  <si>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</si>
  <si>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</si>
  <si>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</si>
  <si>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</si>
  <si>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</si>
  <si>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</si>
  <si>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</si>
  <si>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</si>
  <si>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</si>
  <si>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</si>
  <si>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</si>
  <si>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</si>
  <si>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</si>
  <si>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</si>
  <si>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</si>
  <si>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</si>
  <si>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</si>
  <si>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</si>
  <si>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</si>
  <si>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</si>
  <si>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</si>
  <si>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</si>
  <si>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</si>
  <si>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</si>
  <si>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</si>
  <si>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</si>
  <si>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</si>
  <si>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</si>
  <si>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</si>
  <si>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</si>
  <si>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</si>
  <si>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</si>
  <si>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</si>
  <si>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</si>
  <si>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</si>
  <si>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</si>
  <si>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</si>
  <si>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</si>
  <si>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</si>
  <si>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</si>
  <si>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</si>
  <si>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</si>
  <si>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</si>
  <si>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</si>
  <si>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</si>
  <si>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</si>
  <si>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</si>
  <si>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</si>
  <si>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</si>
  <si>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</si>
  <si>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</si>
  <si>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</si>
  <si>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</si>
  <si>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</si>
  <si>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</si>
  <si>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</si>
  <si>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</si>
  <si>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</si>
  <si>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</si>
  <si>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</si>
  <si>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</si>
  <si>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</si>
  <si>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</si>
  <si>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</si>
  <si>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</si>
  <si>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</si>
  <si>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</si>
  <si>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</si>
  <si>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</si>
  <si>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</si>
  <si>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</si>
  <si>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</si>
  <si>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</si>
  <si>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</si>
  <si>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</si>
  <si>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</si>
  <si>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</si>
  <si>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</si>
  <si>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</si>
  <si>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</si>
  <si>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</si>
  <si>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</si>
  <si>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</si>
  <si>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</si>
  <si>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</si>
  <si>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</si>
  <si>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</si>
  <si>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</si>
  <si>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</si>
  <si>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</si>
  <si>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</si>
  <si>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</si>
  <si>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</si>
  <si>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</si>
  <si>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</si>
  <si>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</si>
  <si>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</si>
  <si>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</si>
  <si>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</si>
  <si>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</si>
  <si>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</si>
  <si>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</si>
  <si>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</si>
  <si>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</si>
  <si>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</si>
  <si>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</si>
  <si>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</si>
  <si>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</si>
  <si>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</si>
  <si>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</si>
  <si>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</si>
  <si>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</si>
  <si>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</si>
  <si>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</si>
  <si>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</si>
  <si>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</si>
  <si>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</si>
  <si>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</si>
  <si>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</si>
  <si>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</si>
  <si>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</si>
  <si>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</si>
  <si>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</si>
  <si>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</si>
  <si>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</si>
  <si>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</si>
  <si>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</si>
  <si>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</si>
  <si>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</si>
  <si>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</si>
  <si>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</si>
  <si>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</si>
  <si>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</si>
  <si>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</si>
  <si>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</si>
  <si>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</si>
  <si>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</si>
  <si>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</si>
  <si>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</si>
  <si>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</si>
  <si>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说明</t>
    <phoneticPr fontId="13" type="noConversion"/>
  </si>
  <si>
    <t>切换当前主题后会自动刷新配色，并按需显示墨家专属页。</t>
    <phoneticPr fontId="13" type="noConversion"/>
  </si>
  <si>
    <t>专属页说明</t>
    <phoneticPr fontId="13" type="noConversion"/>
  </si>
  <si>
    <t>家族</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</si>
  <si>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</si>
  <si>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</si>
  <si>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</si>
  <si>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</si>
  <si>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</si>
  <si>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</si>
  <si>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</si>
  <si>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</si>
  <si>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</si>
  <si>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</si>
  <si>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</si>
  <si>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</si>
  <si>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</si>
  <si>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</si>
  <si>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</si>
  <si>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</si>
  <si>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</si>
  <si>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</si>
  <si>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</si>
  <si>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</si>
  <si>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</si>
  <si>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</si>
  <si>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</si>
  <si>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</si>
  <si>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</si>
  <si>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</si>
  <si>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</si>
  <si>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</si>
  <si>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</si>
  <si>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</si>
  <si>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</si>
  <si>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</si>
  <si>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</si>
  <si>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</si>
  <si>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</si>
  <si>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</si>
  <si>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</si>
  <si>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</si>
  <si>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</si>
  <si>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</si>
  <si>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</si>
  <si>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</si>
  <si>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</si>
  <si>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</si>
  <si>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</si>
  <si>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</si>
  <si>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</si>
  <si>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</si>
  <si>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</si>
  <si>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</si>
  <si>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</si>
  <si>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</si>
  <si>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</si>
  <si>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</si>
  <si>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</si>
  <si>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</si>
  <si>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</si>
  <si>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</si>
  <si>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</si>
  <si>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</si>
  <si>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</si>
  <si>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</si>
  <si>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</si>
  <si>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</si>
  <si>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</si>
  <si>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</si>
  <si>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</si>
  <si>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</si>
  <si>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</si>
  <si>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</si>
  <si>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</si>
  <si>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</si>
  <si>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</si>
  <si>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</si>
  <si>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</si>
  <si>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</si>
  <si>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</si>
  <si>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</si>
  <si>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</si>
  <si>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</si>
  <si>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</si>
  <si>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</si>
  <si>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</si>
  <si>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</si>
  <si>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</si>
  <si>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</si>
  <si>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</si>
  <si>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</si>
  <si>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</si>
  <si>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</si>
  <si>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</si>
  <si>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</si>
  <si>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</si>
  <si>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</si>
  <si>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</si>
  <si>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</si>
  <si>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</si>
  <si>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</si>
  <si>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</si>
  <si>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</si>
  <si>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</si>
  <si>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</si>
  <si>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</si>
  <si>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</si>
  <si>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</si>
  <si>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</si>
  <si>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</si>
  <si>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</si>
  <si>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</si>
  <si>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</si>
  <si>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</si>
  <si>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</si>
  <si>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</si>
  <si>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</si>
  <si>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</si>
  <si>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</si>
  <si>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</si>
  <si>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</si>
  <si>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</si>
  <si>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</si>
  <si>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</si>
  <si>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</si>
  <si>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</si>
  <si>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</si>
  <si>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</si>
  <si>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</si>
  <si>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</si>
  <si>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</si>
  <si>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</si>
  <si>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</si>
  <si>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</si>
  <si>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</si>
  <si>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</si>
  <si>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</si>
  <si>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</si>
  <si>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</si>
  <si>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</si>
  <si>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</si>
  <si>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</si>
  <si>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</si>
  <si>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</si>
  <si>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</si>
  <si>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</si>
  <si>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</si>
  <si>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</si>
  <si>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</si>
  <si>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</si>
  <si>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</si>
  <si>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</si>
  <si>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</si>
  <si>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</si>
  <si>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</si>
  <si>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</si>
  <si>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</si>
  <si>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</si>
  <si>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</si>
  <si>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</si>
  <si>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</si>
  <si>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</si>
  <si>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</si>
  <si>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</si>
  <si>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</si>
  <si>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</si>
  <si>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</si>
  <si>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</si>
  <si>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</si>
  <si>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</si>
  <si>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</si>
  <si>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</si>
  <si>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</si>
  <si>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</si>
  <si>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</si>
  <si>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</si>
  <si>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</si>
  <si>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</si>
  <si>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</si>
  <si>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</si>
  <si>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</si>
  <si>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</si>
  <si>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</si>
  <si>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</si>
  <si>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</si>
  <si>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</si>
  <si>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</si>
  <si>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</si>
  <si>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</si>
  <si>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</si>
  <si>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</si>
  <si>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</si>
  <si>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</si>
  <si>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</si>
  <si>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</si>
  <si>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</si>
  <si>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</si>
  <si>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</si>
  <si>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</si>
  <si>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</si>
  <si>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</si>
  <si>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</si>
  <si>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</si>
  <si>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</si>
  <si>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</si>
  <si>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</si>
  <si>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</si>
  <si>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</si>
  <si>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</si>
  <si>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</si>
  <si>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</si>
  <si>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</si>
  <si>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</si>
  <si>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</si>
  <si>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</si>
  <si>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</si>
  <si>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</si>
  <si>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</si>
  <si>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</si>
  <si>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</si>
  <si>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</si>
  <si>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</si>
  <si>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</si>
  <si>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</si>
  <si>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</si>
  <si>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</si>
  <si>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</si>
  <si>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</si>
  <si>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</si>
  <si>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</si>
  <si>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</si>
  <si>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</si>
  <si>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</si>
  <si>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</si>
  <si>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</si>
  <si>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</si>
  <si>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</si>
  <si>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</si>
  <si>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</si>
  <si>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</si>
  <si>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</si>
  <si>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</si>
  <si>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</si>
  <si>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</si>
  <si>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</si>
  <si>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</si>
  <si>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</si>
  <si>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</si>
  <si>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</si>
  <si>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</si>
  <si>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</si>
  <si>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</si>
  <si>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</si>
  <si>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</si>
  <si>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</si>
  <si>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</si>
  <si>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</si>
  <si>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</si>
  <si>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</si>
  <si>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</si>
  <si>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</si>
  <si>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</si>
  <si>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</si>
  <si>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</si>
  <si>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</si>
  <si>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</si>
  <si>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</si>
  <si>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</si>
  <si>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</si>
  <si>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</si>
  <si>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</si>
  <si>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</si>
  <si>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</si>
  <si>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</si>
  <si>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</si>
  <si>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</si>
  <si>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</si>
  <si>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</si>
  <si>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</si>
  <si>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</si>
  <si>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</si>
  <si>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</si>
  <si>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</si>
  <si>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</si>
  <si>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</si>
  <si>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</si>
  <si>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</si>
  <si>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</si>
  <si>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</si>
  <si>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</si>
  <si>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</si>
  <si>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</si>
  <si>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</si>
  <si>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</si>
  <si>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</si>
  <si>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</si>
  <si>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</si>
  <si>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</si>
  <si>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</si>
  <si>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</si>
  <si>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</si>
  <si>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</si>
  <si>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</si>
  <si>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</si>
  <si>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</si>
  <si>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</si>
  <si>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</si>
  <si>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</si>
  <si>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</si>
  <si>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</si>
  <si>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</si>
  <si>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</si>
  <si>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</si>
  <si>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</si>
  <si>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</si>
  <si>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</si>
  <si>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</si>
  <si>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</si>
  <si>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</si>
  <si>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</si>
  <si>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</si>
  <si>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</si>
  <si>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</si>
  <si>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</si>
  <si>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</si>
  <si>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</si>
  <si>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</si>
  <si>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</si>
  <si>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</si>
  <si>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</si>
  <si>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</si>
  <si>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</si>
  <si>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</si>
  <si>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</si>
  <si>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</si>
  <si>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</si>
  <si>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</si>
  <si>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</si>
  <si>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</si>
  <si>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</si>
  <si>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</si>
  <si>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</si>
  <si>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</si>
  <si>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</si>
  <si>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</si>
  <si>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</si>
  <si>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</si>
  <si>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</si>
  <si>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</si>
  <si>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</si>
  <si>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</si>
  <si>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</si>
  <si>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</si>
  <si>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</si>
  <si>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</si>
  <si>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</si>
  <si>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</si>
  <si>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</si>
  <si>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</si>
  <si>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</si>
  <si>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</si>
  <si>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</si>
  <si>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</si>
  <si>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</si>
  <si>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</si>
  <si>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</si>
  <si>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</si>
  <si>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</si>
  <si>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</si>
  <si>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</si>
  <si>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</si>
  <si>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</si>
  <si>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</si>
  <si>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</si>
  <si>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</si>
  <si>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</si>
  <si>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</si>
  <si>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</si>
  <si>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</si>
  <si>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</si>
  <si>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</si>
  <si>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</si>
  <si>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</si>
  <si>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</si>
  <si>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</si>
  <si>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</si>
  <si>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</si>
  <si>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</si>
  <si>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</si>
  <si>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</si>
  <si>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</si>
  <si>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</si>
  <si>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</si>
  <si>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</si>
  <si>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</si>
  <si>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</si>
  <si>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</si>
  <si>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</si>
  <si>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</si>
  <si>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</si>
  <si>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</si>
  <si>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</si>
  <si>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</si>
  <si>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</si>
  <si>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</si>
  <si>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</si>
  <si>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</si>
  <si>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</si>
  <si>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</si>
  <si>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</si>
  <si>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</si>
  <si>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</si>
  <si>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</si>
  <si>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</si>
  <si>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</si>
  <si>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</si>
  <si>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</si>
  <si>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</si>
  <si>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</si>
  <si>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</si>
  <si>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</si>
  <si>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</si>
  <si>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</si>
  <si>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</si>
  <si>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</si>
  <si>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</si>
  <si>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</si>
  <si>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</si>
  <si>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</si>
  <si>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</si>
  <si>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</si>
  <si>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</si>
  <si>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</si>
  <si>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</si>
  <si>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</si>
  <si>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</si>
  <si>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</si>
  <si>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</si>
  <si>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</si>
  <si>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</si>
  <si>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</si>
  <si>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</si>
  <si>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</si>
  <si>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</si>
  <si>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</si>
  <si>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</si>
  <si>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</si>
  <si>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</si>
  <si>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</si>
  <si>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</si>
  <si>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</si>
  <si>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</si>
  <si>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</si>
  <si>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</si>
  <si>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</si>
  <si>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</si>
  <si>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</si>
  <si>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</si>
  <si>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</si>
  <si>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</si>
  <si>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</si>
  <si>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</si>
  <si>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</si>
  <si>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</si>
  <si>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</si>
  <si>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</si>
  <si>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</si>
  <si>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</si>
  <si>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</si>
  <si>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</si>
  <si>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</si>
  <si>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</si>
  <si>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</si>
  <si>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</si>
  <si>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</si>
  <si>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</si>
  <si>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</si>
  <si>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</si>
  <si>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</si>
  <si>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</si>
  <si>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</si>
  <si>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</si>
  <si>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</si>
  <si>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</si>
  <si>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</si>
  <si>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</si>
  <si>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</si>
  <si>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</si>
  <si>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</si>
  <si>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</si>
  <si>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</si>
  <si>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</si>
  <si>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</si>
  <si>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</si>
  <si>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</si>
  <si>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</si>
  <si>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</si>
  <si>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</si>
  <si>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</si>
  <si>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</si>
  <si>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</si>
  <si>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</si>
  <si>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</si>
  <si>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</si>
  <si>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</si>
  <si>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</si>
  <si>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</si>
  <si>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</si>
  <si>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</si>
  <si>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</si>
  <si>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</si>
  <si>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</si>
  <si>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</si>
  <si>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</si>
  <si>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</si>
  <si>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</si>
  <si>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</si>
  <si>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</si>
  <si>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</si>
  <si>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</si>
  <si>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</si>
  <si>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</si>
  <si>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</si>
  <si>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</si>
  <si>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</si>
  <si>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</si>
  <si>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</si>
  <si>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</si>
  <si>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</si>
  <si>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</si>
  <si>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</si>
  <si>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</si>
  <si>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</si>
  <si>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</si>
  <si>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</si>
  <si>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</si>
  <si>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</si>
  <si>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</si>
  <si>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</si>
  <si>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</si>
  <si>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</si>
  <si>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</si>
  <si>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</si>
  <si>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</si>
  <si>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</si>
  <si>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</si>
  <si>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</si>
  <si>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</si>
  <si>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</si>
  <si>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</si>
  <si>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</si>
  <si>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</si>
  <si>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</si>
  <si>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</si>
  <si>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</si>
  <si>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</si>
  <si>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</si>
  <si>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</si>
  <si>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</si>
  <si>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</si>
  <si>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</si>
  <si>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</si>
  <si>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</si>
  <si>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</si>
  <si>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</si>
  <si>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</si>
  <si>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</si>
  <si>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</si>
  <si>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</si>
  <si>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</si>
  <si>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</si>
  <si>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</si>
  <si>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</si>
  <si>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</si>
  <si>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</si>
  <si>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</si>
  <si>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</si>
  <si>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</si>
  <si>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</si>
  <si>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</si>
  <si>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</si>
  <si>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</si>
  <si>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</si>
  <si>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</si>
  <si>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</si>
  <si>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</si>
  <si>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</si>
  <si>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</si>
  <si>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</si>
  <si>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</si>
  <si>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</si>
  <si>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</si>
  <si>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</si>
  <si>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</si>
  <si>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</si>
  <si>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</si>
  <si>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</si>
  <si>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</si>
  <si>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</si>
  <si>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</si>
  <si>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</si>
  <si>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</si>
  <si>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</si>
  <si>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</si>
  <si>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</si>
  <si>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</si>
  <si>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</si>
  <si>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</si>
  <si>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</si>
  <si>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</si>
  <si>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</si>
  <si>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</si>
  <si>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</si>
  <si>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</si>
  <si>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</si>
  <si>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</si>
  <si>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</si>
  <si>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</si>
  <si>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</si>
  <si>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</si>
  <si>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</si>
  <si>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</si>
  <si>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</si>
  <si>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</si>
  <si>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</si>
  <si>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</si>
  <si>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</si>
  <si>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</si>
  <si>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</si>
  <si>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</si>
  <si>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</si>
  <si>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</si>
  <si>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</si>
  <si>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</si>
  <si>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</si>
  <si>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</si>
  <si>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</si>
  <si>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</si>
  <si>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</si>
  <si>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</si>
  <si>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</si>
  <si>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</si>
  <si>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</si>
  <si>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</si>
  <si>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</si>
  <si>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</si>
  <si>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</si>
  <si>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</si>
  <si>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</si>
  <si>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</si>
  <si>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</si>
  <si>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</si>
  <si>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</si>
  <si>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</si>
  <si>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</si>
  <si>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</si>
  <si>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</si>
  <si>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</si>
  <si>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</si>
  <si>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</si>
  <si>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</si>
  <si>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</si>
  <si>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</si>
  <si>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</si>
  <si>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</si>
  <si>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</si>
  <si>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</si>
  <si>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</si>
  <si>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</si>
  <si>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</si>
  <si>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</si>
  <si>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</si>
  <si>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</si>
  <si>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</si>
  <si>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</si>
  <si>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</si>
  <si>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</si>
  <si>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</si>
  <si>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</si>
  <si>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</si>
  <si>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</si>
  <si>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</si>
  <si>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</si>
  <si>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</si>
  <si>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</si>
  <si>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</si>
  <si>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</si>
  <si>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</si>
  <si>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</si>
  <si>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</si>
  <si>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</si>
  <si>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</si>
  <si>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</si>
  <si>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</si>
  <si>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</si>
  <si>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</si>
  <si>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</si>
  <si>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</si>
  <si>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</si>
  <si>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</si>
  <si>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</si>
  <si>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</si>
  <si>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</si>
  <si>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</si>
  <si>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</si>
  <si>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</si>
  <si>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</si>
  <si>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</si>
  <si>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</si>
  <si>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</si>
  <si>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</si>
  <si>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</si>
  <si>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</si>
  <si>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</si>
  <si>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</si>
  <si>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</si>
  <si>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</si>
  <si>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</si>
  <si>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</si>
  <si>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</si>
  <si>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</si>
  <si>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</si>
  <si>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</si>
  <si>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</si>
  <si>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</si>
  <si>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</si>
  <si>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</si>
  <si>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</si>
  <si>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</si>
  <si>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</si>
  <si>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</si>
  <si>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</si>
  <si>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</si>
  <si>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</si>
  <si>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</si>
  <si>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</si>
  <si>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</si>
  <si>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</si>
  <si>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</si>
  <si>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</si>
  <si>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</si>
  <si>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</si>
  <si>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</si>
  <si>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</si>
  <si>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</si>
  <si>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</si>
  <si>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</si>
  <si>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</si>
  <si>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</si>
  <si>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</si>
  <si>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</si>
  <si>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</si>
  <si>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</si>
  <si>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</si>
  <si>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</si>
  <si>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</si>
  <si>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</si>
  <si>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</si>
  <si>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</si>
  <si>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</si>
  <si>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</si>
  <si>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</si>
  <si>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</si>
  <si>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</si>
  <si>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</si>
  <si>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</si>
  <si>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</si>
  <si>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</si>
  <si>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</si>
  <si>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</si>
  <si>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</si>
  <si>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</si>
  <si>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</si>
  <si>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</si>
  <si>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</si>
  <si>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</si>
  <si>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</si>
  <si>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</si>
  <si>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</si>
  <si>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</si>
  <si>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</si>
  <si>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</si>
  <si>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</si>
  <si>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</si>
  <si>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</si>
  <si>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</si>
  <si>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</si>
  <si>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</si>
  <si>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</si>
  <si>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</si>
  <si>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</si>
  <si>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</si>
  <si>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</si>
  <si>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</si>
  <si>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</si>
  <si>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</si>
  <si>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</si>
  <si>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</si>
  <si>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</si>
  <si>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</si>
  <si>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</si>
  <si>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</si>
  <si>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</si>
  <si>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</si>
  <si>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</si>
  <si>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</si>
  <si>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</si>
  <si>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</si>
  <si>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</si>
  <si>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</si>
  <si>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</si>
  <si>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</si>
  <si>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</si>
  <si>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</si>
  <si>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</si>
  <si>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</si>
  <si>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</si>
  <si>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</si>
  <si>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</si>
  <si>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</si>
  <si>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</si>
  <si>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</si>
  <si>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</si>
  <si>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</si>
  <si>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</si>
  <si>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</si>
  <si>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</si>
  <si>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</si>
  <si>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</si>
  <si>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</si>
  <si>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</si>
  <si>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</si>
  <si>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</si>
  <si>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</si>
  <si>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</si>
  <si>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</si>
  <si>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</si>
  <si>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</si>
  <si>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</si>
  <si>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</si>
  <si>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</si>
  <si>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</si>
  <si>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</si>
  <si>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</si>
  <si>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</si>
  <si>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</si>
  <si>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</si>
  <si>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</si>
  <si>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</si>
  <si>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</si>
  <si>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</si>
  <si>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</si>
  <si>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</si>
  <si>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</si>
  <si>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</si>
  <si>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</si>
  <si>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</si>
  <si>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</si>
  <si>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</si>
  <si>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</si>
  <si>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</si>
  <si>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</si>
  <si>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</si>
  <si>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</si>
  <si>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</si>
  <si>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</si>
  <si>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</si>
  <si>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</si>
  <si>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</si>
  <si>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</si>
  <si>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</si>
  <si>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</si>
  <si>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</si>
  <si>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</si>
  <si>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</si>
  <si>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</si>
  <si>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</si>
  <si>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</si>
  <si>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</si>
  <si>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</si>
  <si>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</si>
  <si>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</si>
  <si>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</si>
  <si>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</si>
  <si>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</si>
  <si>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</si>
  <si>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</si>
  <si>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</si>
  <si>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</si>
  <si>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</si>
  <si>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</si>
  <si>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</si>
  <si>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</si>
  <si>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</si>
  <si>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</si>
  <si>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</si>
  <si>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</si>
  <si>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</si>
  <si>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</si>
  <si>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</si>
  <si>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</si>
  <si>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</si>
  <si>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</si>
  <si>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</si>
  <si>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</si>
  <si>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</si>
  <si>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</si>
  <si>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</si>
  <si>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</si>
  <si>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</si>
  <si>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</si>
  <si>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</si>
  <si>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</si>
  <si>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</si>
  <si>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</si>
  <si>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</si>
  <si>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</si>
  <si>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</si>
  <si>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</si>
  <si>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</si>
  <si>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</si>
  <si>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</si>
  <si>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</si>
  <si>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</si>
  <si>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</si>
  <si>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</si>
  <si>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</si>
  <si>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</si>
  <si>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</si>
  <si>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</si>
  <si>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</si>
  <si>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</si>
  <si>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</si>
  <si>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</si>
  <si>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</si>
  <si>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</si>
  <si>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</si>
  <si>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</si>
  <si>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</si>
  <si>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</si>
  <si>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</si>
  <si>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</si>
  <si>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按防具、饰品、武器与功能装备整理；本人与随从装备/武器栏将关联此页。</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</si>
  <si>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</si>
  <si>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</si>
  <si>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</si>
  <si>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</si>
  <si>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</si>
  <si>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</si>
  <si>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</si>
  <si>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</si>
  <si>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</si>
  <si>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</si>
  <si>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</si>
  <si>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</si>
  <si>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</si>
  <si>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</si>
  <si>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</si>
  <si>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</si>
  <si>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</si>
  <si>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</si>
  <si>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</si>
  <si>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</si>
  <si>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</si>
  <si>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</si>
  <si>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</si>
  <si>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</si>
  <si>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</si>
  <si>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</si>
  <si>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</si>
  <si>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</si>
  <si>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</si>
  <si>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</si>
  <si>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</si>
  <si>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</si>
  <si>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</si>
  <si>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</si>
  <si>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</si>
  <si>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</si>
  <si>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</si>
  <si>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</si>
  <si>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</si>
  <si>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</si>
  <si>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</si>
  <si>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</si>
  <si>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</si>
  <si>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</si>
  <si>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</si>
  <si>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</si>
  <si>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</si>
  <si>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</si>
  <si>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</si>
  <si>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</si>
  <si>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</si>
  <si>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</si>
  <si>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</si>
  <si>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</si>
  <si>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</si>
  <si>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</si>
  <si>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</si>
  <si>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</si>
  <si>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</si>
  <si>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</si>
  <si>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</si>
  <si>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</si>
  <si>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</si>
  <si>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</si>
  <si>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</si>
  <si>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</si>
  <si>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</si>
  <si>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</si>
  <si>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</si>
  <si>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</si>
  <si>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</si>
  <si>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</si>
  <si>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</si>
  <si>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</si>
  <si>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</si>
  <si>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</si>
  <si>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</si>
  <si>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</si>
  <si>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</si>
  <si>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</si>
  <si>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</si>
  <si>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</si>
  <si>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</si>
  <si>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</si>
  <si>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</si>
  <si>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</si>
  <si>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</si>
  <si>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</si>
  <si>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</si>
  <si>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</si>
  <si>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</si>
  <si>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</si>
  <si>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</si>
  <si>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</si>
  <si>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</si>
  <si>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</si>
  <si>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</si>
  <si>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</si>
  <si>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</si>
  <si>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</si>
  <si>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</si>
  <si>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</si>
  <si>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</si>
  <si>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</si>
  <si>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</si>
  <si>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</si>
  <si>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</si>
  <si>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</si>
  <si>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</si>
  <si>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</si>
  <si>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</si>
  <si>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</si>
  <si>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</si>
  <si>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</si>
  <si>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</si>
  <si>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</si>
  <si>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</si>
  <si>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</si>
  <si>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</si>
  <si>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</si>
  <si>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</si>
  <si>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</si>
  <si>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</si>
  <si>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</si>
  <si>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</si>
  <si>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</si>
  <si>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</si>
  <si>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</si>
  <si>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</si>
  <si>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</si>
  <si>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</si>
  <si>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</si>
  <si>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</si>
  <si>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</si>
  <si>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</si>
  <si>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</si>
  <si>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</si>
  <si>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</si>
  <si>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</si>
  <si>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</si>
  <si>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</si>
  <si>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</si>
  <si>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</si>
  <si>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</si>
  <si>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</si>
  <si>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</si>
  <si>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</si>
  <si>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</si>
  <si>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</si>
  <si>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</si>
  <si>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</si>
  <si>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</si>
  <si>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</si>
  <si>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</si>
  <si>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</si>
  <si>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</si>
  <si>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</si>
  <si>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</si>
  <si>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</si>
  <si>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</si>
  <si>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</si>
  <si>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</si>
  <si>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</si>
  <si>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</si>
  <si>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</si>
  <si>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</si>
  <si>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</si>
  <si>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</si>
  <si>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</si>
  <si>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</si>
  <si>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</si>
  <si>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</si>
  <si>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</si>
  <si>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</si>
  <si>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</si>
  <si>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</si>
  <si>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</si>
  <si>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</si>
  <si>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</si>
  <si>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</si>
  <si>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</si>
  <si>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</si>
  <si>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</si>
  <si>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</si>
  <si>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</si>
  <si>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</si>
  <si>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</si>
  <si>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</si>
  <si>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</si>
  <si>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</si>
  <si>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</si>
  <si>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</si>
  <si>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</si>
  <si>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</si>
  <si>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</si>
  <si>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</si>
  <si>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</si>
  <si>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</si>
  <si>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</si>
  <si>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</si>
  <si>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</si>
  <si>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</si>
  <si>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</si>
  <si>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</si>
  <si>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</si>
  <si>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</si>
  <si>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</si>
  <si>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</si>
  <si>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</si>
  <si>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</si>
  <si>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</si>
  <si>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</si>
  <si>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</si>
  <si>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</si>
  <si>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</si>
  <si>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</si>
  <si>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</si>
  <si>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</si>
  <si>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</si>
  <si>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</si>
  <si>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</si>
  <si>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</si>
  <si>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</si>
  <si>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</si>
  <si>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</si>
  <si>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</si>
  <si>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</si>
  <si>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</si>
  <si>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</si>
  <si>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</si>
  <si>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</si>
  <si>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</si>
  <si>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</si>
  <si>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</si>
  <si>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</si>
  <si>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</si>
  <si>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</si>
  <si>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</si>
  <si>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</si>
  <si>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</si>
  <si>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</si>
  <si>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</si>
  <si>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</si>
  <si>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</si>
  <si>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</si>
  <si>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</si>
  <si>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</si>
  <si>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</si>
  <si>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</si>
  <si>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</si>
  <si>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</si>
  <si>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</si>
  <si>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</si>
  <si>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</si>
  <si>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</si>
  <si>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</si>
  <si>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</si>
  <si>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</si>
  <si>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</si>
  <si>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</si>
  <si>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</si>
  <si>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</si>
  <si>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</si>
  <si>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</si>
  <si>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</si>
  <si>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</si>
  <si>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</si>
  <si>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</si>
  <si>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</si>
  <si>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</si>
  <si>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</si>
  <si>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</si>
  <si>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</si>
  <si>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</si>
  <si>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</si>
  <si>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</si>
  <si>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</si>
  <si>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</si>
  <si>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</si>
  <si>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</si>
  <si>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</si>
  <si>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</si>
  <si>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</si>
  <si>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</si>
  <si>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</si>
  <si>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</si>
  <si>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</si>
  <si>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</si>
  <si>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</si>
  <si>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</si>
  <si>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</si>
  <si>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</si>
  <si>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</si>
  <si>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</si>
  <si>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</si>
  <si>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</si>
  <si>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</si>
  <si>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</si>
  <si>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</si>
  <si>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</si>
  <si>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</si>
  <si>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</si>
  <si>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</si>
  <si>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</si>
  <si>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</si>
  <si>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</si>
  <si>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</si>
  <si>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</si>
  <si>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</si>
  <si>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</si>
  <si>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</si>
  <si>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</si>
  <si>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</si>
  <si>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</si>
  <si>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</si>
  <si>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</si>
  <si>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</si>
  <si>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</si>
  <si>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</si>
  <si>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</si>
  <si>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</si>
  <si>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</si>
  <si>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</si>
  <si>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</si>
  <si>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</si>
  <si>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</si>
  <si>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</si>
  <si>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</si>
  <si>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</si>
  <si>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</si>
  <si>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</si>
  <si>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</si>
  <si>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</si>
  <si>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</si>
  <si>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</si>
  <si>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</si>
  <si>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</si>
  <si>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</si>
  <si>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</si>
  <si>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</si>
  <si>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</si>
  <si>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</si>
  <si>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</si>
  <si>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</si>
  <si>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</si>
  <si>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</si>
  <si>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</si>
  <si>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</si>
  <si>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</si>
  <si>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</si>
  <si>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</si>
  <si>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</si>
  <si>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</si>
  <si>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</si>
  <si>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</si>
  <si>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</si>
  <si>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</si>
  <si>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</si>
  <si>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</si>
  <si>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</si>
  <si>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</si>
  <si>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</si>
  <si>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</si>
  <si>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</si>
  <si>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</si>
  <si>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</si>
  <si>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</si>
  <si>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</si>
  <si>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</si>
  <si>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</si>
  <si>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</si>
  <si>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</si>
  <si>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</si>
  <si>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</si>
  <si>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</si>
  <si>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</si>
  <si>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</si>
  <si>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</si>
  <si>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</si>
  <si>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</si>
  <si>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</si>
  <si>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</si>
  <si>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</si>
  <si>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</si>
  <si>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</si>
  <si>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</si>
  <si>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</si>
  <si>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</si>
  <si>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</si>
  <si>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</si>
  <si>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</si>
  <si>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</si>
  <si>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</si>
  <si>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</si>
  <si>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</si>
  <si>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</si>
  <si>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</si>
  <si>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</si>
  <si>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</si>
  <si>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</si>
  <si>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</si>
  <si>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</si>
  <si>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</si>
  <si>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</si>
  <si>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</si>
  <si>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</si>
  <si>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</si>
  <si>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</si>
  <si>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</si>
  <si>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</si>
  <si>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</si>
  <si>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</si>
  <si>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</si>
  <si>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</si>
  <si>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</si>
  <si>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</si>
  <si>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</si>
  <si>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</si>
  <si>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</si>
  <si>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</si>
  <si>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</si>
  <si>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</si>
  <si>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</si>
  <si>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</si>
  <si>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</si>
  <si>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</si>
  <si>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</si>
  <si>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</si>
  <si>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</si>
  <si>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</si>
  <si>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</si>
  <si>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</si>
  <si>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</si>
  <si>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</si>
  <si>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</si>
  <si>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</si>
  <si>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</si>
  <si>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</si>
  <si>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</si>
  <si>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</si>
  <si>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</si>
  <si>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</si>
  <si>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</si>
  <si>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</si>
  <si>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</si>
  <si>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</si>
  <si>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</si>
  <si>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</si>
  <si>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</si>
  <si>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</si>
  <si>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</si>
  <si>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</si>
  <si>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</si>
  <si>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</si>
  <si>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</si>
  <si>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</si>
  <si>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</si>
  <si>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</si>
  <si>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</si>
  <si>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</si>
  <si>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</si>
  <si>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</si>
  <si>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</si>
  <si>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</si>
  <si>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</si>
  <si>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</si>
  <si>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</si>
  <si>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</si>
  <si>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</si>
  <si>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</si>
  <si>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</si>
  <si>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</si>
  <si>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</si>
  <si>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</si>
  <si>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</si>
  <si>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</si>
  <si>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</si>
  <si>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</si>
  <si>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</si>
  <si>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</si>
  <si>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</si>
  <si>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</si>
  <si>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</si>
  <si>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</si>
  <si>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</si>
  <si>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</si>
  <si>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</si>
  <si>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</si>
  <si>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</si>
  <si>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</si>
  <si>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</si>
  <si>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</si>
  <si>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</si>
  <si>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</si>
  <si>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</si>
  <si>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</si>
  <si>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</si>
  <si>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</si>
  <si>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</si>
  <si>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</si>
  <si>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</si>
  <si>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</si>
  <si>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</si>
  <si>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</si>
  <si>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</si>
  <si>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</si>
  <si>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</si>
  <si>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</si>
  <si>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</si>
  <si>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</si>
  <si>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</si>
  <si>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</si>
  <si>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</si>
  <si>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</si>
  <si>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</si>
  <si>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</si>
  <si>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</si>
  <si>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</si>
  <si>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</si>
  <si>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</si>
  <si>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</si>
  <si>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</si>
  <si>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</si>
  <si>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</si>
  <si>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</si>
  <si>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</si>
  <si>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</si>
  <si>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</si>
  <si>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</si>
  <si>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</si>
  <si>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</si>
  <si>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</si>
  <si>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</si>
  <si>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</si>
  <si>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</si>
  <si>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</si>
  <si>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</si>
  <si>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</si>
  <si>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</si>
  <si>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</si>
  <si>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</si>
  <si>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</si>
  <si>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</si>
  <si>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</si>
  <si>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</si>
  <si>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</si>
  <si>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</si>
  <si>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</si>
  <si>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</si>
  <si>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</si>
  <si>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</si>
  <si>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</si>
  <si>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</si>
  <si>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</si>
  <si>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</si>
  <si>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</si>
  <si>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</si>
  <si>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</si>
  <si>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</si>
  <si>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</si>
  <si>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</si>
  <si>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</si>
  <si>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</si>
  <si>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</si>
  <si>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</si>
  <si>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</si>
  <si>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</si>
  <si>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</si>
  <si>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</si>
  <si>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</si>
  <si>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</si>
  <si>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</si>
  <si>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</si>
  <si>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</si>
  <si>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</si>
  <si>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</si>
  <si>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</si>
  <si>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</si>
  <si>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</si>
  <si>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</si>
  <si>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</si>
  <si>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</si>
  <si>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</si>
  <si>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</si>
  <si>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</si>
  <si>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</si>
  <si>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</si>
  <si>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</si>
  <si>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</si>
  <si>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</si>
  <si>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</si>
  <si>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</si>
  <si>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</si>
  <si>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</si>
  <si>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</si>
  <si>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</si>
  <si>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</si>
  <si>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</si>
  <si>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</si>
  <si>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</si>
  <si>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</si>
  <si>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</si>
  <si>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</si>
  <si>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</si>
  <si>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</si>
  <si>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</si>
  <si>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</si>
  <si>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</si>
  <si>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</si>
  <si>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</si>
  <si>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</si>
  <si>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</si>
  <si>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</si>
  <si>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</si>
  <si>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</si>
  <si>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</si>
  <si>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</si>
  <si>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</si>
  <si>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</si>
  <si>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</si>
  <si>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</si>
  <si>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</si>
  <si>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</si>
  <si>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</si>
  <si>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</si>
  <si>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</si>
  <si>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</si>
  <si>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</si>
  <si>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</si>
  <si>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</si>
  <si>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</si>
  <si>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</si>
  <si>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</si>
  <si>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</si>
  <si>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</si>
  <si>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</si>
  <si>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</si>
  <si>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</si>
  <si>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</si>
  <si>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</si>
  <si>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</si>
  <si>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</si>
  <si>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</si>
  <si>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</si>
  <si>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</si>
  <si>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</si>
  <si>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</si>
  <si>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</si>
  <si>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</si>
  <si>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</si>
  <si>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</si>
  <si>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</si>
  <si>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</si>
  <si>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</si>
  <si>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</si>
  <si>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</si>
  <si>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</si>
  <si>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</si>
  <si>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</si>
  <si>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</si>
  <si>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</si>
  <si>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</si>
  <si>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</si>
  <si>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</si>
  <si>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</si>
  <si>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</si>
  <si>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</si>
  <si>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</si>
  <si>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</si>
  <si>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</si>
  <si>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</si>
  <si>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</si>
  <si>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</si>
  <si>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</si>
  <si>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</si>
  <si>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</si>
  <si>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</si>
  <si>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</si>
  <si>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</si>
  <si>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</si>
  <si>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</si>
  <si>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</si>
  <si>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</si>
  <si>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</si>
  <si>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</si>
  <si>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</si>
  <si>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</si>
  <si>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</si>
  <si>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</si>
  <si>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</si>
  <si>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</si>
  <si>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</si>
  <si>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</si>
  <si>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</si>
  <si>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</si>
  <si>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</si>
  <si>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</si>
  <si>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</si>
  <si>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</si>
  <si>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</si>
  <si>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</si>
  <si>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</si>
  <si>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</si>
  <si>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</si>
  <si>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</si>
  <si>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</si>
  <si>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</si>
  <si>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</si>
  <si>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</si>
  <si>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</si>
  <si>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</si>
  <si>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</si>
  <si>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</si>
  <si>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</si>
  <si>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</si>
  <si>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</si>
  <si>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</si>
  <si>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</si>
  <si>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</si>
  <si>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</si>
  <si>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</si>
  <si>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</si>
  <si>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</si>
  <si>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</si>
  <si>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</si>
  <si>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</si>
  <si>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</si>
  <si>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</si>
  <si>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</si>
  <si>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</si>
  <si>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</si>
  <si>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</si>
  <si>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</si>
  <si>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</si>
  <si>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</si>
  <si>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</si>
  <si>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</si>
  <si>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</si>
  <si>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</si>
  <si>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</si>
  <si>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</si>
  <si>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</si>
  <si>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</si>
  <si>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</si>
  <si>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</si>
  <si>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</si>
  <si>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</si>
  <si>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</si>
  <si>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</si>
  <si>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</si>
  <si>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</si>
  <si>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</si>
  <si>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</si>
  <si>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</si>
  <si>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</si>
  <si>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</si>
  <si>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</si>
  <si>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</si>
  <si>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</si>
  <si>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</si>
  <si>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</si>
  <si>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</si>
  <si>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</si>
  <si>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</si>
  <si>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</si>
  <si>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</si>
  <si>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</si>
  <si>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</si>
  <si>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</si>
  <si>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</si>
  <si>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</si>
  <si>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</si>
  <si>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</si>
  <si>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</si>
  <si>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</si>
  <si>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[string]防具 头盔 龙首兜鍪 龙威：敌方在攻击的时候有20%概率恐惧 20 0 10 30 智力30  [2]</t>
  </si>
  <si>
    <t>[string]防具 头盔 凤翅盔 涅槃：受到致命伤害的时候，摧毁这件装备并且满血复活 40 0 10 30 智力50  [2]</t>
  </si>
  <si>
    <t>[string]防具 头盔 七星额子 星佑：每天一次，抵挡一次灵魂伤害 30 0 15 30 智力80  [2]</t>
  </si>
  <si>
    <t>[string]防具 头盔 朱雀冠 离火：造成的灼烧伤害+3 25 0 13 30 智力60  [2]</t>
  </si>
  <si>
    <t>[string]防具 头盔 白虎盔 煞气：你的攻击可以直接斩杀生命值低于10%的敌人 25 0 8 20 智力40  [2]</t>
  </si>
  <si>
    <t>[string]防具 头盔 玄武盔 灵壳：你的护甲和魔抗视为同一个数值 40 0 20 50 智力10  [2]</t>
  </si>
  <si>
    <t>[string]防具 头盔 麒麟盔 祥瑞：你每次战斗获得一个奖励骰 30 0 10 30 智力30  [2]</t>
  </si>
  <si>
    <t>[string]防具 头盔 狻猊盔 吞烟：免疫所有相关移动的debuff 20 0 10 30 智力60  [2]</t>
  </si>
  <si>
    <t>[string]防具 头盔 饕餮盔 吞噬：当你击杀敌方的时候，10%概率恢复1点灵魂 25 0 6 15 智力80  [2]</t>
  </si>
  <si>
    <t>[string]防具 头盔 穷奇盔 恶念：你的攻击有30%再次攻击 15 0 10 20 智力60  [2]</t>
  </si>
  <si>
    <t>[string]防具 头盔 混沌盔 混沌：有些铠甲是成套的对吧 30 0 99 200 智力45  [2]</t>
  </si>
  <si>
    <t>[string]防具 头盔 梼杌盔 顽固：造成的控制效果增加一回合 15 0 15 30 智力55  [2]</t>
  </si>
  <si>
    <t>[string]防具 头盔 毕方盔 焚风：你可以免疫40以下的任何火焰伤害 15 0 15 30 智力50  [2]</t>
  </si>
  <si>
    <t>[string]防具 头盔 白泽盔 通明：你修习的成功率+10 30 0 3 5 智力70  [2]</t>
  </si>
  <si>
    <t>[string]防具 头盔 飞廉盔 风行：增加20敏捷 10 0 10 20 智力50  [2]</t>
  </si>
  <si>
    <t>[string]防具 头盔 刑天盔 战魂：你每战斗一回合，你的护甲和魔抗+1 20 0 10 30 智力40  [2]</t>
  </si>
  <si>
    <t>[string]防具 头盔 山文盔 山岳：你受到的正面伤害减少30% 20 0 20 50 智力40  [2]</t>
  </si>
  <si>
    <t>[string]防具 头盔 镜面盔 反射：你受到的法术伤害20%概率反射回去 20 0 15 20 智力50  [2]</t>
  </si>
  <si>
    <t>[string]防具 头盔 笠铁盔 鱼钓：你绝对不会空军！ 15 0 5 5 智力10  [2]</t>
  </si>
  <si>
    <t>[string]防具 头盔 金瓯冠 永固：提升所有队友双抗5点 45 0 0 20 智力80  [2]</t>
  </si>
  <si>
    <t>[string]防具 胸甲（轻） 飞云氅 云隐：成功闪避攻击后，敏捷提升20持续两回合 20 7 0 50 敏捷40  [2]</t>
  </si>
  <si>
    <t>[string]防具 胸甲（轻） 蝉翼衫 金蝉脱壳：当受到致命伤害时，免疫本次伤害并脱离战斗，一天一次 50 1 1 10 敏捷20  [2]</t>
  </si>
  <si>
    <t>[string]防具 胸甲（轻） 流风袍 风息：当你攻击时获得一层流风，每层流风增加10闪避最多3层，持续本场战斗 20 5 3 30 敏捷60  [2]</t>
  </si>
  <si>
    <t>[string]防具 胸甲（轻） 竹影甲 竹韧：生命低于一半的时候，获得一个等同于最大生命值30%的护盾 15 10 0 20 敏捷50  [2]</t>
  </si>
  <si>
    <t>[string]防具 胸甲（轻） 燕翎铠 燕返：你的潜行技能增加20成功率 20 3 3 20 敏捷80  [2]</t>
  </si>
  <si>
    <t>[string]防具 胸甲（轻） 月华帔 月凝：在有月亮的照耀下，你造成的伤害增加5点真实伤害 40 2 5 20 敏捷50  [2]</t>
  </si>
  <si>
    <t>[string]防具 胸甲（轻） 霓裳羽衣 虹舞：你的攻击附带50%魔抗数值的伤害 10 0 20 50 敏捷60  [2]</t>
  </si>
  <si>
    <t>[string]防具 胸甲（轻） 龙绡软甲 水御：在水中或雨天环境下，获得20%伤害减免，且每回合恢复2生命 25 6 6 20 敏捷50  [2]</t>
  </si>
  <si>
    <t>[string]防具 胸甲（轻） 步光铠 光逝：每进行5次行动，就可以额外获得一次主要行动或者次要行动 20 7 2 30 敏捷45  [2]</t>
  </si>
  <si>
    <t>[string]防具 胸甲（轻） 百草霜衣 药香：你不会因为植物的毒性受伤 20 3 15 30 敏捷40  [2]</t>
  </si>
  <si>
    <t>[string]防具 胸甲（轻） 纸鸢甲 乘风：你免疫摔落伤害，且可以进行滑翔 5 0 0 10 敏捷30  [2]</t>
  </si>
  <si>
    <t>[string]防具 胸甲（轻） 松烟战袍 烟遁：你可以主动脱离战斗，一天一次 10 5 8 30 敏捷70  [2]</t>
  </si>
  <si>
    <t>[string]防具 胸甲（轻） 镜花水月 幻身：受到致命伤害后，会召唤一个具有嘲讽的幻象20生命值，你的生命视为1 30 0 18 40 敏捷55  [2]</t>
  </si>
  <si>
    <t>[string]防具 胸甲（轻） 柳叶绵甲 柳拂：你受到的控制效果最多为一个回合阶段 20 10 2 30 敏捷60  [2]</t>
  </si>
  <si>
    <t>[string]防具 胸甲（轻） 青萍履甲 萍踪：你的行动不会留下踪迹 20 3 9 30 敏捷75  [2]</t>
  </si>
  <si>
    <t>[string]防具 胸甲（轻） 蝶舞护心 心舞：当你受到灵魂伤害的时候，免疫它并且下次你的攻击造成同等灵魂伤害，一天一次 30 0 20 40 敏捷55  [2]</t>
  </si>
  <si>
    <t>[string]防具 胸甲（轻） 千蝉丝甲 千丝：你每次受到攻击都会获得1d3的护盾 30 10 10 40 敏捷35  [2]</t>
  </si>
  <si>
    <t>[string]防具 胸甲（轻） 浮光掠影 惑光：在你完全不动的状态下，视为光学隐身 25 5 5 20 敏捷50  [2]</t>
  </si>
  <si>
    <t>[string]防具 胸甲（轻） 雪狐裘甲 霜刺：你的攻击对灼烧状态的敌人造成双倍伤害 40 15 10 50 敏捷40  [2]</t>
  </si>
  <si>
    <t>[string]防具 胸甲（轻） 无尘道衣 清静：自动抵挡三次负面效果，每日重制 30 5 10 35 敏捷60  [2]</t>
  </si>
  <si>
    <t>[string]防具 胸甲（重） 不动明王铠 明王身：每次战斗开始获得20护盾 20 20 10 50 力量60  [2]</t>
  </si>
  <si>
    <t>[string]防具 胸甲（重） 玄武镇岳甲 镇岳：当你的生命低于10%时，造成4倍伤害 15 15 15 40 力量80  [2]</t>
  </si>
  <si>
    <t>[string]防具 胸甲（重） 龙鳞撼地铠 龙傲：当你不穿着腿铠的时候，你的双抗+7 25 15 15 40 力量50  [2]</t>
  </si>
  <si>
    <t>[string]防具 胸甲（重） 饕餮吞肩 吞噬：当你击杀敌方，恢复1d10生命和法力 35 15 15 60 力量50  [2]</t>
  </si>
  <si>
    <t>[string]防具 胸甲（重） 山岳担肩 担山：你的敏捷和闪避-40，你获得15双抗 40 25 25 100 力量80  [2]</t>
  </si>
  <si>
    <t>[string]防具 胸甲（重） 朱雀焚城甲 焚城：你造成的所有火属性伤害视为群伤 35 10 15 50 力量40  [2]</t>
  </si>
  <si>
    <t>[string]防具 胸甲（重） 麒麟踏云铠 祥瑞：你每次战斗获得两个奖励骰 30 10 20 40 力量40  [2]</t>
  </si>
  <si>
    <t>[string]防具 胸甲（重） 刑天舞干戚 战意：你的战斗每过去一回合，你获得2点全伤害加成 30 13 12 30 力量60  [2]</t>
  </si>
  <si>
    <t>[string]防具 胸甲（重） 夔牛震鼓铠 震鼓：你的攻击造成30%眩晕效果 25 15 15 40 力量55  [2]</t>
  </si>
  <si>
    <t>[string]防具 胸甲（重） 狴犴司狱甲 囚牢：你可以把你和一名敌人关进囚牢，强迫其进行1v1 25 30 10 70 力量70  [2]</t>
  </si>
  <si>
    <t>[string]防具 胸甲（重） 睚眦必报铠 荆棘：你获得1d5的反伤 20 25 15 60 力量55  [2]</t>
  </si>
  <si>
    <t>[string]防具 胸甲（重） 赑屃负碑甲 负碑：任何在你附近修习的朋友获得5点成功率 45 10 10 10 力量65  [2]</t>
  </si>
  <si>
    <t>[string]防具 胸甲（重） 混沌玄甲 混沌：当你穿上这身铠甲，你的战斗操作就不属于你自己了 50 99 99 200 力量10  [2]</t>
  </si>
  <si>
    <t>[string]防具 胸甲（重） 穷奇掠空铠 掠空：若对方浮空，则造成双倍伤害 25 15 20 35 力量35  [2]</t>
  </si>
  <si>
    <t>[string]防具 胸甲（重） 烛龙衔炎甲 晦明：在每次战斗开始选择一个属性，战斗中该属性伤害+5 25 15 15 35 力量45  [2]</t>
  </si>
  <si>
    <t>[string]防具 胸甲（重） 白泽辟邪铠 召唤单位无法对你造成任何伤害 30 20 10 35 力量50  [2]</t>
  </si>
  <si>
    <t>[string]防具 胸甲（重） 毕方雳天甲 闪电：你造成的雷属性伤害额外增加一次2d8的雷伤 20 15 15 35 力量50  [2]</t>
  </si>
  <si>
    <t>[string]防具 胸甲（重） 重玄铁浮屠 铁壁：你增加你护甲50%数值的伤害 20 30 10 80 力量70  [2]</t>
  </si>
  <si>
    <t>[string]防具 胸甲（重） 陨星千钧甲 千钧：一天一次，你造成的伤害增加你已经损失的生命值，持续一回合 20 10 15 60 力量60  [2]</t>
  </si>
  <si>
    <t>[string]防具 胸甲（重） 玄甲·苍云 苍云阵：你受到的伤害翻倍，你和你的队友获得20%概率不受到伤害 50 15 15 50 力量75  [2]</t>
  </si>
  <si>
    <t>[string]防具 腿甲 岳峙胫甲 山稳：你不会被击退击飞击倒 20 20 0 40 移动50  [2]</t>
  </si>
  <si>
    <t>[string]防具 腿甲 风行绑腿 疾走：你的移动力+20 10 15 0 20 移动50  [2]</t>
  </si>
  <si>
    <t>[string]防具 腿甲 玄武腿缚 水御：在水中或者雨重作战，护甲+20 20 10 0 20 移动40  [2]</t>
  </si>
  <si>
    <t>[string]防具 腿甲 登云靴甲 云踏：二段跳 15 10 0 30 移动60  [2]</t>
  </si>
  <si>
    <t>[string]防具 腿甲 混沌腿铠 混沌：这玩意当然是整套的 30 99 0 200 移动25  [2]</t>
  </si>
  <si>
    <t>[string]防具 腿甲 石犀护腿 犀拒：非boss和精英敌人对你造成的伤害减半 25 15 0 30 移动40  [2]</t>
  </si>
  <si>
    <t>[string]防具 腿甲 灵鹤胫甲 鹤舞：你可以本回合不改变技能速度，换取一次主要行动 20 20 0 40 移动30  [2]</t>
  </si>
  <si>
    <t>[string]防具 腿甲 虎胫护膝 虎跃：每次战斗一次，你可以不用消耗行动扑击一次50米内敌人 20 20 0 40 移动50  [2]</t>
  </si>
  <si>
    <t>[string]防具 腿甲 磐石腿甲 磐石：你的总护甲视为原本值得二倍 25 30 0 60 移动50  [2]</t>
  </si>
  <si>
    <t>[string]防具 腿甲 追月胫甲 逐月：你的敏捷视为100 25 10 0 25 移动60  [2]</t>
  </si>
  <si>
    <t>[string]防具 腿甲 夔牛战靴 战鼓：你每进行三回合行动，你和你的队友获得一次额外得次要行动 25 15 0 25 移动65  [2]</t>
  </si>
  <si>
    <t>[string]防具 腿甲 金乌飞羽 日炎：你对靠近你的敌人造成每回合3点得火焰伤害 15 15 0 25 移动40  [2]</t>
  </si>
  <si>
    <t>[string]防具 腿甲 蝉影护胫 蝉蜕：当你受到控制效果得时候，解除控制效果并且召唤一个1点生命具有嘲讽得幻影 20 10 0 25 移动75  [2]</t>
  </si>
  <si>
    <t>[string]防具 腿甲 贪狼腿铠 贪狼：全伤害+3 20 15 0 30 移动55  [2]</t>
  </si>
  <si>
    <t>[string]防具 腿甲 墨家机关胫 附带抓钩：你可以在任何平面上行走 15 20 0 40 移动40  [2]</t>
  </si>
  <si>
    <t>[string]防具 腿甲 烛龙胫甲 阴影：你在潜行状态下造成得攻击伤害翻倍 25 20 0 40 移动70  [2]</t>
  </si>
  <si>
    <t>[string]防具 腿甲 不动尊护膝 不动：当你得生命值低于50%时获得20双抗 20 20 0 40 移动35  [2]</t>
  </si>
  <si>
    <t>[string]防具 腿甲 八卦阵图腿甲 八卦：50%不受到伤害（必中除外） 40 5 0 10 移动80  [2]</t>
  </si>
  <si>
    <t>[string]饰品 大印 万年寒玉印 你的召唤物造成伤害为300%你自身造成伤害150% 30      [2]</t>
  </si>
  <si>
    <t>[string]饰品 大印 雷霆都司印 你的造成的雷法伤害的10%的额外真实伤害 30      [2]</t>
  </si>
  <si>
    <t>[string]饰品 大印 灵宝大法司印 你造成的术法伤害+5，你造成的伤害的20%转化为护盾，战斗结束后消失 30      [2]</t>
  </si>
  <si>
    <t>[string]饰品 大印 红莲火印 你造成150%火法伤害，当你无论因为什么死亡，恢复全满状态（包括灵魂），然后印变为破损的红莲火印 30      [2]</t>
  </si>
  <si>
    <t>[string]饰品 大印 司辰挂印 你的所有阵法效果翻倍，且在持续两回合后，后续不需要持续消耗法力 30      [2]</t>
  </si>
  <si>
    <t>[string]饰品 大印 五雷斩勘印 你造成150%的雷法伤害 20      [2]</t>
  </si>
  <si>
    <t>[string]饰品 大印 金光抖银印 你可以使用古币增幅技能，每一枚古币视为1点道力，消耗等量古币 20      [2]</t>
  </si>
  <si>
    <t>[string]饰品 大印 天挂水印 你使用的符法术法有50%概率造成双倍效果 20      [2]</t>
  </si>
  <si>
    <t>[string]饰品 大印 斩妖缚邪印 你的所有伤害增加5点金属性伤害，并且可以消耗5枚古币让单次伤害翻倍 20      [2]</t>
  </si>
  <si>
    <t>[string]饰品 大印 北极驱邪印 你的小鬼伤害150%且你与鬼怪战斗时成功等级+1 20      [2]</t>
  </si>
  <si>
    <t>[string]饰品 大印 紫府丹鼎印 你造成的所有伤害+10 20      [2]</t>
  </si>
  <si>
    <t>[string]饰品 大印 五岳真形印 在你造成伤害后，你可以选择将印丢出镇压对方，被镇压的角色无法行动，对方需要判定体质和力量均成功才能逃脱 20      [2]</t>
  </si>
  <si>
    <t>[string]饰品 大印 铁麟印 你在使用符法和术法的时候可以拿着这个印同时拍击敌人，造成2d10的物理伤害 20      [2]</t>
  </si>
  <si>
    <t>[string]饰品 大印 阴阳八卦印 你的阵法准备回合-1每回合法力消耗-2 20      [2]</t>
  </si>
  <si>
    <t>[string]饰品 大印 九天玄女印 你的魅力+20你造成的伤害+3你可以自由转变自身的性别 10      [2]</t>
  </si>
  <si>
    <t>[string]饰品 大印 幽冥印 每天一次，让你的随从（召唤物）造成一次四倍伤害 10      [2]</t>
  </si>
  <si>
    <t>[string]饰品 大印 太乙救苦天尊印 你每次使用术法符法阵法，你回复5点生命值 10      [2]</t>
  </si>
  <si>
    <t>[string]饰品 大印 玉皇敕命印 每天一次，让你自己无条件造成一次必中且双倍伤害的攻击 10      [2]</t>
  </si>
  <si>
    <t>[string]饰品 大印 东极青华印 你构建的护盾值翻三倍 10      [2]</t>
  </si>
  <si>
    <t>[string]饰品 大印 南极长生印 当你受到致命伤害的时候，你获得一个10点的护盾，并且无视本次攻击，每天一次 10      [2]</t>
  </si>
  <si>
    <t>[string]饰品 大印 二十八宿印 你每次术法攻击额外造成1d8的伤害 10      [2]</t>
  </si>
  <si>
    <t>[string]饰品 大印 雷击木印 你的雷法伤害+5 10      [2]</t>
  </si>
  <si>
    <t>[string]饰品 大印 摄召亡魂印 仅有一次，你可以强行征兆一位活着的生物签订不平等条约，让他变成小鬼，该生物不得高于你两个大等级 10      [2]</t>
  </si>
  <si>
    <t>[string]饰品 大印 禹步锁关印 你每次造成伤害之后，会对对方造成一回合禁锢效果 10      [2]</t>
  </si>
  <si>
    <t>[string]饰品 大印 净明法主印 你可以消耗自己的任何行动，清除自身一个负面效果 10      [2]</t>
  </si>
  <si>
    <t>[string]饰品 大印 桃木斩邪印 符咒伤害+2 7      [2]</t>
  </si>
  <si>
    <t>[string]饰品 大印 青铜符咒印 火属性伤害+3 7      [2]</t>
  </si>
  <si>
    <t>[string]饰品 大印 破损的红莲火印 灼烧伤害+1 7      [2]</t>
  </si>
  <si>
    <t>[string]饰品 大印 朱砂丹鼎印 你使用丹药的效果翻倍 7      [2]</t>
  </si>
  <si>
    <t>[string]饰品 大印 黑石镇煞印 你对鬼怪生物造成的伤害+10 7      [2]</t>
  </si>
  <si>
    <t>[string]饰品 大印 黄铜法事印 你的阵法效果+2 7      [2]</t>
  </si>
  <si>
    <t>[string]饰品 大印 灵竹清心印 当你受到不大于2的灵魂伤害时，每六小时恢复1灵魂力 7      [2]</t>
  </si>
  <si>
    <t>[string]饰品 大印 净水去秽印 每天抵挡一次受到的灵魂伤害 7      [2]</t>
  </si>
  <si>
    <t>[string]饰品 大印 白石守一印 有且仅有三次，当你陷入灵魂衰竭的时候不进入debuff，使用完毕之后变成破瓦碎运印 7      [2]</t>
  </si>
  <si>
    <t>[string]饰品 大印 松纹剑令印 你的剑伤害增加1d8 7      [2]</t>
  </si>
  <si>
    <t>[string]饰品 大印 阴煞反噬印 你每次号令你的小鬼都要消耗1点生命值 1      [2]</t>
  </si>
  <si>
    <t>[string]饰品 大印 赤血催功印 你可以消耗1点生命值换取1点法力值 1      [2]</t>
  </si>
  <si>
    <t>[string]饰品 大印 三枯三荣印 在单数天造成伤害+2在双数天造成伤害-2 1      [2]</t>
  </si>
  <si>
    <t>[string]饰品 大印 折寿问天印 你每天有10%无缘无故挨一下天谴 1      [2]</t>
  </si>
  <si>
    <t>[string]饰品 大印 五鬼搬运印 你可以消耗5点灵魂让自己的攻击造成5点灵魂伤害 1      [2]</t>
  </si>
  <si>
    <t>[string]饰品 大印 裂魂分神印 你受到的灵魂伤害+1 1      [2]</t>
  </si>
  <si>
    <t>[string]饰品 饰品 同心环 你与其他佩戴同心环得队友共享收到的伤害 20    魅力60  [2]</t>
  </si>
  <si>
    <t>[string]饰品 饰品 相思红豆 如果你与另一个人互为情侣，则你二人获得30%伤害提升 20    魅力70  [2]</t>
  </si>
  <si>
    <t>[string]饰品 饰品 步摇金钗 你每一次攻击会留下一道流光印记，敌方对你进行行动时，流光印记造成5点伤害 15    魅力50  [2]</t>
  </si>
  <si>
    <t>[string]饰品 饰品 君子玉玦 增加20法力值 10    魅力30  [2]</t>
  </si>
  <si>
    <t>[string]饰品 饰品 玲珑骰子 你有10%概率完全抵挡一次攻击 20    魅力60  [2]</t>
  </si>
  <si>
    <t>[string]饰品 饰品 安息香囊 每次战斗一次，接触一个负面效果 25    魅力50  [2]</t>
  </si>
  <si>
    <t>[string]饰品 饰品 七宝璎珞 每次战斗开始获得10点护盾 25    魅力40  [2]</t>
  </si>
  <si>
    <t>[string]饰品 饰品 青铜纵目 你可以完全抵挡不高于1点得灵魂伤害 30    魅力60  [2]</t>
  </si>
  <si>
    <t>[string]饰品 饰品 朱雀翎 你造成伤害后敌方获得“灼羽”效果，受到得火焰伤害+20% 15    魅力35  [2]</t>
  </si>
  <si>
    <t>[string]饰品 饰品 玄武甲片 当你受到debuff时获得5点双抗 20    魅力45  [2]</t>
  </si>
  <si>
    <t>[string]饰品 饰品 青龙逆鳞 当你单次受到超过生命值50%伤害，你释放一次强大得冲击波，造成3d10得伤害并击飞对手 20    魅力60  [2]</t>
  </si>
  <si>
    <t>[string]饰品 饰品 白虎牙饰 你造成得伤害+2 15    魅力30  [2]</t>
  </si>
  <si>
    <t>[string]饰品 饰品 望舒簪 你的炼药成功率+10 15    魅力55  [2]</t>
  </si>
  <si>
    <t>[string]饰品 饰品 羲和璧 你的修习成功率+5 30    魅力75  [2]</t>
  </si>
  <si>
    <t>[string]饰品 饰品 捆仙绳 如果你使用技能让敌方无法移动，则他受到得伤害+50% 25    魅力65  [2]</t>
  </si>
  <si>
    <t>[string]饰品 饰品 赶山鞭 你可以不费吹灰之力拆掉各种建筑 10    魅力10  [2]</t>
  </si>
  <si>
    <t>[string]饰品 饰品 孟婆铃 你的攻击有10%概率让敌方忘记自己是来干嘛的 20    魅力55  [2]</t>
  </si>
  <si>
    <t>[string]饰品 饰品 判官笔 你的攻击会标记敌人，让其受到得下一次伤害翻倍 30    魅力60  [2]</t>
  </si>
  <si>
    <t>[string]饰品 饰品 生死簿 当你击败一名敌人得时候，获得全伤害提升+1双抗+1持续3天 25    魅力50  [2]</t>
  </si>
  <si>
    <t>[string]饰品 饰品 风伯袋 你的移动敏捷+10 15    魅力40  [2]</t>
  </si>
  <si>
    <t>[string]饰品 饰品 雷公凿 当你造成暴击得时候，你的暴击伤害增加50% 20    魅力40  [2]</t>
  </si>
  <si>
    <t>[string]饰品 饰品 雨师笠 在水中或者雨天得时候，你的闪避+30 15    魅力50  [2]</t>
  </si>
  <si>
    <t>[string]饰品 饰品 云母屏 当你双足立于大地之上不移动得时候，你的双抗+10 15    魅力30  [2]</t>
  </si>
  <si>
    <t>[string]饰品 饰品 蜃楼珠 你的攻击有30%概率造成失明 20    魅力35  [2]</t>
  </si>
  <si>
    <t>[string]饰品 饰品 绕梁琴 啊哈！你无师自通了一门乐器 10    魅力50  [2]</t>
  </si>
  <si>
    <t>[string]饰品 饰品 洛神坠 你的魅力+30 20    魅力30  [2]</t>
  </si>
  <si>
    <t>[string]饰品 饰品 和氏璧 你的销售额+30% 10    魅力70  [2]</t>
  </si>
  <si>
    <t>[string]饰品 饰品 镇魂钉 你的攻击对亡灵造成100%得禁锢 25    魅力60  [2]</t>
  </si>
  <si>
    <t>[string]饰品 饰品 八卦镜 我一眼就看出来你不是人！可以知晓一名敌人得一个属性（生命，技能成功率，某个技能介绍） 15    魅力50  [2]</t>
  </si>
  <si>
    <t>[string]饰品 饰品 岐山挂饰 你无视山石，森林，水泽地形 10    魅力35  [2]</t>
  </si>
  <si>
    <t>[string]武器 长剑 青萍剑 道韵：每次普攻命中敌人，增加自己20敏捷一回合 20     2d8 [2]</t>
  </si>
  <si>
    <t>[string]武器 长剑 斩妖剑 敕令：对亡灵生物伤害翻倍 20     1d8+1d4 [2]</t>
  </si>
  <si>
    <t>[string]武器 长剑 金钱剑 破邪：手持该剑可以看见平常看不见得鬼怪 15     1d8 [2]</t>
  </si>
  <si>
    <t>[string]武器 长剑 七星龙渊剑 每七次攻击后，额外造成一次七次攻击伤害综合得伤害 35     2d8 [2]</t>
  </si>
  <si>
    <t>[string]武器 长剑 松纹古铜剑 养炁：每次击败一个单位就可以恢复1d5法力值 20     1d8 [2]</t>
  </si>
  <si>
    <t>[string]武器 长剑 水火锋 淬炼：当造成火焰伤害得时候，额外造成一个同等数值得水属性伤害 20     1d8+4 [2]</t>
  </si>
  <si>
    <t>[string]武器 长剑 三宝玉如意 三宝：持有此剑，每次进行攻击恢复1d10生命 35     1d4 [2]</t>
  </si>
  <si>
    <t>[string]武器 长剑 太极两仪剑 两仪：当你造成魔法伤害时，造成一次等额物理伤害，当你造成物理伤害时，造成一次等额魔法伤害 35     3d8 [2]</t>
  </si>
  <si>
    <t>[string]武器 长剑 金光剑 造成得法术伤害+5 25     2d8+4 [2]</t>
  </si>
  <si>
    <t>[string]武器 长剑 五明降魔扇 造成的伤害至多传递给其他两名敌人 25     2d8 [2]</t>
  </si>
  <si>
    <t>[string]武器 阵旗 八卦阵旗 可以附着8个阵法 阵旗没有价格，仅可以随机获取     1d8 阵旗没有价格的项目保留原表说明[2]</t>
  </si>
  <si>
    <t>[string]武器 阵旗 星斗阵旗 可以附着一个阵法，同时阵法伤害增加1d8      1d10 阵旗没有价格的项目保留原表说明[2]</t>
  </si>
  <si>
    <t>[string]武器 阵旗 四象阵旗 可以附着一个阵法随机获得青龙（提升伤害3点）、朱雀（提升移动10）、白虎（提升双抗穿透5）、玄武（提升双抗10点）效果一次战斗只能获得一个效果      1d10 阵旗没有价格的项目保留原表说明[2]</t>
  </si>
  <si>
    <t>[string]武器 阵旗 六合阵旗 可以附着两个阵法，你没有死亡敌方无法从阵法里出来      1d10 阵旗没有价格的项目保留原表说明[2]</t>
  </si>
  <si>
    <t>[string]武器 阵旗 九宫阵旗 可以附着三个阵法，阵法消耗-3      1d10 阵旗没有价格的项目保留原表说明[2]</t>
  </si>
  <si>
    <t>[string]武器 阵旗 太乙阵旗 可以附着三个阵法，你可以消耗阵旗中的一个阵法为一名友方恢复10生命      1d8 阵旗没有价格的项目保留原表说明[2]</t>
  </si>
  <si>
    <t>[string]武器 阵旗 奇门遁甲旗 可以附着一个阵法，当你攻击命中敌人，可以立即给予一名友方一次次要行动使用速攻技能的机会      2d8 阵旗没有价格的项目保留原表说明[2]</t>
  </si>
  <si>
    <t>[string]武器 阵旗 万兽阵旗 可以附着两个阵法，被攻击的敌方会50%眩晕      1d10 阵旗没有价格的项目保留原表说明[2]</t>
  </si>
  <si>
    <t>[string]武器 阵旗 寒冰阵旗 可以附着三个阵法：被攻击的敌人无法闪避      2d10 阵旗没有价格的项目保留原表说明[2]</t>
  </si>
  <si>
    <t>[string]武器 阵旗 雷池阵旗 可以附着三个阵法，雷电伤害翻倍      2d10雷电 阵旗没有价格的项目保留原表说明[2]</t>
  </si>
  <si>
    <t>[string]武器 长枪 弑神戟 30%概率造成敌方30%最大生命值的真实伤害 50     5d8 [2]</t>
  </si>
  <si>
    <t>[string]武器 长枪 天帝旌旗 持有时提高我方全属性5点 50     5d8 [2]</t>
  </si>
  <si>
    <t>[string]武器 长枪 混沌开天矛 每次攻击视为三次普通攻击 50     5d8 [2]</t>
  </si>
  <si>
    <t>[string]武器 长枪 万龙祖鳞枪 持有时获得同等与血量的护盾 50     5d8 [2]</t>
  </si>
  <si>
    <t>[string]武器 长枪 轩辕夏禹枪 对非人生物造成200%伤害 50     5d8 [2]</t>
  </si>
  <si>
    <t>[string]武器 长枪 龙胆亮银枪 每面对一个敌方伤害增加10% 40     4d8 [2]</t>
  </si>
  <si>
    <t>[string]武器 长枪 虎头湛金枪 有50%概率眩晕敌方 40     4d8 [2]</t>
  </si>
  <si>
    <t>[string]武器 长枪 沥泉枪 每次攻击增加4点伤害，直到受到伤害重制 40     4d8 [2]</t>
  </si>
  <si>
    <t>[string]武器 长枪 梅花亮银枪 攻击扩散至其他至多两名敌方 40     4d8 [2]</t>
  </si>
  <si>
    <t>[string]武器 长枪 神威烈水枪 每场战斗一次，攻击命中可以击碎一件护甲 40     4d8 [2]</t>
  </si>
  <si>
    <t>[string]武器 长枪 蟠龙枪 使用技能后，下一次普攻翻倍 30     3d8 [2]</t>
  </si>
  <si>
    <t>[string]武器 长枪 穿云枪 你的攻击距离增加20米 30     3d8 [2]</t>
  </si>
  <si>
    <t>[string]武器 长枪 梨花枪 你的回合增加一次次要行动 30     3d8 [2]</t>
  </si>
  <si>
    <t>[string]武器 长枪 钩镰枪 命中时10%概率缴械 30     3d8 [2]</t>
  </si>
  <si>
    <t>[string]武器 长枪 雁翎枪 击败敌人时恢复1d5生命 30     3d8 [2]</t>
  </si>
  <si>
    <t>[string]武器 长枪 素缨枪 伤害+2 20     2d8 [2]</t>
  </si>
  <si>
    <t>[string]武器 长枪 黑铁枪 对倒地伤害+4 20     2d8 [2]</t>
  </si>
  <si>
    <t>[string]武器 长枪 白蜡杆 对空伤害+4 20     2d8 [2]</t>
  </si>
  <si>
    <t>[string]武器 长枪 红缨枪 枪花效果延长一回合 20     2d8 [2]</t>
  </si>
  <si>
    <t>[string]武器 长枪 制式长枪 不是所有的玩意都有效果 20     2d8 [2]</t>
  </si>
  <si>
    <t>[string]武器 长枪 饮血噬魂枪 20%吸血，受到的伤害增加50% 5     1d8 [2]</t>
  </si>
  <si>
    <t>[string]武器 长枪 碎星陨铁枪 造成双倍伤害，但自身行动仅有主要行动 5     1d8 [2]</t>
  </si>
  <si>
    <t>[string]武器 长枪 七杀破军戟 50%暴击，每次暴击受到1d5伤害 5     1d8 [2]</t>
  </si>
  <si>
    <t>[string]武器 长枪 怨灵白骨枪 造成魔法伤害，但命中降低10% 5     1d8 [2]</t>
  </si>
  <si>
    <t>[string]武器 长枪 逆鳞戟 当生命只有1的时候造成8倍伤害，战斗后武器损毁 5     1d8 [2]</t>
  </si>
  <si>
    <t>[string]武器 长枪 朽木枪 每次攻击有10%概率坏掉 5     1d8 [2]</t>
  </si>
  <si>
    <t>[string]武器 长枪 诅咒之矛 每回合受到1点生命值伤害 5     1d8 [2]</t>
  </si>
  <si>
    <t>[string]武器 长枪 厄运缠身戟 你的所有行动均为劣势 5     1d8 [2]</t>
  </si>
  <si>
    <t>[string]武器 长枪 离心离德枪 你的友方属性降低5点 5     1d8 [2]</t>
  </si>
  <si>
    <t>[string]武器 长枪 噬主凶刃 攻击有30%概率打向自己 5     1d8 [2]</t>
  </si>
  <si>
    <t>[string]武器 拳套 乾坤一气腕 你的生命值和法力可以互相转化 50     5d6 [2]</t>
  </si>
  <si>
    <t>[string]武器 拳套 女娲补天手 你可以普通攻击队友，恢复其造成伤害的生命，无法攻击自己 50     5d6 [2]</t>
  </si>
  <si>
    <t>[string]武器 拳套 昊天上帝拳 你的每一次攻击都有10%打出天谴 50     5d6 [2]</t>
  </si>
  <si>
    <t>[string]武器 拳套 盘古开天臂 你的普通攻击有5%概率秒杀对方 50     5d6 [2]</t>
  </si>
  <si>
    <t>[string]武器 拳套 东皇太一钟 你可以把任意数量的敌人和队友拉入绝对禁域，来形成你希望的战场 50     5d6 [2]</t>
  </si>
  <si>
    <t>[string]武器 拳套 八极震山靠 你的攻击必定造成一回合眩晕 40     4d6 [2]</t>
  </si>
  <si>
    <t>[string]武器 拳套 太极两仪环 你可以在反击的时候选择将对方的伤害还给对方，四两拨千斤 40     4d6 [2]</t>
  </si>
  <si>
    <t>[string]武器 拳套 降龙十八掌 你的攻击距离+10米，你的攻击伤害+5，并且无法闪避 40     4d6 [2]</t>
  </si>
  <si>
    <t>[string]武器 拳套 风云手甲 你的双抗+15 40     4d6 [2]</t>
  </si>
  <si>
    <t>[string]武器 拳套 金乌焚天爪 你的火属性伤害翻倍 40     4d6 [2]</t>
  </si>
  <si>
    <t>[string]武器 拳套 点穴判官笔 你的普攻造成截脉效果 30     3d6 [2]</t>
  </si>
  <si>
    <t>[string]武器 拳套 缠丝擒拿手 你可以擒拿一名敌方，擒拿三回合整视为对方无力反抗（扭断筋骨但活着） 30     3d6 [2]</t>
  </si>
  <si>
    <t>[string]武器 拳套 金钟罩铁布衫 那你的双抗+10 30     3d6 [2]</t>
  </si>
  <si>
    <t>[string]武器 拳套 燕子抄水 你的敏捷和闪避+30 30     3d6 [2]</t>
  </si>
  <si>
    <t>[string]武器 拳套 螳螂双刀腕 你的每次攻击都有30%概率再打一次 30     3d6 [2]</t>
  </si>
  <si>
    <t>[string]武器 拳套 牛皮护腕 获得10点生命值 20     2d6 [2]</t>
  </si>
  <si>
    <t>[string]武器 拳套 精铁拳扣 获得2点穿甲 20     2d6 [2]</t>
  </si>
  <si>
    <t>[string]武器 拳套 布艺绑手 每次战斗一次，你可以随时在任意攻击后再攻击一次 20     2d6 [2]</t>
  </si>
  <si>
    <t>[string]武器 拳套 竹片护臂 闪避+10 20     2d6 [2]</t>
  </si>
  <si>
    <t>[string]武器 拳套 麻绳拳套 这玩意没效果 20     2d6 [2]</t>
  </si>
  <si>
    <t>[string]武器 拳套 七伤拳套 伤害+5，受到你造成伤害20%的伤害 5     1d6 [2]</t>
  </si>
  <si>
    <t>[string]武器 拳套 血噬护腕 装备时法力值视为0，获得50%吸血 5     1d6 [2]</t>
  </si>
  <si>
    <t>[string]武器 拳套 逆经手甲 造成三倍伤害，但你只有主要阶段，且受到伤害翻倍 5     1d6 [2]</t>
  </si>
  <si>
    <t>[string]武器 拳套 怨憎丝 攻击造成额外一点灵魂伤害，自己受到一点灵魂伤害 5     1d6 [2]</t>
  </si>
  <si>
    <t>[string]武器 拳套 天魔解体带 自爆造成20d20伤害，无法复活 5     1d6 [2]</t>
  </si>
  <si>
    <t>[string]武器 拳套 朽木护腕 10%损坏 5     1d6 [2]</t>
  </si>
  <si>
    <t>[string]武器 拳套 漏气皮囊 你的生命上限-10 5     1d6 [2]</t>
  </si>
  <si>
    <t>[string]武器 拳套 失衡铁块 你无法闪避 5     1d6 [2]</t>
  </si>
  <si>
    <t>[string]武器 拳套 离心镣铐 你的命中等级-1 5     1d6 [2]</t>
  </si>
  <si>
    <t>[string]武器 拳套 诅咒绷带 你的所有行动拥有惩罚骰 5     1d6 [2]</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</si>
  <si>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</si>
  <si>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</si>
  <si>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</si>
  <si>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</si>
  <si>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</si>
  <si>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</si>
  <si>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</si>
  <si>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</si>
  <si>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</si>
  <si>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</si>
  <si>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</si>
  <si>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</si>
  <si>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</si>
  <si>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</si>
  <si>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</si>
  <si>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</si>
  <si>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</si>
  <si>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</si>
  <si>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</si>
  <si>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</si>
  <si>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</si>
  <si>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</si>
  <si>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</si>
  <si>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</si>
  <si>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</si>
  <si>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</si>
  <si>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</si>
  <si>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</si>
  <si>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</si>
  <si>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</si>
  <si>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</si>
  <si>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</si>
  <si>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</si>
  <si>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</si>
  <si>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</si>
  <si>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</si>
  <si>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</si>
  <si>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</si>
  <si>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</si>
  <si>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</si>
  <si>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</si>
  <si>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</si>
  <si>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</si>
  <si>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</si>
  <si>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</si>
  <si>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</si>
  <si>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</si>
  <si>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</si>
  <si>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</si>
  <si>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</si>
  <si>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</si>
  <si>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</si>
  <si>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</si>
  <si>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</si>
  <si>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</si>
  <si>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</si>
  <si>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</si>
  <si>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</si>
  <si>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</si>
  <si>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</si>
  <si>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</si>
  <si>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</si>
  <si>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</si>
  <si>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</si>
  <si>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</si>
  <si>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</si>
  <si>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</si>
  <si>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</si>
  <si>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</si>
  <si>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</si>
  <si>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</si>
  <si>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</si>
  <si>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</si>
  <si>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</si>
  <si>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</si>
  <si>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</si>
  <si>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</si>
  <si>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</si>
  <si>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</si>
  <si>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</si>
  <si>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</si>
  <si>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</si>
  <si>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</si>
  <si>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</si>
  <si>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</si>
  <si>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</si>
  <si>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</si>
  <si>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</si>
  <si>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</si>
  <si>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</si>
  <si>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</si>
  <si>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</si>
  <si>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</si>
  <si>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</si>
  <si>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</si>
  <si>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</si>
  <si>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</si>
  <si>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</si>
  <si>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</si>
  <si>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</si>
  <si>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</si>
  <si>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</si>
  <si>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</si>
  <si>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</si>
  <si>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</si>
  <si>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</si>
  <si>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</si>
  <si>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</si>
  <si>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</si>
  <si>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</si>
  <si>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</si>
  <si>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</si>
  <si>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</si>
  <si>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</si>
  <si>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</si>
  <si>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</si>
  <si>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</si>
  <si>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</si>
  <si>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</si>
  <si>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</si>
  <si>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</si>
  <si>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</si>
  <si>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</si>
  <si>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</si>
  <si>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</si>
  <si>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</si>
  <si>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</si>
  <si>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</si>
  <si>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</si>
  <si>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</si>
  <si>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</si>
  <si>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</si>
  <si>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</si>
  <si>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</si>
  <si>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</si>
  <si>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</si>
  <si>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</si>
  <si>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</si>
  <si>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</si>
  <si>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</si>
  <si>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</si>
  <si>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</si>
  <si>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</si>
  <si>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</si>
  <si>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</si>
  <si>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</si>
  <si>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</si>
  <si>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</si>
  <si>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</si>
  <si>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</si>
  <si>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</si>
  <si>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</si>
  <si>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</si>
  <si>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</si>
  <si>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</si>
  <si>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</si>
  <si>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</si>
  <si>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</si>
  <si>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</si>
  <si>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</si>
  <si>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</si>
  <si>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</si>
  <si>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</si>
  <si>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</si>
  <si>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</si>
  <si>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</si>
  <si>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</si>
  <si>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</si>
  <si>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</si>
  <si>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</si>
  <si>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</si>
  <si>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</si>
  <si>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</si>
  <si>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</si>
  <si>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</si>
  <si>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</si>
  <si>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</si>
  <si>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</si>
  <si>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</si>
  <si>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</si>
  <si>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</si>
  <si>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</si>
  <si>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</si>
  <si>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</si>
  <si>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</si>
  <si>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</si>
  <si>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</si>
  <si>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</si>
  <si>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</si>
  <si>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</si>
  <si>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</si>
  <si>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</si>
  <si>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</si>
  <si>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</si>
  <si>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</si>
  <si>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</si>
  <si>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成功几率</t>
  </si>
  <si>
    <t>物品名称</t>
  </si>
  <si>
    <t>技能介绍</t>
    <phoneticPr fontId="13" type="noConversion"/>
  </si>
  <si>
    <t>武器介绍</t>
    <phoneticPr fontId="13" type="noConversion"/>
  </si>
  <si>
    <t>物品介绍</t>
    <phoneticPr fontId="13" type="noConversion"/>
  </si>
  <si>
    <t>占位</t>
  </si>
  <si>
    <t>同主人</t>
    <phoneticPr fontId="13" type="noConversion"/>
  </si>
  <si>
    <t>2d6</t>
    <phoneticPr fontId="13" type="noConversion"/>
  </si>
  <si>
    <t>乐正家</t>
    <phoneticPr fontId="13" type="noConversion"/>
  </si>
  <si>
    <t>风雅、共鸣、控场支援</t>
    <phoneticPr fontId="13" type="noConversion"/>
  </si>
  <si>
    <t>擅长以乐器和灵魂音符进行控制、治疗、增速与灵魂打击</t>
    <phoneticPr fontId="13" type="noConversion"/>
  </si>
  <si>
    <t>雅乐金</t>
    <phoneticPr fontId="13" type="noConversion"/>
  </si>
  <si>
    <t>家族概览与升级方式</t>
    <phoneticPr fontId="13" type="noConversion"/>
  </si>
  <si>
    <t>家族</t>
    <phoneticPr fontId="13" type="noConversion"/>
  </si>
  <si>
    <t>核心定位</t>
    <phoneticPr fontId="13" type="noConversion"/>
  </si>
  <si>
    <t>家族描述</t>
    <phoneticPr fontId="13" type="noConversion"/>
  </si>
  <si>
    <t>升级方式</t>
    <phoneticPr fontId="13" type="noConversion"/>
  </si>
  <si>
    <t>代表体系</t>
    <phoneticPr fontId="13" type="noConversion"/>
  </si>
  <si>
    <t>备注</t>
    <phoneticPr fontId="13" type="noConversion"/>
  </si>
  <si>
    <t>雷火道法正宗</t>
    <phoneticPr fontId="13" type="noConversion"/>
  </si>
  <si>
    <t>玖镇最强势的道法家族之一，以雷法、火法和高压正统术法见长，路线鲜明，爆发和压制能力都很高。</t>
    <phoneticPr fontId="13" type="noConversion"/>
  </si>
  <si>
    <t>经验 0-20 入门、20-50 初阶、50-80 中阶、80+ 高阶；10、35、65 为关键节点。道力成长：大成功+10、极难+7+1d3、困难+5+1d5、普通+1+1d9、失败+2；符数成长：大成功+5、极难+3+1d2、困难+1+1d4、普通+1+1d2、失败+0。</t>
    <phoneticPr fontId="13" type="noConversion"/>
  </si>
  <si>
    <t>雷法 / 火法 / 阵符剑术</t>
    <phoneticPr fontId="13" type="noConversion"/>
  </si>
  <si>
    <t>20-35 道力开始决定雷法或火法主路线，后期拥有明确的大招与对应高阶特性。</t>
    <phoneticPr fontId="13" type="noConversion"/>
  </si>
  <si>
    <t>纯武学前线</t>
    <phoneticPr fontId="13" type="noConversion"/>
  </si>
  <si>
    <t>以拳法、枪法与硬桥硬马著称的武斗家族，依靠生命成长、武技连段和站场能力建立优势。</t>
    <phoneticPr fontId="13" type="noConversion"/>
  </si>
  <si>
    <t>每 10 经验为一个阶级。力量成长：大成功+7、极难+5+1d2、困难+3+1d4、普通+1+1d6、失败+1；多个阶段还会追加生命值成长。</t>
    <phoneticPr fontId="13" type="noConversion"/>
  </si>
  <si>
    <t>拳系 / 枪系 / 属性路线</t>
    <phoneticPr fontId="13" type="noConversion"/>
  </si>
  <si>
    <t>0-10 先选拳或枪，20-30 与 40-50 两次集中获得核心输出技能，50 级后解锁拳枪终极技。</t>
    <phoneticPr fontId="13" type="noConversion"/>
  </si>
  <si>
    <t>风水龙脉操盘</t>
    <phoneticPr fontId="13" type="noConversion"/>
  </si>
  <si>
    <t>擅长风水、龙脉和地形改造的隐世家族，既能走地脉战士路线，也能走法阵与蒙天的控制路线。</t>
    <phoneticPr fontId="13" type="noConversion"/>
  </si>
  <si>
    <t>经验 0-20 入门、20-50 初阶、50-80 中阶、80+ 高阶；10、35、65 为关键节点。道力与符数成长口径与张家一致。</t>
    <phoneticPr fontId="13" type="noConversion"/>
  </si>
  <si>
    <t>风水 / 龙脉 / 蒙天 / 战士或法师分支</t>
    <phoneticPr fontId="13" type="noConversion"/>
  </si>
  <si>
    <t>20-35 道力时分为战士和法师，前者吃生命与地脉，后者吃阵法与空间控制。</t>
    <phoneticPr fontId="13" type="noConversion"/>
  </si>
  <si>
    <t>占卜与天谴</t>
    <phoneticPr fontId="13" type="noConversion"/>
  </si>
  <si>
    <t>通过铜钱、卦象和阵旗改写战场走势的家族，擅长预测、资源博弈与高风险高回报的天机玩法。</t>
    <phoneticPr fontId="13" type="noConversion"/>
  </si>
  <si>
    <t>铜钱 / 占卜 / 术阵</t>
    <phoneticPr fontId="13" type="noConversion"/>
  </si>
  <si>
    <t>20-35 道力时分铜钱与术阵两路，后期都能把资源和天谴转化为极强的战场压制。</t>
    <phoneticPr fontId="13" type="noConversion"/>
  </si>
  <si>
    <t>商法与资源转换</t>
    <phoneticPr fontId="13" type="noConversion"/>
  </si>
  <si>
    <t>不靠常规战斗法门取胜，而是通过鉴价、议价、谈判和资金操盘把资源直接变成行动力与局势优势。</t>
    <phoneticPr fontId="13" type="noConversion"/>
  </si>
  <si>
    <t>文档中未采用常规经验分阶，整体更像一套独立的商法体系：角色直接获得商法特性与特殊技能，以资源与社交能力推动成长。</t>
    <phoneticPr fontId="13" type="noConversion"/>
  </si>
  <si>
    <t>商法 / 交涉 / 资源调度</t>
    <phoneticPr fontId="13" type="noConversion"/>
  </si>
  <si>
    <t>适合放在非战斗、交易、信息差与事件解决型场景中发力。</t>
    <phoneticPr fontId="13" type="noConversion"/>
  </si>
  <si>
    <t>机关与工巧格</t>
    <phoneticPr fontId="13" type="noConversion"/>
  </si>
  <si>
    <t>以工巧格、机械背包、魁人和各种墨器为核心的机关技术家族，强调背包管理、职业分化和现场工具学。</t>
    <phoneticPr fontId="13" type="noConversion"/>
  </si>
  <si>
    <t>基础 15 工巧格；成长检定成功等级决定工巧格增量。20 格转职为机巧师 / 偃师 / 布设师，25 格解锁每日一次特殊成长，30 格获得核心技能，35 格职业成熟，40 格获得究极技能。</t>
    <phoneticPr fontId="13" type="noConversion"/>
  </si>
  <si>
    <t>工巧格 / 魁人 / 机巧师-偃师-布设师</t>
    <phoneticPr fontId="13" type="noConversion"/>
  </si>
  <si>
    <t>新版中魁人与角色共享工巧格，墨器与魁人模组统一占用槽位。</t>
    <phoneticPr fontId="13" type="noConversion"/>
  </si>
  <si>
    <t>丹蛊与持续经营</t>
    <phoneticPr fontId="13" type="noConversion"/>
  </si>
  <si>
    <t>围绕炼丹、草药、蛊虫与药效叠加展开的家族，强在长期准备、恢复、增益与毒伤经营。</t>
    <phoneticPr fontId="13" type="noConversion"/>
  </si>
  <si>
    <t>每 20 经验一级。成长：大成功+10、极难+7+1d3、困难+5+1d5、普通+1+1d9、失败+2；每级四选二特性，逐级堆叠丹药与蛊虫强度。</t>
    <phoneticPr fontId="13" type="noConversion"/>
  </si>
  <si>
    <t>炼丹 / 蛊虫 / 药效叠加</t>
    <phoneticPr fontId="13" type="noConversion"/>
  </si>
  <si>
    <t>文档以等级特性为主，技能更像丹蛊结果而非传统主动技。</t>
    <phoneticPr fontId="13" type="noConversion"/>
  </si>
  <si>
    <t>附魔防护全能术</t>
    <phoneticPr fontId="13" type="noConversion"/>
  </si>
  <si>
    <t>拥有附魔、防护、能力和萨满分系的全能型家族，可兼顾强化、坦度、机动与持续支援。</t>
    <phoneticPr fontId="13" type="noConversion"/>
  </si>
  <si>
    <t>巫术每 10 点为一个等级。成长：大成功+7、极难+4+1d3、困难+2+1d5、普通+1d7、失败+2。起步选择主系统，中级后可补一个副系统。</t>
    <phoneticPr fontId="13" type="noConversion"/>
  </si>
  <si>
    <t>附魔 / 防护 / 能力 / 萨满</t>
    <phoneticPr fontId="13" type="noConversion"/>
  </si>
  <si>
    <t>越到后期越像可切换打法的模块化体系，适合多场景适配。</t>
    <phoneticPr fontId="13" type="noConversion"/>
  </si>
  <si>
    <t>炼鬼与术阵异道</t>
    <phoneticPr fontId="13" type="noConversion"/>
  </si>
  <si>
    <t>擅长契约小鬼、炼鬼和幽冥术法的异道家族，依赖魍魉分身、附体和亡灵系控制建立优势。</t>
    <phoneticPr fontId="13" type="noConversion"/>
  </si>
  <si>
    <t>小鬼 / 炼鬼 / 术阵</t>
    <phoneticPr fontId="13" type="noConversion"/>
  </si>
  <si>
    <t>20-35 道力起在术阵与炼鬼间分路，后期能把小鬼成长成核心输出与替命资源。</t>
    <phoneticPr fontId="13" type="noConversion"/>
  </si>
  <si>
    <t>音律控场与共鸣支援</t>
    <phoneticPr fontId="13" type="noConversion"/>
  </si>
  <si>
    <t>以乐器、灵魂音符与持续演奏为核心的风雅家族，兼具控场、治疗、增速、群体增援与灵魂伤害。</t>
    <phoneticPr fontId="13" type="noConversion"/>
  </si>
  <si>
    <t>每 20 经验成长 1 阶，上不封顶。成长：大成功+10、极难+7+1d3、困难+5+1d5、普通+1+1d9、失败+2；学习属性为魅力。初始 5 个灵魂音符，第一次成长后为 2 个灵魂音符，此后每成长 1 阶 +4。</t>
    <phoneticPr fontId="13" type="noConversion"/>
  </si>
  <si>
    <t>灵魂音符 / 打击乐 / 管弦乐 / 持续演奏</t>
    <phoneticPr fontId="13" type="noConversion"/>
  </si>
  <si>
    <t>11 音符阶段分打击乐与管弦乐；23+ 可成为对应乐器大师。注意乐正家的特性和技能要严格分开维护，不能把特性写入技能目录。</t>
    <phoneticPr fontId="13" type="noConversion"/>
  </si>
  <si>
    <t>技能配置</t>
    <phoneticPr fontId="13" type="noConversion"/>
  </si>
  <si>
    <t>空</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</si>
</sst>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5"/>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b/>
      <sz val="12.5"/>
      <color rgb="FFF9F9F9"/>
      <name val="KaiTi"/>
      <family val="3"/>
      <charset val="134"/>
    </font>
    <font>
      <b/>
      <sz val="11"/>
      <color rgb="FF2E2E2E"/>
      <name val="KaiTi"/>
      <family val="3"/>
      <charset val="134"/>
    </font>
    <font>
      <sz val="10.5"/>
      <color rgb="FF2E2E2E"/>
      <name val="KaiTi"/>
      <family val="3"/>
      <charset val="134"/>
    </font>
    <font>
      <b/>
      <sz val="10.5"/>
      <color rgb="FFF9F9F9"/>
      <name val="KaiTi"/>
      <family val="3"/>
      <charset val="134"/>
    </font>
    <font>
      <sz val="10"/>
      <color theme="1"/>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1.5"/>
      <color rgb="FF483819"/>
      <name val="KaiTi"/>
      <family val="3"/>
      <charset val="134"/>
    </font>
    <font>
      <sz val="10.5"/>
      <color rgb="FF483819"/>
      <name val="KaiTi"/>
      <family val="3"/>
      <charset val="134"/>
    </font>
    <font>
      <sz val="11"/>
      <color rgb="FF2E2E2E"/>
      <name val="KaiTi"/>
      <family val="3"/>
      <charset val="134"/>
    </font>
    <font>
      <b/>
      <sz val="10.5"/>
      <color rgb="FF2E2E2E"/>
      <name val="KaiTi"/>
      <family val="3"/>
      <charset val="134"/>
    </font>
    <font>
      <sz val="10.5"/>
      <color rgb="FFF9F9F9"/>
      <name val="KaiTi"/>
      <family val="3"/>
      <charset val="134"/>
    </font>
    <font>
      <b/>
      <sz val="13"/>
      <color rgb="FFF9F9F9"/>
      <name val="KaiTi"/>
      <family val="3"/>
      <charset val="134"/>
    </font>
    <font>
      <b/>
      <sz val="11.5"/>
      <color rgb="FFF9F9F9"/>
      <name val="KaiTi"/>
      <family val="3"/>
      <charset val="134"/>
    </font>
  </fonts>
  <fills count="37">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ECDDB8"/>
        <bgColor indexed="64"/>
      </patternFill>
    </fill>
    <fill>
      <patternFill patternType="solid">
        <fgColor rgb="FF56595E"/>
        <bgColor indexed="64"/>
      </patternFill>
    </fill>
    <fill>
      <patternFill patternType="solid">
        <fgColor rgb="FFF5EFE3"/>
        <bgColor indexed="64"/>
      </patternFill>
    </fill>
    <fill>
      <patternFill patternType="solid">
        <fgColor rgb="FF866828"/>
        <bgColor indexed="64"/>
      </patternFill>
    </fill>
    <fill>
      <patternFill patternType="solid">
        <fgColor rgb="FF705622"/>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3">
    <xf numFmtId="0" fontId="0" fillId="0" borderId="0">
      <alignment vertical="center"/>
    </xf>
    <xf numFmtId="0" fontId="8" fillId="0" borderId="0"/>
    <xf numFmtId="0" fontId="8" fillId="0" borderId="0"/>
  </cellStyleXfs>
  <cellXfs count="197">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0" applyFont="1" applyAlignment="1">
      <alignment vertical="center" wrapText="1"/>
    </xf>
    <xf numFmtId="0" fontId="14" fillId="0" borderId="0" xfId="0" applyFont="1" applyAlignment="1">
      <alignment vertical="center" wrapText="1"/>
    </xf>
    <xf numFmtId="0" fontId="16" fillId="0" borderId="0" xfId="2" applyFont="1"/>
    <xf numFmtId="0" fontId="19" fillId="3" borderId="7" xfId="1" applyFont="1" applyFill="1" applyBorder="1" applyAlignment="1">
      <alignment horizontal="left" vertical="center" wrapText="1"/>
    </xf>
    <xf numFmtId="0" fontId="16" fillId="3" borderId="0" xfId="2" applyFont="1" applyFill="1"/>
    <xf numFmtId="0" fontId="14" fillId="20" borderId="0" xfId="0" applyFont="1" applyFill="1" applyAlignment="1">
      <alignment vertical="center"/>
    </xf>
    <xf numFmtId="0" fontId="15" fillId="20" borderId="16" xfId="0" applyFont="1" applyFill="1" applyBorder="1" applyAlignment="1">
      <alignment vertical="center" wrapText="1"/>
    </xf>
    <xf numFmtId="0" fontId="15" fillId="20" borderId="17" xfId="0" applyFont="1" applyFill="1" applyBorder="1" applyAlignment="1">
      <alignment horizontal="center" vertical="center" wrapText="1"/>
    </xf>
    <xf numFmtId="0" fontId="15" fillId="20" borderId="18" xfId="0" applyFont="1" applyFill="1" applyBorder="1" applyAlignment="1">
      <alignment vertical="center" wrapText="1"/>
    </xf>
    <xf numFmtId="0" fontId="15" fillId="20" borderId="19" xfId="0" applyFont="1" applyFill="1" applyBorder="1" applyAlignment="1">
      <alignment vertical="center" wrapText="1"/>
    </xf>
    <xf numFmtId="0" fontId="15" fillId="20" borderId="20" xfId="0" applyFont="1" applyFill="1" applyBorder="1" applyAlignment="1">
      <alignment vertical="center" wrapText="1"/>
    </xf>
    <xf numFmtId="0" fontId="17" fillId="20" borderId="0" xfId="1" applyFont="1" applyFill="1" applyAlignment="1">
      <alignment horizontal="center" vertical="center" wrapText="1"/>
    </xf>
    <xf numFmtId="0" fontId="16" fillId="20" borderId="0" xfId="2" applyFont="1" applyFill="1"/>
    <xf numFmtId="0" fontId="18" fillId="20" borderId="7" xfId="1" applyFont="1" applyFill="1" applyBorder="1" applyAlignment="1">
      <alignment horizontal="left" vertical="center" wrapText="1"/>
    </xf>
    <xf numFmtId="0" fontId="18" fillId="20" borderId="8" xfId="1" applyFont="1" applyFill="1" applyBorder="1" applyAlignment="1">
      <alignment horizontal="left" vertical="center" wrapText="1"/>
    </xf>
    <xf numFmtId="0" fontId="19" fillId="20" borderId="7" xfId="1" applyFont="1" applyFill="1" applyBorder="1" applyAlignment="1">
      <alignment horizontal="left" vertical="center" wrapText="1"/>
    </xf>
    <xf numFmtId="0" fontId="19" fillId="20" borderId="10" xfId="1" applyFont="1" applyFill="1" applyBorder="1" applyAlignment="1">
      <alignment horizontal="left" vertical="center" wrapText="1"/>
    </xf>
    <xf numFmtId="0" fontId="19" fillId="20" borderId="8" xfId="1" applyFont="1" applyFill="1" applyBorder="1" applyAlignment="1">
      <alignment horizontal="left" vertical="center" wrapText="1"/>
    </xf>
    <xf numFmtId="0" fontId="27" fillId="22" borderId="2" xfId="1" applyFont="1" applyFill="1" applyBorder="1" applyAlignment="1">
      <alignment horizontal="center" vertical="center" wrapText="1"/>
    </xf>
    <xf numFmtId="0" fontId="27" fillId="22" borderId="3" xfId="1" applyFont="1" applyFill="1" applyBorder="1" applyAlignment="1">
      <alignment horizontal="center" vertical="center" wrapText="1"/>
    </xf>
    <xf numFmtId="0" fontId="27" fillId="22" borderId="4" xfId="1" applyFont="1" applyFill="1" applyBorder="1" applyAlignment="1">
      <alignment horizontal="center" vertical="center" wrapText="1"/>
    </xf>
    <xf numFmtId="0" fontId="27" fillId="22" borderId="6" xfId="1" applyFont="1" applyFill="1" applyBorder="1" applyAlignment="1">
      <alignment horizontal="center" vertical="center" wrapText="1"/>
    </xf>
    <xf numFmtId="0" fontId="29" fillId="23" borderId="2" xfId="1" applyFont="1" applyFill="1" applyBorder="1" applyAlignment="1">
      <alignment horizontal="left" vertical="center" wrapText="1"/>
    </xf>
    <xf numFmtId="0" fontId="29" fillId="23" borderId="3" xfId="1" applyFont="1" applyFill="1" applyBorder="1" applyAlignment="1">
      <alignment horizontal="center" vertical="center" wrapText="1"/>
    </xf>
    <xf numFmtId="0" fontId="29" fillId="23" borderId="3" xfId="1" applyFont="1" applyFill="1" applyBorder="1" applyAlignment="1">
      <alignment horizontal="left" vertical="center" wrapText="1"/>
    </xf>
    <xf numFmtId="0" fontId="29" fillId="23" borderId="4" xfId="1" applyFont="1" applyFill="1" applyBorder="1" applyAlignment="1">
      <alignment horizontal="left" vertical="center" wrapText="1"/>
    </xf>
    <xf numFmtId="0" fontId="29" fillId="23" borderId="6" xfId="1" applyFont="1" applyFill="1" applyBorder="1" applyAlignment="1">
      <alignment horizontal="left" vertical="center" wrapText="1"/>
    </xf>
    <xf numFmtId="0" fontId="29" fillId="23" borderId="9" xfId="1" applyFont="1" applyFill="1" applyBorder="1" applyAlignment="1">
      <alignment horizontal="left" vertical="center" wrapText="1"/>
    </xf>
    <xf numFmtId="0" fontId="29" fillId="23" borderId="9" xfId="1" applyFont="1" applyFill="1" applyBorder="1" applyAlignment="1">
      <alignment horizontal="center" vertical="center" wrapText="1"/>
    </xf>
    <xf numFmtId="0" fontId="24" fillId="28" borderId="0" xfId="0" applyFont="1" applyFill="1" applyAlignment="1">
      <alignment vertical="center" wrapText="1"/>
    </xf>
    <xf numFmtId="0" fontId="14" fillId="23" borderId="11" xfId="0" applyFont="1" applyFill="1" applyBorder="1" applyAlignment="1">
      <alignment horizontal="center" vertical="center" wrapText="1"/>
    </xf>
    <xf numFmtId="0" fontId="14" fillId="23" borderId="1" xfId="0" applyFont="1" applyFill="1" applyBorder="1" applyAlignment="1">
      <alignment horizontal="center" vertical="center" wrapText="1"/>
    </xf>
    <xf numFmtId="0" fontId="14" fillId="32" borderId="1" xfId="0" applyFont="1" applyFill="1" applyBorder="1" applyAlignment="1">
      <alignment horizontal="center" vertical="center"/>
    </xf>
    <xf numFmtId="0" fontId="34" fillId="23" borderId="21"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25" fillId="21" borderId="1" xfId="0" applyFont="1" applyFill="1" applyBorder="1" applyAlignment="1">
      <alignment horizontal="center" vertical="center" wrapText="1"/>
    </xf>
    <xf numFmtId="0" fontId="28" fillId="19" borderId="1" xfId="0" applyFont="1" applyFill="1" applyBorder="1" applyAlignment="1">
      <alignment horizontal="center" vertical="center" wrapText="1"/>
    </xf>
    <xf numFmtId="0" fontId="15" fillId="20" borderId="0" xfId="0" applyFont="1" applyFill="1" applyAlignment="1">
      <alignment horizontal="center" vertical="center" wrapText="1"/>
    </xf>
    <xf numFmtId="0" fontId="31" fillId="21" borderId="15" xfId="0" applyFont="1" applyFill="1" applyBorder="1" applyAlignment="1">
      <alignment horizontal="center" vertical="center" wrapText="1"/>
    </xf>
    <xf numFmtId="0" fontId="31" fillId="19" borderId="15" xfId="0" applyFont="1" applyFill="1" applyBorder="1" applyAlignment="1">
      <alignment horizontal="center" vertical="center" wrapText="1"/>
    </xf>
    <xf numFmtId="0" fontId="31" fillId="25" borderId="15" xfId="0" applyFont="1" applyFill="1" applyBorder="1" applyAlignment="1">
      <alignment horizontal="center" vertical="center" wrapText="1"/>
    </xf>
    <xf numFmtId="0" fontId="32" fillId="25" borderId="0" xfId="0" applyFont="1" applyFill="1" applyAlignment="1">
      <alignment horizontal="center" vertical="center" wrapText="1"/>
    </xf>
    <xf numFmtId="0" fontId="32" fillId="20" borderId="0" xfId="0" applyFont="1" applyFill="1" applyAlignment="1">
      <alignment horizontal="center" vertical="center" wrapText="1"/>
    </xf>
    <xf numFmtId="0" fontId="15" fillId="20" borderId="16" xfId="0" applyFont="1" applyFill="1" applyBorder="1" applyAlignment="1">
      <alignment horizontal="center" vertical="center" wrapText="1"/>
    </xf>
    <xf numFmtId="0" fontId="35" fillId="26" borderId="0" xfId="0" applyFont="1" applyFill="1" applyAlignment="1">
      <alignment horizontal="center" vertical="center" wrapText="1"/>
    </xf>
    <xf numFmtId="0" fontId="35" fillId="20" borderId="0" xfId="0" applyFont="1" applyFill="1" applyAlignment="1">
      <alignment horizontal="center" vertical="center" wrapText="1"/>
    </xf>
    <xf numFmtId="0" fontId="33" fillId="21" borderId="15" xfId="0" applyFont="1" applyFill="1" applyBorder="1" applyAlignment="1">
      <alignment horizontal="center" vertical="center" wrapText="1"/>
    </xf>
    <xf numFmtId="0" fontId="33" fillId="20" borderId="15" xfId="0" applyFont="1" applyFill="1" applyBorder="1" applyAlignment="1">
      <alignment horizontal="center" vertical="center" wrapText="1"/>
    </xf>
    <xf numFmtId="0" fontId="33" fillId="19" borderId="1" xfId="0" applyFont="1" applyFill="1" applyBorder="1" applyAlignment="1">
      <alignment horizontal="center" vertical="center" wrapText="1"/>
    </xf>
    <xf numFmtId="0" fontId="34" fillId="23" borderId="21" xfId="0" applyFont="1" applyFill="1" applyBorder="1" applyAlignment="1">
      <alignment horizontal="center" vertical="center" wrapText="1"/>
    </xf>
    <xf numFmtId="0" fontId="33" fillId="21" borderId="1" xfId="0" applyFont="1" applyFill="1" applyBorder="1" applyAlignment="1">
      <alignment horizontal="center" vertical="center" wrapText="1"/>
    </xf>
    <xf numFmtId="0" fontId="33" fillId="20" borderId="1" xfId="0" applyFont="1" applyFill="1" applyBorder="1" applyAlignment="1">
      <alignment horizontal="center" vertical="center" wrapText="1"/>
    </xf>
    <xf numFmtId="0" fontId="31" fillId="21" borderId="11" xfId="0" applyFont="1" applyFill="1" applyBorder="1" applyAlignment="1">
      <alignment horizontal="center" vertical="center" wrapText="1"/>
    </xf>
    <xf numFmtId="0" fontId="31" fillId="21" borderId="12" xfId="0" applyFont="1" applyFill="1" applyBorder="1" applyAlignment="1">
      <alignment horizontal="center" vertical="center" wrapText="1"/>
    </xf>
    <xf numFmtId="0" fontId="31" fillId="21" borderId="13" xfId="0" applyFont="1" applyFill="1" applyBorder="1" applyAlignment="1">
      <alignment horizontal="center" vertical="center" wrapText="1"/>
    </xf>
    <xf numFmtId="0" fontId="32" fillId="25" borderId="11" xfId="0" applyFont="1" applyFill="1" applyBorder="1" applyAlignment="1">
      <alignment horizontal="center" vertical="center" wrapText="1"/>
    </xf>
    <xf numFmtId="0" fontId="32" fillId="25" borderId="13" xfId="0" applyFont="1" applyFill="1" applyBorder="1" applyAlignment="1">
      <alignment horizontal="center" vertical="center" wrapText="1"/>
    </xf>
    <xf numFmtId="0" fontId="32" fillId="19" borderId="14" xfId="0" applyFont="1" applyFill="1" applyBorder="1" applyAlignment="1">
      <alignment horizontal="center" vertical="center" wrapText="1"/>
    </xf>
    <xf numFmtId="0" fontId="32" fillId="19" borderId="0" xfId="0" applyFont="1" applyFill="1" applyBorder="1" applyAlignment="1">
      <alignment horizontal="center" vertical="center" wrapText="1"/>
    </xf>
    <xf numFmtId="0" fontId="33" fillId="21" borderId="0" xfId="0" applyFont="1" applyFill="1" applyAlignment="1">
      <alignment horizontal="center" vertical="center" wrapText="1"/>
    </xf>
    <xf numFmtId="0" fontId="32" fillId="19" borderId="11" xfId="0" applyFont="1" applyFill="1" applyBorder="1" applyAlignment="1">
      <alignment horizontal="center" vertical="center" wrapText="1"/>
    </xf>
    <xf numFmtId="0" fontId="32" fillId="19" borderId="12" xfId="0" applyFont="1" applyFill="1" applyBorder="1" applyAlignment="1">
      <alignment horizontal="center" vertical="center" wrapText="1"/>
    </xf>
    <xf numFmtId="0" fontId="32" fillId="19" borderId="13" xfId="0" applyFont="1" applyFill="1" applyBorder="1" applyAlignment="1">
      <alignment horizontal="center" vertical="center" wrapText="1"/>
    </xf>
    <xf numFmtId="0" fontId="14" fillId="23" borderId="12" xfId="0" applyFont="1" applyFill="1" applyBorder="1" applyAlignment="1">
      <alignment horizontal="center" vertical="center" wrapText="1"/>
    </xf>
    <xf numFmtId="0" fontId="14" fillId="23" borderId="1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25" fillId="21" borderId="0" xfId="1" applyFont="1" applyFill="1" applyAlignment="1">
      <alignment horizontal="center" vertical="center" wrapText="1"/>
    </xf>
    <xf numFmtId="0" fontId="28" fillId="19" borderId="2" xfId="1" applyFont="1" applyFill="1" applyBorder="1" applyAlignment="1">
      <alignment horizontal="center" vertical="center" wrapText="1"/>
    </xf>
    <xf numFmtId="0" fontId="28" fillId="19" borderId="3" xfId="1" applyFont="1" applyFill="1" applyBorder="1" applyAlignment="1">
      <alignment horizontal="center" vertical="center" wrapText="1"/>
    </xf>
    <xf numFmtId="0" fontId="28" fillId="19" borderId="4" xfId="1" applyFont="1" applyFill="1" applyBorder="1" applyAlignment="1">
      <alignment horizontal="center" vertical="center" wrapText="1"/>
    </xf>
    <xf numFmtId="0" fontId="28" fillId="19" borderId="5" xfId="1" applyFont="1" applyFill="1" applyBorder="1" applyAlignment="1">
      <alignment horizontal="center" vertical="center" wrapText="1"/>
    </xf>
    <xf numFmtId="0" fontId="28" fillId="19" borderId="6" xfId="1" applyFont="1" applyFill="1" applyBorder="1" applyAlignment="1">
      <alignment horizontal="center" vertical="center" wrapText="1"/>
    </xf>
    <xf numFmtId="0" fontId="28" fillId="25" borderId="5" xfId="1" applyFont="1" applyFill="1" applyBorder="1" applyAlignment="1">
      <alignment horizontal="center" vertical="center" wrapText="1"/>
    </xf>
    <xf numFmtId="0" fontId="29" fillId="24" borderId="6" xfId="1" applyFont="1" applyFill="1" applyBorder="1" applyAlignment="1">
      <alignment horizontal="left" vertical="center" wrapText="1"/>
    </xf>
    <xf numFmtId="0" fontId="27" fillId="22" borderId="21" xfId="0" applyFont="1" applyFill="1" applyBorder="1" applyAlignment="1">
      <alignment horizontal="center" vertical="center" wrapText="1"/>
    </xf>
    <xf numFmtId="0" fontId="29" fillId="23" borderId="21" xfId="0" applyFont="1" applyFill="1" applyBorder="1" applyAlignment="1">
      <alignment vertical="center" wrapText="1"/>
    </xf>
    <xf numFmtId="0" fontId="30" fillId="11" borderId="21" xfId="0" applyFont="1" applyFill="1" applyBorder="1" applyAlignment="1">
      <alignment horizontal="center" vertical="center" wrapText="1"/>
    </xf>
    <xf numFmtId="0" fontId="30" fillId="12" borderId="21" xfId="0" applyFont="1" applyFill="1" applyBorder="1" applyAlignment="1">
      <alignment horizontal="center" vertical="center" wrapText="1"/>
    </xf>
    <xf numFmtId="0" fontId="30" fillId="13" borderId="21" xfId="0" applyFont="1" applyFill="1" applyBorder="1" applyAlignment="1">
      <alignment horizontal="center" vertical="center" wrapText="1"/>
    </xf>
    <xf numFmtId="0" fontId="30" fillId="14" borderId="21" xfId="0" applyFont="1" applyFill="1" applyBorder="1" applyAlignment="1">
      <alignment horizontal="center" vertical="center" wrapText="1"/>
    </xf>
    <xf numFmtId="0" fontId="30" fillId="15" borderId="21" xfId="0" applyFont="1" applyFill="1" applyBorder="1" applyAlignment="1">
      <alignment horizontal="center" vertical="center" wrapText="1"/>
    </xf>
    <xf numFmtId="0" fontId="30" fillId="2" borderId="21" xfId="0" applyFont="1" applyFill="1" applyBorder="1" applyAlignment="1">
      <alignment horizontal="center" vertical="center" wrapText="1"/>
    </xf>
    <xf numFmtId="0" fontId="30" fillId="16" borderId="21" xfId="0" applyFont="1" applyFill="1" applyBorder="1" applyAlignment="1">
      <alignment horizontal="center" vertical="center" wrapText="1"/>
    </xf>
    <xf numFmtId="0" fontId="30" fillId="17" borderId="21" xfId="0" applyFont="1" applyFill="1" applyBorder="1" applyAlignment="1">
      <alignment horizontal="center" vertical="center" wrapText="1"/>
    </xf>
    <xf numFmtId="0" fontId="30" fillId="18" borderId="21" xfId="0" applyFont="1" applyFill="1" applyBorder="1" applyAlignment="1">
      <alignment horizontal="center" vertical="center" wrapText="1"/>
    </xf>
    <xf numFmtId="0" fontId="30" fillId="19" borderId="21" xfId="0" applyFont="1" applyFill="1" applyBorder="1" applyAlignment="1">
      <alignment horizontal="center" vertical="center" wrapText="1"/>
    </xf>
    <xf numFmtId="0" fontId="29" fillId="24" borderId="21" xfId="0" applyFont="1" applyFill="1" applyBorder="1" applyAlignment="1">
      <alignment vertical="center" wrapText="1"/>
    </xf>
    <xf numFmtId="0" fontId="29" fillId="24" borderId="21" xfId="0" applyFont="1" applyFill="1" applyBorder="1" applyAlignment="1">
      <alignment vertical="center" wrapText="1"/>
    </xf>
    <xf numFmtId="0" fontId="34" fillId="23" borderId="25" xfId="0" applyFont="1" applyFill="1" applyBorder="1" applyAlignment="1">
      <alignment horizontal="center" vertical="center" wrapText="1"/>
    </xf>
    <xf numFmtId="0" fontId="34" fillId="23" borderId="26" xfId="0" applyFont="1" applyFill="1" applyBorder="1" applyAlignment="1">
      <alignment horizontal="center" vertical="center" wrapText="1"/>
    </xf>
    <xf numFmtId="0" fontId="34" fillId="23" borderId="27" xfId="0" applyFont="1" applyFill="1" applyBorder="1" applyAlignment="1">
      <alignment horizontal="center" vertical="center" wrapText="1"/>
    </xf>
    <xf numFmtId="0" fontId="34" fillId="23" borderId="28" xfId="0" applyFont="1" applyFill="1" applyBorder="1" applyAlignment="1">
      <alignment horizontal="center" vertical="center" wrapText="1"/>
    </xf>
    <xf numFmtId="0" fontId="34" fillId="23" borderId="29" xfId="0" applyFont="1" applyFill="1" applyBorder="1" applyAlignment="1">
      <alignment horizontal="center" vertical="center" wrapText="1"/>
    </xf>
    <xf numFmtId="0" fontId="34" fillId="23" borderId="30" xfId="0" applyFont="1" applyFill="1" applyBorder="1" applyAlignment="1">
      <alignment horizontal="center" vertical="center" wrapText="1"/>
    </xf>
    <xf numFmtId="0" fontId="32" fillId="19" borderId="28" xfId="0" applyFont="1" applyFill="1" applyBorder="1" applyAlignment="1">
      <alignment horizontal="center" vertical="center" wrapText="1"/>
    </xf>
    <xf numFmtId="0" fontId="32" fillId="19" borderId="29" xfId="0" applyFont="1" applyFill="1" applyBorder="1" applyAlignment="1">
      <alignment horizontal="center" vertical="center" wrapText="1"/>
    </xf>
    <xf numFmtId="0" fontId="32" fillId="19" borderId="30" xfId="0" applyFont="1" applyFill="1" applyBorder="1" applyAlignment="1">
      <alignment horizontal="center" vertical="center" wrapText="1"/>
    </xf>
    <xf numFmtId="0" fontId="34" fillId="23" borderId="31" xfId="0" applyFont="1" applyFill="1" applyBorder="1" applyAlignment="1">
      <alignment horizontal="center" vertical="center" wrapText="1"/>
    </xf>
    <xf numFmtId="0" fontId="34" fillId="23" borderId="32" xfId="0" applyFont="1" applyFill="1" applyBorder="1" applyAlignment="1">
      <alignment horizontal="center" vertical="center" wrapText="1"/>
    </xf>
    <xf numFmtId="0" fontId="34" fillId="23" borderId="33" xfId="0" applyFont="1" applyFill="1" applyBorder="1" applyAlignment="1">
      <alignment horizontal="center" vertical="center" wrapText="1"/>
    </xf>
    <xf numFmtId="0" fontId="27" fillId="22" borderId="21" xfId="0" applyFont="1" applyFill="1" applyBorder="1" applyAlignment="1">
      <alignment horizontal="center" vertical="center" wrapText="1"/>
    </xf>
    <xf numFmtId="0" fontId="34" fillId="23" borderId="21" xfId="0" applyFont="1" applyFill="1" applyBorder="1" applyAlignment="1">
      <alignment vertical="center" wrapText="1"/>
    </xf>
    <xf numFmtId="0" fontId="27" fillId="20" borderId="21" xfId="0" applyFont="1" applyFill="1" applyBorder="1" applyAlignment="1">
      <alignment horizontal="center" vertical="center" wrapText="1"/>
    </xf>
    <xf numFmtId="0" fontId="29" fillId="26" borderId="21" xfId="0" applyFont="1" applyFill="1" applyBorder="1" applyAlignment="1">
      <alignment horizontal="center" vertical="center" wrapText="1"/>
    </xf>
    <xf numFmtId="0" fontId="29" fillId="23" borderId="21" xfId="0" applyFont="1" applyFill="1" applyBorder="1" applyAlignment="1">
      <alignment horizontal="center" vertical="center" wrapText="1"/>
    </xf>
    <xf numFmtId="0" fontId="29" fillId="20" borderId="21" xfId="0" applyFont="1" applyFill="1" applyBorder="1" applyAlignment="1">
      <alignment horizontal="center" vertical="center" wrapText="1"/>
    </xf>
    <xf numFmtId="0" fontId="26" fillId="27" borderId="21" xfId="0" applyFont="1" applyFill="1" applyBorder="1" applyAlignment="1">
      <alignment horizontal="center" vertical="center" wrapText="1"/>
    </xf>
    <xf numFmtId="0" fontId="29" fillId="26" borderId="21" xfId="0" applyFont="1" applyFill="1" applyBorder="1" applyAlignment="1">
      <alignment vertical="center" wrapText="1"/>
    </xf>
    <xf numFmtId="0" fontId="29" fillId="23" borderId="21" xfId="0" applyFont="1" applyFill="1" applyBorder="1" applyAlignment="1">
      <alignment horizontal="center" vertical="center" wrapText="1"/>
    </xf>
    <xf numFmtId="0" fontId="29" fillId="24" borderId="21" xfId="0" applyFont="1" applyFill="1" applyBorder="1" applyAlignment="1">
      <alignment horizontal="center" vertical="center" wrapText="1"/>
    </xf>
    <xf numFmtId="0" fontId="29" fillId="24" borderId="21" xfId="0" applyFont="1" applyFill="1" applyBorder="1" applyAlignment="1">
      <alignment horizontal="center" vertical="center" wrapText="1"/>
    </xf>
    <xf numFmtId="0" fontId="32" fillId="25" borderId="21" xfId="0" applyFont="1" applyFill="1" applyBorder="1" applyAlignment="1">
      <alignment horizontal="center" vertical="center" wrapText="1"/>
    </xf>
    <xf numFmtId="0" fontId="29" fillId="20" borderId="21" xfId="0" applyFont="1" applyFill="1" applyBorder="1" applyAlignment="1">
      <alignment horizontal="center" vertical="center" wrapText="1"/>
    </xf>
    <xf numFmtId="0" fontId="32" fillId="19" borderId="21" xfId="0" applyFont="1" applyFill="1" applyBorder="1" applyAlignment="1">
      <alignment horizontal="center" vertical="center" wrapText="1"/>
    </xf>
    <xf numFmtId="0" fontId="28" fillId="21" borderId="21" xfId="0" applyFont="1" applyFill="1" applyBorder="1" applyAlignment="1">
      <alignment horizontal="center" vertical="center" wrapText="1"/>
    </xf>
    <xf numFmtId="0" fontId="26" fillId="24" borderId="21" xfId="0" applyFont="1" applyFill="1" applyBorder="1" applyAlignment="1">
      <alignment horizontal="center" vertical="center" wrapText="1"/>
    </xf>
    <xf numFmtId="0" fontId="27" fillId="22" borderId="22" xfId="0" applyFont="1" applyFill="1" applyBorder="1" applyAlignment="1">
      <alignment horizontal="center" vertical="center" wrapText="1"/>
    </xf>
    <xf numFmtId="0" fontId="27" fillId="22" borderId="23" xfId="0" applyFont="1" applyFill="1" applyBorder="1" applyAlignment="1">
      <alignment horizontal="center" vertical="center" wrapText="1"/>
    </xf>
    <xf numFmtId="0" fontId="27" fillId="22" borderId="24" xfId="0" applyFont="1" applyFill="1" applyBorder="1" applyAlignment="1">
      <alignment horizontal="center" vertical="center" wrapText="1"/>
    </xf>
    <xf numFmtId="0" fontId="26" fillId="22" borderId="21" xfId="0" applyFont="1" applyFill="1" applyBorder="1" applyAlignment="1">
      <alignment horizontal="center" vertical="center" wrapText="1"/>
    </xf>
    <xf numFmtId="0" fontId="28" fillId="19" borderId="21" xfId="0" applyFont="1" applyFill="1" applyBorder="1" applyAlignment="1">
      <alignment horizontal="center" vertical="center" wrapText="1"/>
    </xf>
    <xf numFmtId="0" fontId="35" fillId="24" borderId="21" xfId="0" applyFont="1" applyFill="1" applyBorder="1" applyAlignment="1">
      <alignment vertical="center" wrapText="1"/>
    </xf>
    <xf numFmtId="0" fontId="28" fillId="25" borderId="21" xfId="0" applyFont="1" applyFill="1" applyBorder="1" applyAlignment="1">
      <alignment horizontal="center" vertical="center" wrapText="1"/>
    </xf>
    <xf numFmtId="0" fontId="27" fillId="22" borderId="21" xfId="1" applyFont="1" applyFill="1" applyBorder="1" applyAlignment="1">
      <alignment horizontal="center" vertical="center" wrapText="1"/>
    </xf>
    <xf numFmtId="0" fontId="29" fillId="23" borderId="21" xfId="1" applyFont="1" applyFill="1" applyBorder="1" applyAlignment="1">
      <alignment horizontal="left" vertical="center" wrapText="1"/>
    </xf>
    <xf numFmtId="0" fontId="29" fillId="23" borderId="21" xfId="2" applyFont="1" applyFill="1" applyBorder="1" applyAlignment="1">
      <alignment horizontal="center" wrapText="1"/>
    </xf>
    <xf numFmtId="0" fontId="29" fillId="23" borderId="21" xfId="2" applyFont="1" applyFill="1" applyBorder="1" applyAlignment="1">
      <alignment wrapText="1"/>
    </xf>
    <xf numFmtId="0" fontId="28" fillId="19" borderId="21" xfId="1" applyFont="1" applyFill="1" applyBorder="1" applyAlignment="1">
      <alignment horizontal="center" vertical="center" wrapText="1"/>
    </xf>
    <xf numFmtId="0" fontId="27" fillId="22" borderId="21" xfId="2" applyFont="1" applyFill="1" applyBorder="1" applyAlignment="1">
      <alignment horizontal="center" vertical="center" wrapText="1"/>
    </xf>
    <xf numFmtId="0" fontId="29" fillId="23" borderId="21" xfId="1" applyFont="1" applyFill="1" applyBorder="1" applyAlignment="1">
      <alignment horizontal="center" vertical="center" wrapText="1"/>
    </xf>
    <xf numFmtId="0" fontId="28" fillId="25" borderId="21" xfId="2" applyFont="1" applyFill="1" applyBorder="1" applyAlignment="1">
      <alignment horizontal="center" vertical="center" wrapText="1"/>
    </xf>
    <xf numFmtId="0" fontId="29" fillId="24" borderId="21" xfId="1" applyFont="1" applyFill="1" applyBorder="1" applyAlignment="1">
      <alignment horizontal="left" vertical="center" wrapText="1"/>
    </xf>
    <xf numFmtId="0" fontId="26" fillId="26" borderId="21" xfId="0" applyFont="1" applyFill="1" applyBorder="1" applyAlignment="1">
      <alignment vertical="center" wrapText="1"/>
    </xf>
    <xf numFmtId="0" fontId="21" fillId="30" borderId="21" xfId="0" applyFont="1" applyFill="1" applyBorder="1" applyAlignment="1">
      <alignment horizontal="center" vertical="center" wrapText="1"/>
    </xf>
    <xf numFmtId="0" fontId="22" fillId="31" borderId="21" xfId="0" applyFont="1" applyFill="1" applyBorder="1" applyAlignment="1">
      <alignment vertical="center" wrapText="1"/>
    </xf>
    <xf numFmtId="0" fontId="20" fillId="29" borderId="22" xfId="0" applyFont="1" applyFill="1" applyBorder="1" applyAlignment="1">
      <alignment horizontal="center" vertical="center" wrapText="1"/>
    </xf>
    <xf numFmtId="0" fontId="20" fillId="29" borderId="23" xfId="0" applyFont="1" applyFill="1" applyBorder="1" applyAlignment="1">
      <alignment horizontal="center" vertical="center" wrapText="1"/>
    </xf>
    <xf numFmtId="0" fontId="20" fillId="29" borderId="24" xfId="0" applyFont="1" applyFill="1" applyBorder="1" applyAlignment="1">
      <alignment horizontal="center" vertical="center" wrapText="1"/>
    </xf>
    <xf numFmtId="0" fontId="21" fillId="30" borderId="22" xfId="0" applyFont="1" applyFill="1" applyBorder="1" applyAlignment="1">
      <alignment horizontal="center" vertical="center" wrapText="1"/>
    </xf>
    <xf numFmtId="0" fontId="21" fillId="30" borderId="23" xfId="0" applyFont="1" applyFill="1" applyBorder="1" applyAlignment="1">
      <alignment horizontal="center" vertical="center" wrapText="1"/>
    </xf>
    <xf numFmtId="0" fontId="21" fillId="30" borderId="24" xfId="0" applyFont="1" applyFill="1" applyBorder="1" applyAlignment="1">
      <alignment horizontal="center" vertical="center" wrapText="1"/>
    </xf>
    <xf numFmtId="0" fontId="23" fillId="11" borderId="22" xfId="0" applyFont="1" applyFill="1" applyBorder="1" applyAlignment="1">
      <alignment horizontal="center" vertical="center" wrapText="1"/>
    </xf>
    <xf numFmtId="0" fontId="22" fillId="31" borderId="23" xfId="0" applyFont="1" applyFill="1" applyBorder="1" applyAlignment="1">
      <alignment vertical="center" wrapText="1"/>
    </xf>
    <xf numFmtId="0" fontId="22" fillId="31" borderId="24" xfId="0" applyFont="1" applyFill="1" applyBorder="1" applyAlignment="1">
      <alignment vertical="center" wrapText="1"/>
    </xf>
    <xf numFmtId="0" fontId="23" fillId="12" borderId="22" xfId="0" applyFont="1" applyFill="1" applyBorder="1" applyAlignment="1">
      <alignment horizontal="center" vertical="center" wrapText="1"/>
    </xf>
    <xf numFmtId="0" fontId="23" fillId="13" borderId="22" xfId="0" applyFont="1" applyFill="1" applyBorder="1" applyAlignment="1">
      <alignment horizontal="center" vertical="center" wrapText="1"/>
    </xf>
    <xf numFmtId="0" fontId="23" fillId="14" borderId="22" xfId="0" applyFont="1" applyFill="1" applyBorder="1" applyAlignment="1">
      <alignment horizontal="center" vertical="center" wrapText="1"/>
    </xf>
    <xf numFmtId="0" fontId="23" fillId="15" borderId="22" xfId="0" applyFont="1" applyFill="1" applyBorder="1" applyAlignment="1">
      <alignment horizontal="center" vertical="center" wrapText="1"/>
    </xf>
    <xf numFmtId="0" fontId="23" fillId="2" borderId="22" xfId="0" applyFont="1" applyFill="1" applyBorder="1" applyAlignment="1">
      <alignment horizontal="center" vertical="center" wrapText="1"/>
    </xf>
    <xf numFmtId="0" fontId="23" fillId="16" borderId="22" xfId="0" applyFont="1" applyFill="1" applyBorder="1" applyAlignment="1">
      <alignment horizontal="center" vertical="center" wrapText="1"/>
    </xf>
    <xf numFmtId="0" fontId="23" fillId="17" borderId="22" xfId="0" applyFont="1" applyFill="1" applyBorder="1" applyAlignment="1">
      <alignment horizontal="center" vertical="center" wrapText="1"/>
    </xf>
    <xf numFmtId="0" fontId="23" fillId="18" borderId="22" xfId="0" applyFont="1" applyFill="1" applyBorder="1" applyAlignment="1">
      <alignment horizontal="center" vertical="center" wrapText="1"/>
    </xf>
    <xf numFmtId="0" fontId="23" fillId="19" borderId="22" xfId="0" applyFont="1" applyFill="1" applyBorder="1" applyAlignment="1">
      <alignment horizontal="center" vertical="center" wrapText="1"/>
    </xf>
    <xf numFmtId="0" fontId="14" fillId="28" borderId="0" xfId="0" applyFont="1" applyFill="1" applyAlignment="1">
      <alignment vertical="center"/>
    </xf>
    <xf numFmtId="0" fontId="39" fillId="29" borderId="21" xfId="0" applyFont="1" applyFill="1" applyBorder="1" applyAlignment="1">
      <alignment horizontal="center" vertical="center" wrapText="1"/>
    </xf>
    <xf numFmtId="0" fontId="38" fillId="33" borderId="21" xfId="0" applyFont="1" applyFill="1" applyBorder="1" applyAlignment="1">
      <alignment vertical="center" wrapText="1"/>
    </xf>
    <xf numFmtId="0" fontId="38" fillId="11" borderId="21" xfId="0" applyFont="1" applyFill="1" applyBorder="1" applyAlignment="1">
      <alignment vertical="center" wrapText="1"/>
    </xf>
    <xf numFmtId="0" fontId="38" fillId="15" borderId="21" xfId="0" applyFont="1" applyFill="1" applyBorder="1" applyAlignment="1">
      <alignment vertical="center" wrapText="1"/>
    </xf>
    <xf numFmtId="0" fontId="38" fillId="18" borderId="21" xfId="0" applyFont="1" applyFill="1" applyBorder="1" applyAlignment="1">
      <alignment vertical="center" wrapText="1"/>
    </xf>
    <xf numFmtId="0" fontId="38" fillId="13" borderId="21" xfId="0" applyFont="1" applyFill="1" applyBorder="1" applyAlignment="1">
      <alignment vertical="center" wrapText="1"/>
    </xf>
    <xf numFmtId="0" fontId="38" fillId="14" borderId="21" xfId="0" applyFont="1" applyFill="1" applyBorder="1" applyAlignment="1">
      <alignment vertical="center" wrapText="1"/>
    </xf>
    <xf numFmtId="0" fontId="38" fillId="12" borderId="21" xfId="0" applyFont="1" applyFill="1" applyBorder="1" applyAlignment="1">
      <alignment vertical="center" wrapText="1"/>
    </xf>
    <xf numFmtId="0" fontId="38" fillId="17" borderId="21" xfId="0" applyFont="1" applyFill="1" applyBorder="1" applyAlignment="1">
      <alignment vertical="center" wrapText="1"/>
    </xf>
    <xf numFmtId="0" fontId="38" fillId="16" borderId="21" xfId="0" applyFont="1" applyFill="1" applyBorder="1" applyAlignment="1">
      <alignment vertical="center" wrapText="1"/>
    </xf>
    <xf numFmtId="0" fontId="38" fillId="19" borderId="21" xfId="0" applyFont="1" applyFill="1" applyBorder="1" applyAlignment="1">
      <alignment vertical="center" wrapText="1"/>
    </xf>
    <xf numFmtId="0" fontId="22" fillId="34" borderId="21" xfId="0" applyFont="1" applyFill="1" applyBorder="1" applyAlignment="1">
      <alignment vertical="center" wrapText="1"/>
    </xf>
    <xf numFmtId="0" fontId="14" fillId="28" borderId="21" xfId="0" applyFont="1" applyFill="1" applyBorder="1" applyAlignment="1">
      <alignment vertical="center"/>
    </xf>
    <xf numFmtId="0" fontId="22" fillId="30" borderId="21" xfId="0" applyFont="1" applyFill="1" applyBorder="1" applyAlignment="1">
      <alignment vertical="center" wrapText="1"/>
    </xf>
    <xf numFmtId="0" fontId="22" fillId="34" borderId="21" xfId="0" applyFont="1" applyFill="1" applyBorder="1" applyAlignment="1">
      <alignment vertical="center" wrapText="1"/>
    </xf>
    <xf numFmtId="0" fontId="36" fillId="31" borderId="21" xfId="0" applyFont="1" applyFill="1" applyBorder="1" applyAlignment="1">
      <alignment vertical="center" wrapText="1"/>
    </xf>
    <xf numFmtId="0" fontId="37" fillId="30" borderId="21" xfId="0" applyFont="1" applyFill="1" applyBorder="1" applyAlignment="1">
      <alignment horizontal="center" vertical="center" wrapText="1"/>
    </xf>
    <xf numFmtId="0" fontId="22" fillId="31" borderId="21" xfId="0" applyFont="1" applyFill="1" applyBorder="1" applyAlignment="1">
      <alignment horizontal="center" vertical="center" wrapText="1"/>
    </xf>
    <xf numFmtId="0" fontId="40" fillId="35" borderId="21" xfId="0" applyFont="1" applyFill="1" applyBorder="1" applyAlignment="1">
      <alignment horizontal="center" vertical="center" wrapText="1"/>
    </xf>
    <xf numFmtId="0" fontId="40" fillId="36" borderId="21" xfId="0" applyFont="1" applyFill="1" applyBorder="1" applyAlignment="1">
      <alignment horizontal="center" vertical="center" wrapText="1"/>
    </xf>
    <xf numFmtId="0" fontId="37" fillId="30" borderId="21" xfId="0" applyFont="1" applyFill="1" applyBorder="1" applyAlignment="1">
      <alignment horizontal="center" vertical="center" wrapText="1"/>
    </xf>
    <xf numFmtId="0" fontId="22" fillId="31" borderId="21" xfId="0" applyFont="1" applyFill="1" applyBorder="1" applyAlignment="1">
      <alignment vertical="center" wrapText="1"/>
    </xf>
    <xf numFmtId="0" fontId="14" fillId="32" borderId="22" xfId="0" applyFont="1" applyFill="1" applyBorder="1" applyAlignment="1">
      <alignment horizontal="center" vertical="center"/>
    </xf>
    <xf numFmtId="0" fontId="14" fillId="23" borderId="34" xfId="0" applyFont="1" applyFill="1" applyBorder="1" applyAlignment="1">
      <alignment horizontal="center" vertical="center" wrapText="1"/>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tabSelected="1" topLeftCell="A13" workbookViewId="0">
      <selection activeCell="F26" sqref="F26"/>
    </sheetView>
  </sheetViews>
  <sheetFormatPr defaultColWidth="8.88671875" defaultRowHeight="14.4"/>
  <cols>
    <col min="1" max="1" width="10.77734375" style="9" customWidth="1"/>
    <col min="2" max="2" width="14.77734375" style="9" customWidth="1"/>
    <col min="3" max="3" width="26.77734375" style="9" customWidth="1"/>
    <col min="4" max="4" width="52.77734375" style="9" customWidth="1"/>
    <col min="5" max="5" width="22.77734375" style="9" customWidth="1"/>
    <col min="6" max="6" width="24.77734375" style="9" customWidth="1"/>
    <col min="7" max="16384" width="8.88671875" style="9"/>
  </cols>
  <sheetData>
    <row r="1" spans="1:4" ht="16.8">
      <c r="A1" s="46" t="s">
        <v>0</v>
      </c>
      <c r="B1" s="46"/>
      <c r="C1" s="46"/>
      <c r="D1" s="46"/>
    </row>
    <row r="2" spans="1:4" ht="15">
      <c r="A2" s="93" t="s">
        <v>1</v>
      </c>
      <c r="B2" s="93" t="s">
        <v>2600</v>
      </c>
      <c r="C2" s="15"/>
      <c r="D2" s="15"/>
    </row>
    <row r="3" spans="1:4">
      <c r="A3" s="15"/>
      <c r="B3" s="15"/>
      <c r="C3" s="15"/>
      <c r="D3" s="15"/>
    </row>
    <row r="4" spans="1:4" ht="28.05" customHeight="1">
      <c r="A4" s="47" t="s">
        <v>2</v>
      </c>
      <c r="B4" s="47"/>
      <c r="C4" s="47"/>
      <c r="D4" s="47"/>
    </row>
    <row r="5" spans="1:4" ht="28.05" customHeight="1">
      <c r="A5" s="93" t="s">
        <v>407</v>
      </c>
      <c r="B5" s="93" t="s">
        <v>408</v>
      </c>
      <c r="C5" s="93" t="s">
        <v>409</v>
      </c>
      <c r="D5" s="93" t="s">
        <v>410</v>
      </c>
    </row>
    <row r="6" spans="1:4" ht="28.05" customHeight="1">
      <c r="A6" s="94" t="s">
        <v>411</v>
      </c>
      <c r="B6" s="94" t="s">
        <v>412</v>
      </c>
      <c r="C6" s="94" t="s">
        <v>413</v>
      </c>
      <c r="D6" s="95" t="s">
        <v>414</v>
      </c>
    </row>
    <row r="7" spans="1:4" ht="28.05" customHeight="1">
      <c r="A7" s="94" t="s">
        <v>415</v>
      </c>
      <c r="B7" s="94" t="s">
        <v>416</v>
      </c>
      <c r="C7" s="94" t="s">
        <v>417</v>
      </c>
      <c r="D7" s="96" t="s">
        <v>418</v>
      </c>
    </row>
    <row r="8" spans="1:4" ht="28.05" customHeight="1">
      <c r="A8" s="94" t="s">
        <v>419</v>
      </c>
      <c r="B8" s="94" t="s">
        <v>420</v>
      </c>
      <c r="C8" s="94" t="s">
        <v>421</v>
      </c>
      <c r="D8" s="97" t="s">
        <v>422</v>
      </c>
    </row>
    <row r="9" spans="1:4" ht="28.05" customHeight="1">
      <c r="A9" s="94" t="s">
        <v>423</v>
      </c>
      <c r="B9" s="94" t="s">
        <v>424</v>
      </c>
      <c r="C9" s="94" t="s">
        <v>425</v>
      </c>
      <c r="D9" s="98" t="s">
        <v>426</v>
      </c>
    </row>
    <row r="10" spans="1:4" ht="28.05" customHeight="1">
      <c r="A10" s="94" t="s">
        <v>427</v>
      </c>
      <c r="B10" s="94" t="s">
        <v>428</v>
      </c>
      <c r="C10" s="94" t="s">
        <v>429</v>
      </c>
      <c r="D10" s="99" t="s">
        <v>430</v>
      </c>
    </row>
    <row r="11" spans="1:4" ht="28.05" customHeight="1">
      <c r="A11" s="94" t="s">
        <v>431</v>
      </c>
      <c r="B11" s="94" t="s">
        <v>432</v>
      </c>
      <c r="C11" s="94" t="s">
        <v>433</v>
      </c>
      <c r="D11" s="100" t="s">
        <v>434</v>
      </c>
    </row>
    <row r="12" spans="1:4" ht="28.05" customHeight="1">
      <c r="A12" s="94" t="s">
        <v>435</v>
      </c>
      <c r="B12" s="94" t="s">
        <v>436</v>
      </c>
      <c r="C12" s="94" t="s">
        <v>437</v>
      </c>
      <c r="D12" s="101" t="s">
        <v>438</v>
      </c>
    </row>
    <row r="13" spans="1:4" ht="28.05" customHeight="1">
      <c r="A13" s="94" t="s">
        <v>439</v>
      </c>
      <c r="B13" s="94" t="s">
        <v>440</v>
      </c>
      <c r="C13" s="94" t="s">
        <v>441</v>
      </c>
      <c r="D13" s="102" t="s">
        <v>442</v>
      </c>
    </row>
    <row r="14" spans="1:4" ht="28.05" customHeight="1">
      <c r="A14" s="94" t="s">
        <v>443</v>
      </c>
      <c r="B14" s="94" t="s">
        <v>444</v>
      </c>
      <c r="C14" s="94" t="s">
        <v>445</v>
      </c>
      <c r="D14" s="103" t="s">
        <v>446</v>
      </c>
    </row>
    <row r="15" spans="1:4" ht="28.05" customHeight="1">
      <c r="A15" s="94" t="s">
        <v>2600</v>
      </c>
      <c r="B15" s="94" t="s">
        <v>2601</v>
      </c>
      <c r="C15" s="94" t="s">
        <v>2602</v>
      </c>
      <c r="D15" s="104" t="s">
        <v>2603</v>
      </c>
    </row>
    <row r="16" spans="1:4" ht="28.05" customHeight="1">
      <c r="A16" s="105" t="s">
        <v>448</v>
      </c>
      <c r="B16" s="106" t="s">
        <v>449</v>
      </c>
      <c r="C16" s="106"/>
      <c r="D16" s="106"/>
    </row>
    <row r="17" spans="1:6" ht="28.05" customHeight="1">
      <c r="A17" s="105" t="s">
        <v>450</v>
      </c>
      <c r="B17" s="106"/>
      <c r="C17" s="106"/>
      <c r="D17" s="106"/>
    </row>
    <row r="19" spans="1:6" ht="30" customHeight="1">
      <c r="A19" s="154" t="s">
        <v>2604</v>
      </c>
      <c r="B19" s="155"/>
      <c r="C19" s="155"/>
      <c r="D19" s="155"/>
      <c r="E19" s="155"/>
      <c r="F19" s="156"/>
    </row>
    <row r="20" spans="1:6" ht="30" customHeight="1">
      <c r="A20" s="157" t="s">
        <v>2605</v>
      </c>
      <c r="B20" s="158" t="s">
        <v>2606</v>
      </c>
      <c r="C20" s="158" t="s">
        <v>2607</v>
      </c>
      <c r="D20" s="158" t="s">
        <v>2608</v>
      </c>
      <c r="E20" s="158" t="s">
        <v>2609</v>
      </c>
      <c r="F20" s="159" t="s">
        <v>2610</v>
      </c>
    </row>
    <row r="21" spans="1:6" ht="30" customHeight="1">
      <c r="A21" s="160" t="s">
        <v>411</v>
      </c>
      <c r="B21" s="161" t="s">
        <v>2611</v>
      </c>
      <c r="C21" s="161" t="s">
        <v>2612</v>
      </c>
      <c r="D21" s="161" t="s">
        <v>2613</v>
      </c>
      <c r="E21" s="161" t="s">
        <v>2614</v>
      </c>
      <c r="F21" s="162" t="s">
        <v>2615</v>
      </c>
    </row>
    <row r="22" spans="1:6" ht="30" customHeight="1">
      <c r="A22" s="163" t="s">
        <v>415</v>
      </c>
      <c r="B22" s="161" t="s">
        <v>2616</v>
      </c>
      <c r="C22" s="161" t="s">
        <v>2617</v>
      </c>
      <c r="D22" s="161" t="s">
        <v>2618</v>
      </c>
      <c r="E22" s="161" t="s">
        <v>2619</v>
      </c>
      <c r="F22" s="162" t="s">
        <v>2620</v>
      </c>
    </row>
    <row r="23" spans="1:6" ht="30" customHeight="1">
      <c r="A23" s="164" t="s">
        <v>419</v>
      </c>
      <c r="B23" s="161" t="s">
        <v>2621</v>
      </c>
      <c r="C23" s="161" t="s">
        <v>2622</v>
      </c>
      <c r="D23" s="161" t="s">
        <v>2623</v>
      </c>
      <c r="E23" s="161" t="s">
        <v>2624</v>
      </c>
      <c r="F23" s="162" t="s">
        <v>2625</v>
      </c>
    </row>
    <row r="24" spans="1:6" ht="30" customHeight="1">
      <c r="A24" s="165" t="s">
        <v>423</v>
      </c>
      <c r="B24" s="161" t="s">
        <v>2626</v>
      </c>
      <c r="C24" s="161" t="s">
        <v>2627</v>
      </c>
      <c r="D24" s="161" t="s">
        <v>2623</v>
      </c>
      <c r="E24" s="161" t="s">
        <v>2628</v>
      </c>
      <c r="F24" s="162" t="s">
        <v>2629</v>
      </c>
    </row>
    <row r="25" spans="1:6" ht="30" customHeight="1">
      <c r="A25" s="166" t="s">
        <v>427</v>
      </c>
      <c r="B25" s="161" t="s">
        <v>2630</v>
      </c>
      <c r="C25" s="161" t="s">
        <v>2631</v>
      </c>
      <c r="D25" s="161" t="s">
        <v>2632</v>
      </c>
      <c r="E25" s="161" t="s">
        <v>2633</v>
      </c>
      <c r="F25" s="162" t="s">
        <v>2634</v>
      </c>
    </row>
    <row r="26" spans="1:6" ht="30" customHeight="1">
      <c r="A26" s="167" t="s">
        <v>431</v>
      </c>
      <c r="B26" s="161" t="s">
        <v>2635</v>
      </c>
      <c r="C26" s="161" t="s">
        <v>2636</v>
      </c>
      <c r="D26" s="161" t="s">
        <v>2637</v>
      </c>
      <c r="E26" s="161" t="s">
        <v>2638</v>
      </c>
      <c r="F26" s="162" t="s">
        <v>2639</v>
      </c>
    </row>
    <row r="27" spans="1:6" ht="30" customHeight="1">
      <c r="A27" s="168" t="s">
        <v>435</v>
      </c>
      <c r="B27" s="161" t="s">
        <v>2640</v>
      </c>
      <c r="C27" s="161" t="s">
        <v>2641</v>
      </c>
      <c r="D27" s="161" t="s">
        <v>2642</v>
      </c>
      <c r="E27" s="161" t="s">
        <v>2643</v>
      </c>
      <c r="F27" s="162" t="s">
        <v>2644</v>
      </c>
    </row>
    <row r="28" spans="1:6" ht="30" customHeight="1">
      <c r="A28" s="169" t="s">
        <v>439</v>
      </c>
      <c r="B28" s="161" t="s">
        <v>2645</v>
      </c>
      <c r="C28" s="161" t="s">
        <v>2646</v>
      </c>
      <c r="D28" s="161" t="s">
        <v>2647</v>
      </c>
      <c r="E28" s="161" t="s">
        <v>2648</v>
      </c>
      <c r="F28" s="162" t="s">
        <v>2649</v>
      </c>
    </row>
    <row r="29" spans="1:6" ht="30" customHeight="1">
      <c r="A29" s="170" t="s">
        <v>443</v>
      </c>
      <c r="B29" s="161" t="s">
        <v>2650</v>
      </c>
      <c r="C29" s="161" t="s">
        <v>2651</v>
      </c>
      <c r="D29" s="161" t="s">
        <v>2623</v>
      </c>
      <c r="E29" s="161" t="s">
        <v>2652</v>
      </c>
      <c r="F29" s="162" t="s">
        <v>2653</v>
      </c>
    </row>
    <row r="30" spans="1:6" ht="30" customHeight="1">
      <c r="A30" s="171" t="s">
        <v>2600</v>
      </c>
      <c r="B30" s="161" t="s">
        <v>2654</v>
      </c>
      <c r="C30" s="161" t="s">
        <v>2655</v>
      </c>
      <c r="D30" s="161" t="s">
        <v>2656</v>
      </c>
      <c r="E30" s="161" t="s">
        <v>2657</v>
      </c>
      <c r="F30" s="162" t="s">
        <v>2658</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55"/>
  <sheetViews>
    <sheetView topLeftCell="A28" zoomScale="75" zoomScaleNormal="75" workbookViewId="0">
      <selection activeCell="L46" sqref="L46"/>
    </sheetView>
  </sheetViews>
  <sheetFormatPr defaultColWidth="9" defaultRowHeight="15"/>
  <cols>
    <col min="1" max="22" width="11.77734375" style="10" customWidth="1"/>
    <col min="23" max="16384" width="9" style="10"/>
  </cols>
  <sheetData>
    <row r="1" spans="1:22" ht="25.05" customHeight="1">
      <c r="A1" s="49" t="s">
        <v>12</v>
      </c>
      <c r="B1" s="49"/>
      <c r="C1" s="49"/>
      <c r="D1" s="49"/>
      <c r="E1" s="48"/>
      <c r="F1" s="50" t="s">
        <v>13</v>
      </c>
      <c r="G1" s="50"/>
      <c r="H1" s="50"/>
      <c r="I1" s="50"/>
      <c r="J1" s="50"/>
      <c r="K1" s="50"/>
      <c r="L1" s="48"/>
      <c r="M1" s="51" t="s">
        <v>14</v>
      </c>
      <c r="N1" s="51"/>
      <c r="O1" s="51"/>
      <c r="P1" s="48"/>
      <c r="Q1" s="49" t="s">
        <v>15</v>
      </c>
      <c r="R1" s="49"/>
      <c r="S1" s="49"/>
      <c r="T1" s="49"/>
      <c r="U1" s="49"/>
      <c r="V1" s="49"/>
    </row>
    <row r="2" spans="1:22" ht="25.05" customHeight="1">
      <c r="A2" s="43" t="s">
        <v>16</v>
      </c>
      <c r="B2" s="60"/>
      <c r="C2" s="60"/>
      <c r="D2" s="60"/>
      <c r="E2" s="48"/>
      <c r="F2" s="60" t="s">
        <v>17</v>
      </c>
      <c r="G2" s="60"/>
      <c r="H2" s="60" t="s">
        <v>18</v>
      </c>
      <c r="I2" s="60"/>
      <c r="J2" s="60" t="s">
        <v>19</v>
      </c>
      <c r="K2" s="60"/>
      <c r="L2" s="48"/>
      <c r="M2" s="60" t="s">
        <v>20</v>
      </c>
      <c r="N2" s="60"/>
      <c r="O2" s="60"/>
      <c r="P2" s="48"/>
      <c r="Q2" s="107" t="s">
        <v>21</v>
      </c>
      <c r="R2" s="108"/>
      <c r="S2" s="108"/>
      <c r="T2" s="108"/>
      <c r="U2" s="108"/>
      <c r="V2" s="109"/>
    </row>
    <row r="3" spans="1:22" ht="25.05" customHeight="1">
      <c r="A3" s="43" t="s">
        <v>22</v>
      </c>
      <c r="B3" s="60"/>
      <c r="C3" s="60"/>
      <c r="D3" s="60"/>
      <c r="E3" s="48"/>
      <c r="F3" s="60"/>
      <c r="G3" s="60"/>
      <c r="H3" s="60"/>
      <c r="I3" s="60"/>
      <c r="J3" s="60"/>
      <c r="K3" s="60"/>
      <c r="L3" s="48"/>
      <c r="M3" s="60"/>
      <c r="N3" s="60"/>
      <c r="O3" s="60"/>
      <c r="P3" s="48"/>
      <c r="Q3" s="110"/>
      <c r="R3" s="111"/>
      <c r="S3" s="111"/>
      <c r="T3" s="111"/>
      <c r="U3" s="111"/>
      <c r="V3" s="112"/>
    </row>
    <row r="4" spans="1:22" ht="25.05" customHeight="1">
      <c r="A4" s="43" t="s">
        <v>23</v>
      </c>
      <c r="B4" s="60"/>
      <c r="C4" s="60"/>
      <c r="D4" s="60"/>
      <c r="E4" s="48"/>
      <c r="F4" s="60" t="s">
        <v>24</v>
      </c>
      <c r="G4" s="60"/>
      <c r="H4" s="60" t="s">
        <v>25</v>
      </c>
      <c r="I4" s="60"/>
      <c r="J4" s="60"/>
      <c r="K4" s="60"/>
      <c r="L4" s="48"/>
      <c r="M4" s="60"/>
      <c r="N4" s="60"/>
      <c r="O4" s="60"/>
      <c r="P4" s="48"/>
      <c r="Q4" s="110"/>
      <c r="R4" s="111"/>
      <c r="S4" s="111"/>
      <c r="T4" s="111"/>
      <c r="U4" s="111"/>
      <c r="V4" s="112"/>
    </row>
    <row r="5" spans="1:22" ht="25.05" customHeight="1">
      <c r="A5" s="43" t="s">
        <v>26</v>
      </c>
      <c r="B5" s="60"/>
      <c r="C5" s="60"/>
      <c r="D5" s="60"/>
      <c r="E5" s="48"/>
      <c r="F5" s="60"/>
      <c r="G5" s="60"/>
      <c r="H5" s="60"/>
      <c r="I5" s="60"/>
      <c r="J5" s="60"/>
      <c r="K5" s="60"/>
      <c r="L5" s="48"/>
      <c r="M5" s="60"/>
      <c r="N5" s="60"/>
      <c r="O5" s="60"/>
      <c r="P5" s="48"/>
      <c r="Q5" s="110"/>
      <c r="R5" s="111"/>
      <c r="S5" s="111"/>
      <c r="T5" s="111"/>
      <c r="U5" s="111"/>
      <c r="V5" s="112"/>
    </row>
    <row r="6" spans="1:22" ht="25.05" customHeight="1">
      <c r="A6" s="43" t="s">
        <v>27</v>
      </c>
      <c r="B6" s="60"/>
      <c r="C6" s="60"/>
      <c r="D6" s="60"/>
      <c r="E6" s="48"/>
      <c r="F6" s="60" t="s">
        <v>28</v>
      </c>
      <c r="G6" s="60"/>
      <c r="H6" s="60" t="s">
        <v>29</v>
      </c>
      <c r="I6" s="60"/>
      <c r="J6" s="60"/>
      <c r="K6" s="60"/>
      <c r="L6" s="48"/>
      <c r="M6" s="60"/>
      <c r="N6" s="60"/>
      <c r="O6" s="60"/>
      <c r="P6" s="48"/>
      <c r="Q6" s="110" t="s">
        <v>30</v>
      </c>
      <c r="R6" s="111"/>
      <c r="S6" s="111"/>
      <c r="T6" s="111"/>
      <c r="U6" s="111"/>
      <c r="V6" s="112"/>
    </row>
    <row r="7" spans="1:22" ht="25.05" customHeight="1">
      <c r="A7" s="43" t="s">
        <v>31</v>
      </c>
      <c r="B7" s="60"/>
      <c r="C7" s="60"/>
      <c r="D7" s="60"/>
      <c r="E7" s="48"/>
      <c r="F7" s="60"/>
      <c r="G7" s="60"/>
      <c r="H7" s="60"/>
      <c r="I7" s="60"/>
      <c r="J7" s="60"/>
      <c r="K7" s="60"/>
      <c r="L7" s="48"/>
      <c r="M7" s="60"/>
      <c r="N7" s="60"/>
      <c r="O7" s="60"/>
      <c r="P7" s="48"/>
      <c r="Q7" s="110"/>
      <c r="R7" s="111"/>
      <c r="S7" s="111"/>
      <c r="T7" s="111"/>
      <c r="U7" s="111"/>
      <c r="V7" s="112"/>
    </row>
    <row r="8" spans="1:22" ht="25.05" customHeight="1">
      <c r="A8" s="43" t="s">
        <v>32</v>
      </c>
      <c r="B8" s="60"/>
      <c r="C8" s="60"/>
      <c r="D8" s="60"/>
      <c r="E8" s="48"/>
      <c r="F8" s="60" t="s">
        <v>33</v>
      </c>
      <c r="G8" s="60"/>
      <c r="H8" s="60" t="s">
        <v>34</v>
      </c>
      <c r="I8" s="60"/>
      <c r="J8" s="60"/>
      <c r="K8" s="60"/>
      <c r="L8" s="48"/>
      <c r="M8" s="60"/>
      <c r="N8" s="60"/>
      <c r="O8" s="60"/>
      <c r="P8" s="48"/>
      <c r="Q8" s="110"/>
      <c r="R8" s="111"/>
      <c r="S8" s="111"/>
      <c r="T8" s="111"/>
      <c r="U8" s="111"/>
      <c r="V8" s="112"/>
    </row>
    <row r="9" spans="1:22" ht="25.05" customHeight="1">
      <c r="A9" s="43" t="s">
        <v>35</v>
      </c>
      <c r="B9" s="60"/>
      <c r="C9" s="60"/>
      <c r="D9" s="60"/>
      <c r="E9" s="48"/>
      <c r="F9" s="60"/>
      <c r="G9" s="60"/>
      <c r="H9" s="60"/>
      <c r="I9" s="60"/>
      <c r="J9" s="60" t="s">
        <v>36</v>
      </c>
      <c r="K9" s="60"/>
      <c r="L9" s="48"/>
      <c r="M9" s="60"/>
      <c r="N9" s="60"/>
      <c r="O9" s="60"/>
      <c r="P9" s="48"/>
      <c r="Q9" s="110"/>
      <c r="R9" s="111"/>
      <c r="S9" s="111"/>
      <c r="T9" s="111"/>
      <c r="U9" s="111"/>
      <c r="V9" s="112"/>
    </row>
    <row r="10" spans="1:22" ht="25.05" customHeight="1">
      <c r="A10" s="52"/>
      <c r="B10" s="52"/>
      <c r="C10" s="52"/>
      <c r="D10" s="52"/>
      <c r="E10" s="53"/>
      <c r="F10" s="52"/>
      <c r="G10" s="52"/>
      <c r="H10" s="52"/>
      <c r="I10" s="52"/>
      <c r="J10" s="52"/>
      <c r="K10" s="52"/>
      <c r="L10" s="52"/>
      <c r="M10" s="52"/>
      <c r="N10" s="52"/>
      <c r="O10" s="52"/>
      <c r="P10" s="53"/>
      <c r="Q10" s="113" t="s">
        <v>37</v>
      </c>
      <c r="R10" s="114"/>
      <c r="S10" s="114"/>
      <c r="T10" s="114"/>
      <c r="U10" s="114"/>
      <c r="V10" s="115"/>
    </row>
    <row r="11" spans="1:22" ht="25.05" customHeight="1">
      <c r="A11" s="119" t="s">
        <v>38</v>
      </c>
      <c r="B11" s="119"/>
      <c r="C11" s="119"/>
      <c r="D11" s="119"/>
      <c r="E11" s="48"/>
      <c r="F11" s="119" t="s">
        <v>39</v>
      </c>
      <c r="G11" s="119"/>
      <c r="H11" s="119"/>
      <c r="I11" s="119"/>
      <c r="J11" s="119"/>
      <c r="K11" s="48"/>
      <c r="L11" s="119" t="s">
        <v>40</v>
      </c>
      <c r="M11" s="119"/>
      <c r="N11" s="119"/>
      <c r="O11" s="119"/>
      <c r="P11" s="48"/>
      <c r="Q11" s="110"/>
      <c r="R11" s="111"/>
      <c r="S11" s="111"/>
      <c r="T11" s="111"/>
      <c r="U11" s="111"/>
      <c r="V11" s="112"/>
    </row>
    <row r="12" spans="1:22" ht="25.05" customHeight="1">
      <c r="A12" s="60" t="s">
        <v>41</v>
      </c>
      <c r="B12" s="60"/>
      <c r="C12" s="60" t="s">
        <v>42</v>
      </c>
      <c r="D12" s="60"/>
      <c r="E12" s="48"/>
      <c r="F12" s="60" t="s">
        <v>43</v>
      </c>
      <c r="G12" s="60"/>
      <c r="H12" s="60" t="s">
        <v>44</v>
      </c>
      <c r="I12" s="60"/>
      <c r="J12" s="60"/>
      <c r="K12" s="48"/>
      <c r="L12" s="60" t="s">
        <v>45</v>
      </c>
      <c r="M12" s="60"/>
      <c r="N12" s="60" t="s">
        <v>46</v>
      </c>
      <c r="O12" s="60"/>
      <c r="P12" s="48"/>
      <c r="Q12" s="110"/>
      <c r="R12" s="111"/>
      <c r="S12" s="111"/>
      <c r="T12" s="111"/>
      <c r="U12" s="111"/>
      <c r="V12" s="112"/>
    </row>
    <row r="13" spans="1:22" ht="25.05" customHeight="1">
      <c r="A13" s="60">
        <f>ROUND(((G4+G6)/10)+10,0)</f>
        <v>10</v>
      </c>
      <c r="B13" s="60"/>
      <c r="C13" s="60"/>
      <c r="D13" s="60"/>
      <c r="E13" s="48"/>
      <c r="F13" s="60" t="s">
        <v>2660</v>
      </c>
      <c r="G13" s="60"/>
      <c r="H13" s="60" t="str">
        <f>IF(OR(F13="",F13="空"),"",IFERROR(VLOOKUP(F13,装备列表!$M$5:$T$400,2,FALSE),""))</f>
        <v/>
      </c>
      <c r="I13" s="60"/>
      <c r="J13" s="60"/>
      <c r="K13" s="48"/>
      <c r="L13" s="60"/>
      <c r="M13" s="60"/>
      <c r="N13" s="60"/>
      <c r="O13" s="60"/>
      <c r="P13" s="48"/>
      <c r="Q13" s="110"/>
      <c r="R13" s="111"/>
      <c r="S13" s="111"/>
      <c r="T13" s="111"/>
      <c r="U13" s="111"/>
      <c r="V13" s="112"/>
    </row>
    <row r="14" spans="1:22" ht="25.05" customHeight="1">
      <c r="A14" s="60" t="s">
        <v>47</v>
      </c>
      <c r="B14" s="60"/>
      <c r="C14" s="60" t="s">
        <v>48</v>
      </c>
      <c r="D14" s="60"/>
      <c r="E14" s="48"/>
      <c r="F14" s="60" t="s">
        <v>49</v>
      </c>
      <c r="G14" s="60"/>
      <c r="H14" s="60" t="s">
        <v>50</v>
      </c>
      <c r="I14" s="60"/>
      <c r="J14" s="60"/>
      <c r="K14" s="48"/>
      <c r="L14" s="43" t="s">
        <v>51</v>
      </c>
      <c r="M14" s="60" t="s">
        <v>52</v>
      </c>
      <c r="N14" s="60"/>
      <c r="O14" s="60"/>
      <c r="P14" s="48"/>
      <c r="Q14" s="110" t="s">
        <v>53</v>
      </c>
      <c r="R14" s="111"/>
      <c r="S14" s="111"/>
      <c r="T14" s="111"/>
      <c r="U14" s="111"/>
      <c r="V14" s="112"/>
    </row>
    <row r="15" spans="1:22" ht="25.05" customHeight="1">
      <c r="A15" s="60"/>
      <c r="B15" s="60"/>
      <c r="C15" s="60"/>
      <c r="D15" s="60"/>
      <c r="E15" s="48"/>
      <c r="F15" s="60" t="s">
        <v>2660</v>
      </c>
      <c r="G15" s="60"/>
      <c r="H15" s="60" t="str">
        <f>IF(OR(F15="",F15="空"),"",IFERROR(VLOOKUP(F15,装备列表!$M$5:$T$400,2,FALSE),""))</f>
        <v/>
      </c>
      <c r="I15" s="60"/>
      <c r="J15" s="60"/>
      <c r="K15" s="48"/>
      <c r="L15" s="120"/>
      <c r="M15" s="60"/>
      <c r="N15" s="60"/>
      <c r="O15" s="60"/>
      <c r="P15" s="48"/>
      <c r="Q15" s="110"/>
      <c r="R15" s="111"/>
      <c r="S15" s="111"/>
      <c r="T15" s="111"/>
      <c r="U15" s="111"/>
      <c r="V15" s="112"/>
    </row>
    <row r="16" spans="1:22" ht="25.05" customHeight="1">
      <c r="A16" s="60" t="s">
        <v>54</v>
      </c>
      <c r="B16" s="60"/>
      <c r="C16" s="60" t="s">
        <v>55</v>
      </c>
      <c r="D16" s="60"/>
      <c r="E16" s="48"/>
      <c r="F16" s="60" t="s">
        <v>56</v>
      </c>
      <c r="G16" s="60"/>
      <c r="H16" s="60" t="s">
        <v>57</v>
      </c>
      <c r="I16" s="60"/>
      <c r="J16" s="60"/>
      <c r="K16" s="48"/>
      <c r="L16" s="60" t="s">
        <v>58</v>
      </c>
      <c r="M16" s="60"/>
      <c r="N16" s="60"/>
      <c r="O16" s="60"/>
      <c r="P16" s="48"/>
      <c r="Q16" s="110"/>
      <c r="R16" s="111"/>
      <c r="S16" s="111"/>
      <c r="T16" s="111"/>
      <c r="U16" s="111"/>
      <c r="V16" s="112"/>
    </row>
    <row r="17" spans="1:22" ht="25.05" customHeight="1">
      <c r="A17" s="60"/>
      <c r="B17" s="60"/>
      <c r="C17" s="60"/>
      <c r="D17" s="60"/>
      <c r="E17" s="48"/>
      <c r="F17" s="60" t="s">
        <v>2660</v>
      </c>
      <c r="G17" s="60"/>
      <c r="H17" s="60" t="str">
        <f>IF(OR(F17="",F17="空"),"",IFERROR(VLOOKUP(F17,装备列表!$M$5:$T$400,2,FALSE),""))</f>
        <v/>
      </c>
      <c r="I17" s="60"/>
      <c r="J17" s="60"/>
      <c r="K17" s="48"/>
      <c r="L17" s="120"/>
      <c r="M17" s="120"/>
      <c r="N17" s="120"/>
      <c r="O17" s="120"/>
      <c r="P17" s="48"/>
      <c r="Q17" s="110"/>
      <c r="R17" s="111"/>
      <c r="S17" s="111"/>
      <c r="T17" s="111"/>
      <c r="U17" s="111"/>
      <c r="V17" s="112"/>
    </row>
    <row r="18" spans="1:22" ht="25.05" customHeight="1">
      <c r="A18" s="60" t="s">
        <v>59</v>
      </c>
      <c r="B18" s="60"/>
      <c r="C18" s="60" t="s">
        <v>60</v>
      </c>
      <c r="D18" s="60"/>
      <c r="E18" s="48"/>
      <c r="F18" s="60" t="s">
        <v>61</v>
      </c>
      <c r="G18" s="60"/>
      <c r="H18" s="60" t="s">
        <v>62</v>
      </c>
      <c r="I18" s="60"/>
      <c r="J18" s="60"/>
      <c r="K18" s="48"/>
      <c r="L18" s="60" t="s">
        <v>63</v>
      </c>
      <c r="M18" s="60"/>
      <c r="N18" s="60" t="s">
        <v>64</v>
      </c>
      <c r="O18" s="60"/>
      <c r="P18" s="48"/>
      <c r="Q18" s="110" t="s">
        <v>65</v>
      </c>
      <c r="R18" s="111"/>
      <c r="S18" s="111"/>
      <c r="T18" s="111"/>
      <c r="U18" s="111"/>
      <c r="V18" s="112"/>
    </row>
    <row r="19" spans="1:22" ht="25.05" customHeight="1">
      <c r="A19" s="60"/>
      <c r="B19" s="60"/>
      <c r="C19" s="60"/>
      <c r="D19" s="60"/>
      <c r="E19" s="48"/>
      <c r="F19" s="60" t="s">
        <v>2660</v>
      </c>
      <c r="G19" s="60"/>
      <c r="H19" s="60" t="str">
        <f>IF(OR(F19="",F19="空"),"",IFERROR(VLOOKUP(F19,装备列表!$M$5:$T$400,2,FALSE),""))</f>
        <v/>
      </c>
      <c r="I19" s="60"/>
      <c r="J19" s="60"/>
      <c r="K19" s="48"/>
      <c r="L19" s="60"/>
      <c r="M19" s="60"/>
      <c r="N19" s="60"/>
      <c r="O19" s="60"/>
      <c r="P19" s="48"/>
      <c r="Q19" s="110"/>
      <c r="R19" s="111"/>
      <c r="S19" s="111"/>
      <c r="T19" s="111"/>
      <c r="U19" s="111"/>
      <c r="V19" s="112"/>
    </row>
    <row r="20" spans="1:22" ht="25.05" customHeight="1">
      <c r="A20" s="60" t="s">
        <v>66</v>
      </c>
      <c r="B20" s="60"/>
      <c r="C20" s="60"/>
      <c r="D20" s="60"/>
      <c r="E20" s="48"/>
      <c r="F20" s="60" t="s">
        <v>67</v>
      </c>
      <c r="G20" s="60"/>
      <c r="H20" s="60" t="s">
        <v>68</v>
      </c>
      <c r="I20" s="60"/>
      <c r="J20" s="60"/>
      <c r="K20" s="48"/>
      <c r="L20" s="60" t="s">
        <v>69</v>
      </c>
      <c r="M20" s="60"/>
      <c r="N20" s="60" t="s">
        <v>70</v>
      </c>
      <c r="O20" s="60"/>
      <c r="P20" s="48"/>
      <c r="Q20" s="110"/>
      <c r="R20" s="111"/>
      <c r="S20" s="111"/>
      <c r="T20" s="111"/>
      <c r="U20" s="111"/>
      <c r="V20" s="112"/>
    </row>
    <row r="21" spans="1:22" ht="25.05" customHeight="1">
      <c r="A21" s="16"/>
      <c r="B21" s="16"/>
      <c r="C21" s="16"/>
      <c r="D21" s="16"/>
      <c r="E21" s="48"/>
      <c r="F21" s="54" t="s">
        <v>2660</v>
      </c>
      <c r="G21" s="54"/>
      <c r="H21" s="54" t="str">
        <f>IF(OR(F21="",F21="空"),"",IFERROR(VLOOKUP(F21,装备列表!$M$5:$T$400,2,FALSE),""))</f>
        <v/>
      </c>
      <c r="I21" s="54"/>
      <c r="J21" s="54"/>
      <c r="K21" s="48"/>
      <c r="L21" s="54"/>
      <c r="M21" s="54"/>
      <c r="N21" s="54"/>
      <c r="O21" s="54"/>
      <c r="P21" s="48"/>
      <c r="Q21" s="116"/>
      <c r="R21" s="117"/>
      <c r="S21" s="117"/>
      <c r="T21" s="117"/>
      <c r="U21" s="117"/>
      <c r="V21" s="118"/>
    </row>
    <row r="22" spans="1:22" ht="25.05" customHeight="1">
      <c r="A22" s="55"/>
      <c r="B22" s="55"/>
      <c r="C22" s="55"/>
      <c r="D22" s="55"/>
      <c r="E22" s="56"/>
      <c r="F22" s="55"/>
      <c r="G22" s="55"/>
      <c r="H22" s="55"/>
      <c r="I22" s="55"/>
      <c r="J22" s="55"/>
      <c r="K22" s="55"/>
      <c r="L22" s="55"/>
      <c r="M22" s="55"/>
      <c r="N22" s="55"/>
      <c r="O22" s="55"/>
      <c r="P22" s="56"/>
      <c r="Q22" s="55"/>
      <c r="R22" s="55"/>
      <c r="S22" s="55"/>
      <c r="T22" s="55"/>
      <c r="U22" s="55"/>
      <c r="V22" s="55"/>
    </row>
    <row r="23" spans="1:22" ht="25.05" customHeight="1">
      <c r="A23" s="57" t="s">
        <v>71</v>
      </c>
      <c r="B23" s="57"/>
      <c r="C23" s="57"/>
      <c r="D23" s="57"/>
      <c r="E23" s="58"/>
      <c r="F23" s="57"/>
      <c r="G23" s="57"/>
      <c r="H23" s="57"/>
      <c r="I23" s="57"/>
      <c r="J23" s="57"/>
      <c r="K23" s="57"/>
      <c r="L23" s="57"/>
      <c r="M23" s="57"/>
      <c r="N23" s="57"/>
      <c r="O23" s="48"/>
      <c r="P23" s="59" t="s">
        <v>72</v>
      </c>
      <c r="Q23" s="59"/>
      <c r="R23" s="59"/>
      <c r="S23" s="59"/>
      <c r="T23" s="59"/>
      <c r="U23" s="59"/>
      <c r="V23" s="59"/>
    </row>
    <row r="24" spans="1:22" ht="25.05" customHeight="1">
      <c r="A24" s="119" t="s">
        <v>73</v>
      </c>
      <c r="B24" s="119"/>
      <c r="C24" s="93" t="s">
        <v>74</v>
      </c>
      <c r="D24" s="93" t="s">
        <v>75</v>
      </c>
      <c r="E24" s="121" t="s">
        <v>23</v>
      </c>
      <c r="F24" s="93" t="s">
        <v>76</v>
      </c>
      <c r="G24" s="93" t="s">
        <v>77</v>
      </c>
      <c r="H24" s="119" t="s">
        <v>73</v>
      </c>
      <c r="I24" s="119"/>
      <c r="J24" s="93" t="s">
        <v>74</v>
      </c>
      <c r="K24" s="93" t="s">
        <v>75</v>
      </c>
      <c r="L24" s="93" t="s">
        <v>23</v>
      </c>
      <c r="M24" s="93" t="s">
        <v>76</v>
      </c>
      <c r="N24" s="93" t="s">
        <v>77</v>
      </c>
      <c r="O24" s="48"/>
      <c r="P24" s="93" t="s">
        <v>78</v>
      </c>
      <c r="Q24" s="119"/>
      <c r="R24" s="119"/>
      <c r="S24" s="93" t="s">
        <v>79</v>
      </c>
      <c r="T24" s="119"/>
      <c r="U24" s="119"/>
      <c r="V24" s="119"/>
    </row>
    <row r="25" spans="1:22" ht="25.05" customHeight="1">
      <c r="A25" s="122" t="s">
        <v>80</v>
      </c>
      <c r="B25" s="122"/>
      <c r="C25" s="123">
        <v>5</v>
      </c>
      <c r="D25" s="123"/>
      <c r="E25" s="124"/>
      <c r="F25" s="123"/>
      <c r="G25" s="125">
        <f>SUM(C25:F25)</f>
        <v>5</v>
      </c>
      <c r="H25" s="122" t="s">
        <v>81</v>
      </c>
      <c r="I25" s="122"/>
      <c r="J25" s="123">
        <f>ROUND(IF(G8&gt;50,(G8-50)+20,20),0)</f>
        <v>20</v>
      </c>
      <c r="K25" s="123"/>
      <c r="L25" s="123"/>
      <c r="M25" s="123"/>
      <c r="N25" s="125">
        <f t="shared" ref="N25:N39" si="0">SUM(J25:M25)</f>
        <v>20</v>
      </c>
      <c r="O25" s="48"/>
      <c r="P25" s="123" t="s">
        <v>82</v>
      </c>
      <c r="Q25" s="127"/>
      <c r="R25" s="127"/>
      <c r="S25" s="128" t="s">
        <v>83</v>
      </c>
      <c r="T25" s="129"/>
      <c r="U25" s="129"/>
      <c r="V25" s="129"/>
    </row>
    <row r="26" spans="1:22" ht="25.05" customHeight="1">
      <c r="A26" s="122" t="s">
        <v>84</v>
      </c>
      <c r="B26" s="122"/>
      <c r="C26" s="123">
        <v>5</v>
      </c>
      <c r="D26" s="123"/>
      <c r="E26" s="124"/>
      <c r="F26" s="123"/>
      <c r="G26" s="125">
        <f t="shared" ref="G26:G39" si="1">SUM(C26:F26)</f>
        <v>5</v>
      </c>
      <c r="H26" s="122" t="s">
        <v>85</v>
      </c>
      <c r="I26" s="122"/>
      <c r="J26" s="123">
        <v>20</v>
      </c>
      <c r="K26" s="123"/>
      <c r="L26" s="123"/>
      <c r="M26" s="123"/>
      <c r="N26" s="125">
        <f t="shared" si="0"/>
        <v>20</v>
      </c>
      <c r="O26" s="48"/>
      <c r="P26" s="123" t="s">
        <v>86</v>
      </c>
      <c r="Q26" s="127"/>
      <c r="R26" s="127"/>
      <c r="S26" s="128" t="s">
        <v>87</v>
      </c>
      <c r="T26" s="129"/>
      <c r="U26" s="129"/>
      <c r="V26" s="129"/>
    </row>
    <row r="27" spans="1:22" ht="25.05" customHeight="1">
      <c r="A27" s="122" t="s">
        <v>88</v>
      </c>
      <c r="B27" s="122"/>
      <c r="C27" s="123">
        <v>5</v>
      </c>
      <c r="D27" s="123"/>
      <c r="E27" s="124"/>
      <c r="F27" s="123"/>
      <c r="G27" s="125">
        <f t="shared" si="1"/>
        <v>5</v>
      </c>
      <c r="H27" s="122" t="s">
        <v>89</v>
      </c>
      <c r="I27" s="122"/>
      <c r="J27" s="123">
        <v>15</v>
      </c>
      <c r="K27" s="123"/>
      <c r="L27" s="123"/>
      <c r="M27" s="123"/>
      <c r="N27" s="125">
        <f t="shared" si="0"/>
        <v>15</v>
      </c>
      <c r="O27" s="48"/>
      <c r="P27" s="123" t="s">
        <v>90</v>
      </c>
      <c r="Q27" s="127"/>
      <c r="R27" s="127"/>
      <c r="S27" s="128" t="s">
        <v>91</v>
      </c>
      <c r="T27" s="129"/>
      <c r="U27" s="129"/>
      <c r="V27" s="129"/>
    </row>
    <row r="28" spans="1:22" ht="25.05" customHeight="1">
      <c r="A28" s="122" t="s">
        <v>92</v>
      </c>
      <c r="B28" s="122"/>
      <c r="C28" s="123">
        <v>5</v>
      </c>
      <c r="D28" s="123"/>
      <c r="E28" s="124"/>
      <c r="F28" s="123"/>
      <c r="G28" s="125">
        <f t="shared" si="1"/>
        <v>5</v>
      </c>
      <c r="H28" s="122" t="s">
        <v>93</v>
      </c>
      <c r="I28" s="122"/>
      <c r="J28" s="123">
        <v>5</v>
      </c>
      <c r="K28" s="123"/>
      <c r="L28" s="123"/>
      <c r="M28" s="123"/>
      <c r="N28" s="125">
        <f t="shared" si="0"/>
        <v>5</v>
      </c>
      <c r="O28" s="48"/>
      <c r="P28" s="123" t="s">
        <v>94</v>
      </c>
      <c r="Q28" s="127"/>
      <c r="R28" s="127"/>
      <c r="S28" s="128" t="s">
        <v>95</v>
      </c>
      <c r="T28" s="129"/>
      <c r="U28" s="129"/>
      <c r="V28" s="129"/>
    </row>
    <row r="29" spans="1:22" ht="25.05" customHeight="1">
      <c r="A29" s="122" t="s">
        <v>96</v>
      </c>
      <c r="B29" s="122"/>
      <c r="C29" s="123">
        <v>15</v>
      </c>
      <c r="D29" s="123"/>
      <c r="E29" s="124"/>
      <c r="F29" s="123"/>
      <c r="G29" s="125">
        <f t="shared" si="1"/>
        <v>15</v>
      </c>
      <c r="H29" s="122" t="s">
        <v>97</v>
      </c>
      <c r="I29" s="122"/>
      <c r="J29" s="123">
        <v>1</v>
      </c>
      <c r="K29" s="123"/>
      <c r="L29" s="123"/>
      <c r="M29" s="123"/>
      <c r="N29" s="125">
        <f t="shared" si="0"/>
        <v>1</v>
      </c>
      <c r="O29" s="48"/>
      <c r="P29" s="127"/>
      <c r="Q29" s="127"/>
      <c r="R29" s="127"/>
      <c r="S29" s="129"/>
      <c r="T29" s="129"/>
      <c r="U29" s="129"/>
      <c r="V29" s="129"/>
    </row>
    <row r="30" spans="1:22" ht="25.05" customHeight="1">
      <c r="A30" s="122" t="s">
        <v>98</v>
      </c>
      <c r="B30" s="122"/>
      <c r="C30" s="123">
        <v>20</v>
      </c>
      <c r="D30" s="123"/>
      <c r="E30" s="124"/>
      <c r="F30" s="123"/>
      <c r="G30" s="125">
        <f t="shared" si="1"/>
        <v>20</v>
      </c>
      <c r="H30" s="122" t="s">
        <v>99</v>
      </c>
      <c r="I30" s="122"/>
      <c r="J30" s="123">
        <v>1</v>
      </c>
      <c r="K30" s="123"/>
      <c r="L30" s="123"/>
      <c r="M30" s="123"/>
      <c r="N30" s="125">
        <f t="shared" si="0"/>
        <v>1</v>
      </c>
      <c r="O30" s="48"/>
      <c r="P30" s="130" t="s">
        <v>100</v>
      </c>
      <c r="Q30" s="130"/>
      <c r="R30" s="130"/>
      <c r="S30" s="130"/>
      <c r="T30" s="130"/>
      <c r="U30" s="130"/>
      <c r="V30" s="130"/>
    </row>
    <row r="31" spans="1:22" ht="25.05" customHeight="1">
      <c r="A31" s="122" t="s">
        <v>101</v>
      </c>
      <c r="B31" s="122"/>
      <c r="C31" s="123">
        <v>20</v>
      </c>
      <c r="D31" s="123"/>
      <c r="E31" s="124"/>
      <c r="F31" s="123"/>
      <c r="G31" s="125">
        <f t="shared" si="1"/>
        <v>20</v>
      </c>
      <c r="H31" s="122" t="s">
        <v>102</v>
      </c>
      <c r="I31" s="122"/>
      <c r="J31" s="123">
        <v>1</v>
      </c>
      <c r="K31" s="123"/>
      <c r="L31" s="123"/>
      <c r="M31" s="123"/>
      <c r="N31" s="125">
        <f t="shared" si="0"/>
        <v>1</v>
      </c>
      <c r="O31" s="48"/>
      <c r="P31" s="94"/>
      <c r="Q31" s="127"/>
      <c r="R31" s="127"/>
      <c r="S31" s="127"/>
      <c r="T31" s="127"/>
      <c r="U31" s="127"/>
      <c r="V31" s="127"/>
    </row>
    <row r="32" spans="1:22" ht="25.05" customHeight="1">
      <c r="A32" s="122" t="s">
        <v>103</v>
      </c>
      <c r="B32" s="122"/>
      <c r="C32" s="123">
        <v>10</v>
      </c>
      <c r="D32" s="123"/>
      <c r="E32" s="124"/>
      <c r="F32" s="123"/>
      <c r="G32" s="125">
        <f t="shared" si="1"/>
        <v>10</v>
      </c>
      <c r="H32" s="122" t="s">
        <v>104</v>
      </c>
      <c r="I32" s="122"/>
      <c r="J32" s="123">
        <v>5</v>
      </c>
      <c r="K32" s="123"/>
      <c r="L32" s="123"/>
      <c r="M32" s="123"/>
      <c r="N32" s="125">
        <f t="shared" si="0"/>
        <v>5</v>
      </c>
      <c r="O32" s="48"/>
      <c r="P32" s="94"/>
      <c r="Q32" s="127"/>
      <c r="R32" s="127"/>
      <c r="S32" s="127"/>
      <c r="T32" s="127"/>
      <c r="U32" s="127"/>
      <c r="V32" s="127"/>
    </row>
    <row r="33" spans="1:22" ht="25.05" customHeight="1">
      <c r="A33" s="122" t="s">
        <v>105</v>
      </c>
      <c r="B33" s="122"/>
      <c r="C33" s="123">
        <v>10</v>
      </c>
      <c r="D33" s="123"/>
      <c r="E33" s="124"/>
      <c r="F33" s="123"/>
      <c r="G33" s="125">
        <f t="shared" si="1"/>
        <v>10</v>
      </c>
      <c r="H33" s="122" t="s">
        <v>106</v>
      </c>
      <c r="I33" s="122"/>
      <c r="J33" s="123">
        <v>5</v>
      </c>
      <c r="K33" s="123"/>
      <c r="L33" s="123"/>
      <c r="M33" s="123"/>
      <c r="N33" s="125">
        <f t="shared" si="0"/>
        <v>5</v>
      </c>
      <c r="O33" s="48"/>
      <c r="P33" s="94"/>
      <c r="Q33" s="127"/>
      <c r="R33" s="127"/>
      <c r="S33" s="127"/>
      <c r="T33" s="127"/>
      <c r="U33" s="127"/>
      <c r="V33" s="127"/>
    </row>
    <row r="34" spans="1:22" ht="25.05" customHeight="1">
      <c r="A34" s="122" t="s">
        <v>107</v>
      </c>
      <c r="B34" s="122"/>
      <c r="C34" s="123">
        <v>10</v>
      </c>
      <c r="D34" s="123"/>
      <c r="E34" s="124"/>
      <c r="F34" s="123"/>
      <c r="G34" s="125">
        <f t="shared" si="1"/>
        <v>10</v>
      </c>
      <c r="H34" s="122" t="s">
        <v>108</v>
      </c>
      <c r="I34" s="122"/>
      <c r="J34" s="123">
        <v>10</v>
      </c>
      <c r="K34" s="123"/>
      <c r="L34" s="123"/>
      <c r="M34" s="123"/>
      <c r="N34" s="125">
        <f t="shared" si="0"/>
        <v>10</v>
      </c>
      <c r="O34" s="48"/>
      <c r="P34" s="94"/>
      <c r="Q34" s="127"/>
      <c r="R34" s="127"/>
      <c r="S34" s="127"/>
      <c r="T34" s="127"/>
      <c r="U34" s="127"/>
      <c r="V34" s="127"/>
    </row>
    <row r="35" spans="1:22" ht="25.05" customHeight="1">
      <c r="A35" s="122" t="s">
        <v>109</v>
      </c>
      <c r="B35" s="122"/>
      <c r="C35" s="123">
        <v>10</v>
      </c>
      <c r="D35" s="123"/>
      <c r="E35" s="124"/>
      <c r="F35" s="123"/>
      <c r="G35" s="125">
        <f t="shared" si="1"/>
        <v>10</v>
      </c>
      <c r="H35" s="122" t="s">
        <v>110</v>
      </c>
      <c r="I35" s="122"/>
      <c r="J35" s="123">
        <v>10</v>
      </c>
      <c r="K35" s="123"/>
      <c r="L35" s="123"/>
      <c r="M35" s="123"/>
      <c r="N35" s="125">
        <f t="shared" si="0"/>
        <v>10</v>
      </c>
      <c r="O35" s="48"/>
      <c r="P35" s="94"/>
      <c r="Q35" s="127"/>
      <c r="R35" s="127"/>
      <c r="S35" s="127"/>
      <c r="T35" s="127"/>
      <c r="U35" s="127"/>
      <c r="V35" s="127"/>
    </row>
    <row r="36" spans="1:22" ht="25.05" customHeight="1">
      <c r="A36" s="122" t="s">
        <v>111</v>
      </c>
      <c r="B36" s="122"/>
      <c r="C36" s="123">
        <v>10</v>
      </c>
      <c r="D36" s="123"/>
      <c r="E36" s="124"/>
      <c r="F36" s="123"/>
      <c r="G36" s="125">
        <f t="shared" si="1"/>
        <v>10</v>
      </c>
      <c r="H36" s="122" t="s">
        <v>112</v>
      </c>
      <c r="I36" s="122"/>
      <c r="J36" s="123">
        <v>10</v>
      </c>
      <c r="K36" s="123"/>
      <c r="L36" s="123"/>
      <c r="M36" s="123"/>
      <c r="N36" s="125">
        <f t="shared" si="0"/>
        <v>10</v>
      </c>
      <c r="O36" s="48"/>
      <c r="P36" s="94"/>
      <c r="Q36" s="127"/>
      <c r="R36" s="127"/>
      <c r="S36" s="127"/>
      <c r="T36" s="127"/>
      <c r="U36" s="127"/>
      <c r="V36" s="127"/>
    </row>
    <row r="37" spans="1:22" ht="25.05" customHeight="1">
      <c r="A37" s="122" t="s">
        <v>113</v>
      </c>
      <c r="B37" s="122"/>
      <c r="C37" s="123">
        <v>5</v>
      </c>
      <c r="D37" s="123"/>
      <c r="E37" s="124"/>
      <c r="F37" s="123"/>
      <c r="G37" s="125">
        <f t="shared" si="1"/>
        <v>5</v>
      </c>
      <c r="H37" s="122" t="s">
        <v>114</v>
      </c>
      <c r="I37" s="122"/>
      <c r="J37" s="123">
        <v>1</v>
      </c>
      <c r="K37" s="123"/>
      <c r="L37" s="123"/>
      <c r="M37" s="123"/>
      <c r="N37" s="125">
        <f t="shared" si="0"/>
        <v>1</v>
      </c>
      <c r="O37" s="48"/>
      <c r="P37" s="94"/>
      <c r="Q37" s="127"/>
      <c r="R37" s="127"/>
      <c r="S37" s="127"/>
      <c r="T37" s="127"/>
      <c r="U37" s="127"/>
      <c r="V37" s="127"/>
    </row>
    <row r="38" spans="1:22" ht="25.05" customHeight="1">
      <c r="A38" s="122" t="s">
        <v>115</v>
      </c>
      <c r="B38" s="122"/>
      <c r="C38" s="123">
        <v>5</v>
      </c>
      <c r="D38" s="123"/>
      <c r="E38" s="124"/>
      <c r="F38" s="123"/>
      <c r="G38" s="125">
        <f t="shared" si="1"/>
        <v>5</v>
      </c>
      <c r="H38" s="126" t="s">
        <v>116</v>
      </c>
      <c r="I38" s="126">
        <f>B5</f>
        <v>0</v>
      </c>
      <c r="J38" s="123">
        <v>40</v>
      </c>
      <c r="K38" s="123"/>
      <c r="L38" s="123"/>
      <c r="M38" s="123"/>
      <c r="N38" s="125">
        <f t="shared" si="0"/>
        <v>40</v>
      </c>
      <c r="O38" s="48"/>
      <c r="P38" s="94"/>
      <c r="Q38" s="127"/>
      <c r="R38" s="127"/>
      <c r="S38" s="127"/>
      <c r="T38" s="127"/>
      <c r="U38" s="127"/>
      <c r="V38" s="127"/>
    </row>
    <row r="39" spans="1:22" ht="25.05" customHeight="1">
      <c r="A39" s="122" t="s">
        <v>117</v>
      </c>
      <c r="B39" s="122"/>
      <c r="C39" s="123">
        <f>I6</f>
        <v>0</v>
      </c>
      <c r="D39" s="123"/>
      <c r="E39" s="124"/>
      <c r="F39" s="123"/>
      <c r="G39" s="125">
        <f t="shared" si="1"/>
        <v>0</v>
      </c>
      <c r="H39" s="122" t="s">
        <v>118</v>
      </c>
      <c r="I39" s="122"/>
      <c r="J39" s="123">
        <v>5</v>
      </c>
      <c r="K39" s="123"/>
      <c r="L39" s="123"/>
      <c r="M39" s="123"/>
      <c r="N39" s="125">
        <f t="shared" si="0"/>
        <v>5</v>
      </c>
      <c r="O39" s="48"/>
      <c r="P39" s="94"/>
      <c r="Q39" s="127"/>
      <c r="R39" s="127"/>
      <c r="S39" s="127"/>
      <c r="T39" s="127"/>
      <c r="U39" s="127"/>
      <c r="V39" s="127"/>
    </row>
    <row r="40" spans="1:22" ht="25.05" customHeight="1">
      <c r="A40" s="55"/>
      <c r="B40" s="55"/>
      <c r="C40" s="55"/>
      <c r="D40" s="55"/>
      <c r="E40" s="56"/>
      <c r="F40" s="55"/>
      <c r="G40" s="55"/>
      <c r="H40" s="55"/>
      <c r="I40" s="55"/>
      <c r="J40" s="55"/>
      <c r="K40" s="55"/>
      <c r="L40" s="55"/>
      <c r="M40" s="55"/>
      <c r="N40" s="55"/>
      <c r="O40" s="55"/>
      <c r="P40" s="55"/>
      <c r="Q40" s="55"/>
      <c r="R40" s="55"/>
      <c r="S40" s="55"/>
      <c r="T40" s="55"/>
      <c r="U40" s="55"/>
      <c r="V40" s="55"/>
    </row>
    <row r="41" spans="1:22" ht="25.05" customHeight="1">
      <c r="A41" s="61" t="s">
        <v>119</v>
      </c>
      <c r="B41" s="61"/>
      <c r="C41" s="61"/>
      <c r="D41" s="61"/>
      <c r="E41" s="62"/>
      <c r="F41" s="61"/>
      <c r="G41" s="61"/>
      <c r="H41" s="61"/>
      <c r="I41" s="61"/>
      <c r="J41" s="61"/>
      <c r="K41" s="61"/>
      <c r="L41" s="61"/>
      <c r="M41" s="61"/>
      <c r="N41" s="61"/>
      <c r="O41" s="61"/>
      <c r="P41" s="61"/>
      <c r="Q41" s="61"/>
      <c r="R41" s="61"/>
      <c r="S41" s="61"/>
      <c r="T41" s="61"/>
      <c r="U41" s="61"/>
      <c r="V41" s="61"/>
    </row>
    <row r="42" spans="1:22" ht="25.05" customHeight="1">
      <c r="A42" s="17"/>
      <c r="B42" s="127"/>
      <c r="C42" s="127"/>
      <c r="D42" s="127"/>
      <c r="E42" s="131"/>
      <c r="F42" s="127"/>
      <c r="G42" s="127"/>
      <c r="H42" s="127"/>
      <c r="I42" s="127"/>
      <c r="J42" s="127"/>
      <c r="K42" s="127"/>
      <c r="L42" s="18"/>
      <c r="M42" s="127"/>
      <c r="N42" s="127"/>
      <c r="O42" s="127"/>
      <c r="P42" s="127"/>
      <c r="Q42" s="127"/>
      <c r="R42" s="127"/>
      <c r="S42" s="127"/>
      <c r="T42" s="127"/>
      <c r="U42" s="127"/>
      <c r="V42" s="127"/>
    </row>
    <row r="43" spans="1:22" ht="25.05" customHeight="1">
      <c r="A43" s="19"/>
      <c r="B43" s="127"/>
      <c r="C43" s="127"/>
      <c r="D43" s="127"/>
      <c r="E43" s="131"/>
      <c r="F43" s="127"/>
      <c r="G43" s="127"/>
      <c r="H43" s="127"/>
      <c r="I43" s="127"/>
      <c r="J43" s="127"/>
      <c r="K43" s="127"/>
      <c r="L43" s="20"/>
      <c r="M43" s="127"/>
      <c r="N43" s="127"/>
      <c r="O43" s="127"/>
      <c r="P43" s="127"/>
      <c r="Q43" s="127"/>
      <c r="R43" s="127"/>
      <c r="S43" s="127"/>
      <c r="T43" s="127"/>
      <c r="U43" s="127"/>
      <c r="V43" s="127"/>
    </row>
    <row r="44" spans="1:22" ht="25.05" customHeight="1">
      <c r="A44" s="19"/>
      <c r="B44" s="127"/>
      <c r="C44" s="127"/>
      <c r="D44" s="127"/>
      <c r="E44" s="131"/>
      <c r="F44" s="127"/>
      <c r="G44" s="127"/>
      <c r="H44" s="127"/>
      <c r="I44" s="127"/>
      <c r="J44" s="127"/>
      <c r="K44" s="127"/>
      <c r="L44" s="20"/>
      <c r="M44" s="127"/>
      <c r="N44" s="127"/>
      <c r="O44" s="127"/>
      <c r="P44" s="127"/>
      <c r="Q44" s="127"/>
      <c r="R44" s="127"/>
      <c r="S44" s="127"/>
      <c r="T44" s="127"/>
      <c r="U44" s="127"/>
      <c r="V44" s="127"/>
    </row>
    <row r="45" spans="1:22" ht="25.05" customHeight="1">
      <c r="A45" s="19"/>
      <c r="B45" s="127"/>
      <c r="C45" s="127"/>
      <c r="D45" s="127"/>
      <c r="E45" s="131"/>
      <c r="F45" s="127"/>
      <c r="G45" s="127"/>
      <c r="H45" s="127"/>
      <c r="I45" s="127"/>
      <c r="J45" s="127"/>
      <c r="K45" s="127"/>
      <c r="L45" s="20"/>
      <c r="M45" s="127"/>
      <c r="N45" s="127"/>
      <c r="O45" s="127"/>
      <c r="P45" s="127"/>
      <c r="Q45" s="127"/>
      <c r="R45" s="127"/>
      <c r="S45" s="127"/>
      <c r="T45" s="127"/>
      <c r="U45" s="127"/>
      <c r="V45" s="127"/>
    </row>
    <row r="46" spans="1:22" ht="25.05" customHeight="1">
      <c r="A46" s="19"/>
      <c r="B46" s="127"/>
      <c r="C46" s="127"/>
      <c r="D46" s="127"/>
      <c r="E46" s="131"/>
      <c r="F46" s="127"/>
      <c r="G46" s="127"/>
      <c r="H46" s="127"/>
      <c r="I46" s="127"/>
      <c r="J46" s="127"/>
      <c r="K46" s="127"/>
      <c r="L46" s="20"/>
      <c r="M46" s="127"/>
      <c r="N46" s="127"/>
      <c r="O46" s="127"/>
      <c r="P46" s="127"/>
      <c r="Q46" s="127"/>
      <c r="R46" s="127"/>
      <c r="S46" s="127"/>
      <c r="T46" s="127"/>
      <c r="U46" s="127"/>
      <c r="V46" s="127"/>
    </row>
    <row r="47" spans="1:22" ht="25.05" customHeight="1">
      <c r="A47" s="19"/>
      <c r="B47" s="127"/>
      <c r="C47" s="127"/>
      <c r="D47" s="127"/>
      <c r="E47" s="131"/>
      <c r="F47" s="127"/>
      <c r="G47" s="127"/>
      <c r="H47" s="127"/>
      <c r="I47" s="127"/>
      <c r="J47" s="127"/>
      <c r="K47" s="127"/>
      <c r="L47" s="20"/>
      <c r="M47" s="127"/>
      <c r="N47" s="127"/>
      <c r="O47" s="127"/>
      <c r="P47" s="127"/>
      <c r="Q47" s="127"/>
      <c r="R47" s="127"/>
      <c r="S47" s="127"/>
      <c r="T47" s="127"/>
      <c r="U47" s="127"/>
      <c r="V47" s="127"/>
    </row>
    <row r="48" spans="1:22" ht="25.05" customHeight="1">
      <c r="A48" s="19"/>
      <c r="B48" s="127"/>
      <c r="C48" s="127"/>
      <c r="D48" s="127"/>
      <c r="E48" s="131"/>
      <c r="F48" s="127"/>
      <c r="G48" s="127"/>
      <c r="H48" s="127"/>
      <c r="I48" s="127"/>
      <c r="J48" s="127"/>
      <c r="K48" s="127"/>
      <c r="L48" s="20"/>
      <c r="M48" s="127"/>
      <c r="N48" s="127"/>
      <c r="O48" s="127"/>
      <c r="P48" s="127"/>
      <c r="Q48" s="127"/>
      <c r="R48" s="127"/>
      <c r="S48" s="127"/>
      <c r="T48" s="127"/>
      <c r="U48" s="127"/>
      <c r="V48" s="127"/>
    </row>
    <row r="49" spans="1:22" ht="25.05" customHeight="1">
      <c r="A49" s="19"/>
      <c r="B49" s="127"/>
      <c r="C49" s="127"/>
      <c r="D49" s="127"/>
      <c r="E49" s="131"/>
      <c r="F49" s="127"/>
      <c r="G49" s="127"/>
      <c r="H49" s="127"/>
      <c r="I49" s="127"/>
      <c r="J49" s="127"/>
      <c r="K49" s="127"/>
      <c r="L49" s="20"/>
      <c r="M49" s="127"/>
      <c r="N49" s="127"/>
      <c r="O49" s="127"/>
      <c r="P49" s="127"/>
      <c r="Q49" s="127"/>
      <c r="R49" s="127"/>
      <c r="S49" s="127"/>
      <c r="T49" s="127"/>
      <c r="U49" s="127"/>
      <c r="V49" s="127"/>
    </row>
    <row r="50" spans="1:22" ht="25.05" customHeight="1">
      <c r="A50" s="19"/>
      <c r="B50" s="127"/>
      <c r="C50" s="127"/>
      <c r="D50" s="127"/>
      <c r="E50" s="131"/>
      <c r="F50" s="127"/>
      <c r="G50" s="127"/>
      <c r="H50" s="127"/>
      <c r="I50" s="127"/>
      <c r="J50" s="127"/>
      <c r="K50" s="127"/>
      <c r="L50" s="20"/>
      <c r="M50" s="127"/>
      <c r="N50" s="127"/>
      <c r="O50" s="127"/>
      <c r="P50" s="127"/>
      <c r="Q50" s="127"/>
      <c r="R50" s="127"/>
      <c r="S50" s="127"/>
      <c r="T50" s="127"/>
      <c r="U50" s="127"/>
      <c r="V50" s="127"/>
    </row>
    <row r="51" spans="1:22" ht="25.05" customHeight="1">
      <c r="A51" s="19"/>
      <c r="B51" s="127"/>
      <c r="C51" s="127"/>
      <c r="D51" s="127"/>
      <c r="E51" s="131"/>
      <c r="F51" s="127"/>
      <c r="G51" s="127"/>
      <c r="H51" s="127"/>
      <c r="I51" s="127"/>
      <c r="J51" s="127"/>
      <c r="K51" s="127"/>
      <c r="L51" s="20"/>
      <c r="M51" s="127"/>
      <c r="N51" s="127"/>
      <c r="O51" s="127"/>
      <c r="P51" s="127"/>
      <c r="Q51" s="127"/>
      <c r="R51" s="127"/>
      <c r="S51" s="127"/>
      <c r="T51" s="127"/>
      <c r="U51" s="127"/>
      <c r="V51" s="127"/>
    </row>
    <row r="52" spans="1:22" ht="25.05" customHeight="1">
      <c r="A52" s="19"/>
      <c r="B52" s="127"/>
      <c r="C52" s="127"/>
      <c r="D52" s="127"/>
      <c r="E52" s="131"/>
      <c r="F52" s="127"/>
      <c r="G52" s="127"/>
      <c r="H52" s="127"/>
      <c r="I52" s="127"/>
      <c r="J52" s="127"/>
      <c r="K52" s="127"/>
      <c r="L52" s="20"/>
      <c r="M52" s="127"/>
      <c r="N52" s="127"/>
      <c r="O52" s="127"/>
      <c r="P52" s="127"/>
      <c r="Q52" s="127"/>
      <c r="R52" s="127"/>
      <c r="S52" s="127"/>
      <c r="T52" s="127"/>
      <c r="U52" s="127"/>
      <c r="V52" s="127"/>
    </row>
    <row r="53" spans="1:22" ht="25.05" customHeight="1">
      <c r="A53" s="19"/>
      <c r="B53" s="127"/>
      <c r="C53" s="127"/>
      <c r="D53" s="127"/>
      <c r="E53" s="131"/>
      <c r="F53" s="127"/>
      <c r="G53" s="127"/>
      <c r="H53" s="127"/>
      <c r="I53" s="127"/>
      <c r="J53" s="127"/>
      <c r="K53" s="127"/>
      <c r="L53" s="20"/>
      <c r="M53" s="127"/>
      <c r="N53" s="127"/>
      <c r="O53" s="127"/>
      <c r="P53" s="127"/>
      <c r="Q53" s="127"/>
      <c r="R53" s="127"/>
      <c r="S53" s="127"/>
      <c r="T53" s="127"/>
      <c r="U53" s="127"/>
      <c r="V53" s="127"/>
    </row>
    <row r="54" spans="1:22" ht="25.05" customHeight="1">
      <c r="A54" s="19"/>
      <c r="B54" s="127"/>
      <c r="C54" s="127"/>
      <c r="D54" s="127"/>
      <c r="E54" s="131"/>
      <c r="F54" s="127"/>
      <c r="G54" s="127"/>
      <c r="H54" s="127"/>
      <c r="I54" s="127"/>
      <c r="J54" s="127"/>
      <c r="K54" s="127"/>
      <c r="L54" s="20"/>
      <c r="M54" s="127"/>
      <c r="N54" s="127"/>
      <c r="O54" s="127"/>
      <c r="P54" s="127"/>
      <c r="Q54" s="127"/>
      <c r="R54" s="127"/>
      <c r="S54" s="127"/>
      <c r="T54" s="127"/>
      <c r="U54" s="127"/>
      <c r="V54" s="127"/>
    </row>
    <row r="55" spans="1:22" ht="25.05" customHeight="1">
      <c r="A55" s="19"/>
      <c r="B55" s="127"/>
      <c r="C55" s="127"/>
      <c r="D55" s="127"/>
      <c r="E55" s="131"/>
      <c r="F55" s="127"/>
      <c r="G55" s="127"/>
      <c r="H55" s="127"/>
      <c r="I55" s="127"/>
      <c r="J55" s="127"/>
      <c r="K55" s="127"/>
      <c r="L55" s="20"/>
      <c r="M55" s="127"/>
      <c r="N55" s="127"/>
      <c r="O55" s="127"/>
      <c r="P55" s="127"/>
      <c r="Q55" s="127"/>
      <c r="R55" s="127"/>
      <c r="S55" s="127"/>
      <c r="T55" s="127"/>
      <c r="U55" s="127"/>
      <c r="V55" s="127"/>
    </row>
  </sheetData>
  <mergeCells count="190">
    <mergeCell ref="A37:B37"/>
    <mergeCell ref="H37:I37"/>
    <mergeCell ref="Q37:V37"/>
    <mergeCell ref="A38:B38"/>
    <mergeCell ref="Q38:V38"/>
    <mergeCell ref="A41:V41"/>
    <mergeCell ref="B42:K42"/>
    <mergeCell ref="M42:V42"/>
    <mergeCell ref="B43:K43"/>
    <mergeCell ref="M43:V43"/>
    <mergeCell ref="B44:K44"/>
    <mergeCell ref="M44:V44"/>
    <mergeCell ref="B45:K45"/>
    <mergeCell ref="M45:V45"/>
    <mergeCell ref="B54:K54"/>
    <mergeCell ref="M54:V54"/>
    <mergeCell ref="B55:K55"/>
    <mergeCell ref="M55:V55"/>
    <mergeCell ref="B46:K46"/>
    <mergeCell ref="M46:V46"/>
    <mergeCell ref="B47:K47"/>
    <mergeCell ref="M47:V47"/>
    <mergeCell ref="B48:K48"/>
    <mergeCell ref="M48:V48"/>
    <mergeCell ref="B49:K49"/>
    <mergeCell ref="M49:V49"/>
    <mergeCell ref="B50:K50"/>
    <mergeCell ref="M50:V50"/>
    <mergeCell ref="B51:K51"/>
    <mergeCell ref="M51:V51"/>
    <mergeCell ref="B52:K52"/>
    <mergeCell ref="M52:V52"/>
    <mergeCell ref="B53:K53"/>
    <mergeCell ref="M53:V53"/>
    <mergeCell ref="A39:B39"/>
    <mergeCell ref="H39:I39"/>
    <mergeCell ref="Q39:V39"/>
    <mergeCell ref="A40:V40"/>
    <mergeCell ref="O23:O39"/>
    <mergeCell ref="A34:B34"/>
    <mergeCell ref="H34:I34"/>
    <mergeCell ref="Q34:V34"/>
    <mergeCell ref="A35:B35"/>
    <mergeCell ref="H35:I35"/>
    <mergeCell ref="Q35:V35"/>
    <mergeCell ref="A36:B36"/>
    <mergeCell ref="H36:I36"/>
    <mergeCell ref="Q36:V36"/>
    <mergeCell ref="A31:B31"/>
    <mergeCell ref="H31:I31"/>
    <mergeCell ref="Q31:V31"/>
    <mergeCell ref="A32:B32"/>
    <mergeCell ref="H32:I32"/>
    <mergeCell ref="Q32:V32"/>
    <mergeCell ref="A33:B33"/>
    <mergeCell ref="H33:I33"/>
    <mergeCell ref="Q33:V33"/>
    <mergeCell ref="A28:B28"/>
    <mergeCell ref="H28:I28"/>
    <mergeCell ref="Q28:R28"/>
    <mergeCell ref="T28:V28"/>
    <mergeCell ref="A29:B29"/>
    <mergeCell ref="H29:I29"/>
    <mergeCell ref="P29:V29"/>
    <mergeCell ref="A30:B30"/>
    <mergeCell ref="H30:I30"/>
    <mergeCell ref="P30:V30"/>
    <mergeCell ref="A25:B25"/>
    <mergeCell ref="H25:I25"/>
    <mergeCell ref="Q25:R25"/>
    <mergeCell ref="T25:V25"/>
    <mergeCell ref="A26:B26"/>
    <mergeCell ref="H26:I26"/>
    <mergeCell ref="Q26:R26"/>
    <mergeCell ref="T26:V26"/>
    <mergeCell ref="A27:B27"/>
    <mergeCell ref="H27:I27"/>
    <mergeCell ref="Q27:R27"/>
    <mergeCell ref="T27:V27"/>
    <mergeCell ref="F21:G21"/>
    <mergeCell ref="H21:J21"/>
    <mergeCell ref="L21:M21"/>
    <mergeCell ref="N21:O21"/>
    <mergeCell ref="A22:V22"/>
    <mergeCell ref="A23:N23"/>
    <mergeCell ref="P23:V23"/>
    <mergeCell ref="A24:B24"/>
    <mergeCell ref="H24:I24"/>
    <mergeCell ref="Q24:R24"/>
    <mergeCell ref="T24:V24"/>
    <mergeCell ref="E11:E21"/>
    <mergeCell ref="P11:P21"/>
    <mergeCell ref="Q14:R17"/>
    <mergeCell ref="Q18:R21"/>
    <mergeCell ref="S14:V17"/>
    <mergeCell ref="S18:V21"/>
    <mergeCell ref="Q10:V13"/>
    <mergeCell ref="N18:O18"/>
    <mergeCell ref="A19:B19"/>
    <mergeCell ref="C19:D19"/>
    <mergeCell ref="F19:G19"/>
    <mergeCell ref="H19:J19"/>
    <mergeCell ref="L19:M19"/>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K11:K21"/>
    <mergeCell ref="A14:B14"/>
    <mergeCell ref="C14:D14"/>
    <mergeCell ref="F14:G14"/>
    <mergeCell ref="H14:J14"/>
    <mergeCell ref="M14:O14"/>
    <mergeCell ref="A15:B15"/>
    <mergeCell ref="C15:D15"/>
    <mergeCell ref="F15:G15"/>
    <mergeCell ref="H15:J15"/>
    <mergeCell ref="M15:O15"/>
    <mergeCell ref="A13:B13"/>
    <mergeCell ref="C13:D13"/>
    <mergeCell ref="F13:G13"/>
    <mergeCell ref="H13:J13"/>
    <mergeCell ref="H8:H9"/>
    <mergeCell ref="I2:I3"/>
    <mergeCell ref="I4:I5"/>
    <mergeCell ref="I6:I7"/>
    <mergeCell ref="I8:I9"/>
    <mergeCell ref="J2:J3"/>
    <mergeCell ref="A10:P10"/>
    <mergeCell ref="A11:D11"/>
    <mergeCell ref="F11:J11"/>
    <mergeCell ref="L11:O11"/>
    <mergeCell ref="A12:B12"/>
    <mergeCell ref="C12:D12"/>
    <mergeCell ref="F12:G12"/>
    <mergeCell ref="L13:M13"/>
    <mergeCell ref="N13:O13"/>
    <mergeCell ref="K2:K3"/>
    <mergeCell ref="L1:L9"/>
    <mergeCell ref="J4:K8"/>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F6:F7"/>
    <mergeCell ref="F8:F9"/>
    <mergeCell ref="G2:G3"/>
    <mergeCell ref="G4:G5"/>
    <mergeCell ref="G6:G7"/>
    <mergeCell ref="G8:G9"/>
    <mergeCell ref="E1:E9"/>
    <mergeCell ref="F2:F3"/>
    <mergeCell ref="F4:F5"/>
    <mergeCell ref="H12:J12"/>
    <mergeCell ref="L12:M12"/>
    <mergeCell ref="N12:O12"/>
    <mergeCell ref="A1:D1"/>
    <mergeCell ref="F1:K1"/>
    <mergeCell ref="M1:O1"/>
    <mergeCell ref="H2:H3"/>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1E14597-F650-4080-9088-C31F2CEF7B42}">
          <x14:formula1>
            <xm:f>OFFSET(装备列表!$V$5,0,0,COUNTA(装备列表!$V$5:$V$100),1)</xm:f>
          </x14:formula1>
          <xm:sqref>F13</xm:sqref>
        </x14:dataValidation>
        <x14:dataValidation type="list" allowBlank="1" showInputMessage="1" showErrorMessage="1" xr:uid="{372F0498-5FEA-4E21-A892-36F7E34B7A0A}">
          <x14:formula1>
            <xm:f>OFFSET(装备列表!$W$5,0,0,COUNTA(装备列表!$W$5:$W$120),1)</xm:f>
          </x14:formula1>
          <xm:sqref>F15</xm:sqref>
        </x14:dataValidation>
        <x14:dataValidation type="list" allowBlank="1" showInputMessage="1" showErrorMessage="1" xr:uid="{4E20708C-0514-4C88-84F0-8FE336D05E19}">
          <x14:formula1>
            <xm:f>OFFSET(装备列表!$X$5,0,0,COUNTA(装备列表!$X$5:$X$100),1)</xm:f>
          </x14:formula1>
          <xm:sqref>F17</xm:sqref>
        </x14:dataValidation>
        <x14:dataValidation type="list" allowBlank="1" showInputMessage="1" showErrorMessage="1" xr:uid="{F3482B80-EE70-45A5-963B-44E199ECBA29}">
          <x14:formula1>
            <xm:f>OFFSET(装备列表!$Y$5,0,0,COUNTA(装备列表!$Y$5:$Y$150),1)</xm:f>
          </x14:formula1>
          <xm:sqref>F19 F21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200"/>
  <sheetViews>
    <sheetView zoomScale="75" zoomScaleNormal="75" workbookViewId="0">
      <selection activeCell="C1" sqref="C1:J1"/>
    </sheetView>
  </sheetViews>
  <sheetFormatPr defaultColWidth="12.77734375" defaultRowHeight="14.4"/>
  <cols>
    <col min="1" max="8" width="12.77734375" style="11" customWidth="1"/>
    <col min="9" max="10" width="13.77734375" style="11" customWidth="1"/>
    <col min="11" max="11" width="6.77734375" style="11" customWidth="1"/>
    <col min="12" max="19" width="12.77734375" style="11" customWidth="1"/>
    <col min="20" max="21" width="13.77734375" style="11" customWidth="1"/>
    <col min="22" max="22" width="12.77734375" style="11" customWidth="1"/>
    <col min="23" max="30" width="0" style="11" hidden="1" customWidth="1"/>
    <col min="31" max="16384" width="12.77734375" style="11"/>
  </cols>
  <sheetData>
    <row r="1" spans="1:30" ht="25.05" customHeight="1">
      <c r="A1" s="119" t="s">
        <v>120</v>
      </c>
      <c r="B1" s="119"/>
      <c r="C1" s="127" t="s">
        <v>121</v>
      </c>
      <c r="D1" s="127"/>
      <c r="E1" s="127"/>
      <c r="F1" s="127"/>
      <c r="G1" s="127"/>
      <c r="H1" s="127"/>
      <c r="I1" s="127"/>
      <c r="J1" s="127"/>
      <c r="K1" s="56"/>
      <c r="L1" s="93" t="s">
        <v>122</v>
      </c>
      <c r="M1" s="127" t="s">
        <v>123</v>
      </c>
      <c r="N1" s="127"/>
      <c r="O1" s="127"/>
      <c r="P1" s="127"/>
      <c r="Q1" s="127"/>
      <c r="R1" s="127"/>
      <c r="S1" s="127"/>
      <c r="T1" s="127"/>
      <c r="U1" s="127"/>
      <c r="W1" s="39" t="s">
        <v>454</v>
      </c>
      <c r="X1" s="39" t="s">
        <v>123</v>
      </c>
      <c r="Y1" s="39" t="s">
        <v>451</v>
      </c>
      <c r="Z1" s="39" t="s">
        <v>453</v>
      </c>
      <c r="AA1" s="39" t="s">
        <v>73</v>
      </c>
      <c r="AB1" s="39" t="s">
        <v>125</v>
      </c>
      <c r="AC1" s="39" t="s">
        <v>126</v>
      </c>
      <c r="AD1" s="39" t="s">
        <v>127</v>
      </c>
    </row>
    <row r="2" spans="1:30" ht="25.05" customHeight="1">
      <c r="A2" s="119"/>
      <c r="B2" s="119"/>
      <c r="C2" s="127"/>
      <c r="D2" s="127"/>
      <c r="E2" s="127"/>
      <c r="F2" s="127"/>
      <c r="G2" s="127"/>
      <c r="H2" s="127"/>
      <c r="I2" s="127"/>
      <c r="J2" s="127"/>
      <c r="K2" s="56"/>
      <c r="L2" s="93" t="s">
        <v>2660</v>
      </c>
      <c r="M2" s="127" t="str">
        <f>IF(OR(L2="",L2="空"),"",IFERROR(VLOOKUP(L2,$W$2:$X$300,2,FALSE),""))</f>
        <v/>
      </c>
      <c r="N2" s="127"/>
      <c r="O2" s="127"/>
      <c r="P2" s="127"/>
      <c r="Q2" s="127"/>
      <c r="R2" s="127"/>
      <c r="S2" s="127"/>
      <c r="T2" s="127"/>
      <c r="U2" s="127"/>
      <c r="W2" s="39" t="s">
        <v>248</v>
      </c>
      <c r="X2" s="39"/>
      <c r="Y2" s="39" t="s">
        <v>455</v>
      </c>
      <c r="Z2" s="39" t="s">
        <v>2597</v>
      </c>
      <c r="AA2" s="39" t="s">
        <v>248</v>
      </c>
      <c r="AB2" s="39"/>
      <c r="AC2" s="39"/>
      <c r="AD2" s="39"/>
    </row>
    <row r="3" spans="1:30" ht="25.05" customHeight="1">
      <c r="A3" s="119"/>
      <c r="B3" s="119"/>
      <c r="C3" s="127"/>
      <c r="D3" s="127"/>
      <c r="E3" s="127"/>
      <c r="F3" s="127"/>
      <c r="G3" s="127"/>
      <c r="H3" s="127"/>
      <c r="I3" s="127"/>
      <c r="J3" s="127"/>
      <c r="K3" s="56"/>
      <c r="L3" s="93" t="s">
        <v>2660</v>
      </c>
      <c r="M3" s="127" t="str">
        <f>IF(OR(L3="",L3="空"),"",IFERROR(VLOOKUP(L3,$W$2:$X$300,2,FALSE),""))</f>
        <v/>
      </c>
      <c r="N3" s="127"/>
      <c r="O3" s="127"/>
      <c r="P3" s="127"/>
      <c r="Q3" s="127"/>
      <c r="R3" s="127"/>
      <c r="S3" s="127"/>
      <c r="T3" s="127"/>
      <c r="U3" s="127"/>
      <c r="W3" s="39" t="s">
        <v>457</v>
      </c>
      <c r="X3" s="39" t="s">
        <v>458</v>
      </c>
      <c r="Y3" s="39" t="s">
        <v>455</v>
      </c>
      <c r="Z3" s="39" t="s">
        <v>456</v>
      </c>
      <c r="AA3" s="39" t="s">
        <v>797</v>
      </c>
      <c r="AB3" s="39" t="s">
        <v>798</v>
      </c>
      <c r="AC3" s="39" t="s">
        <v>799</v>
      </c>
      <c r="AD3" s="39" t="s">
        <v>800</v>
      </c>
    </row>
    <row r="4" spans="1:30" ht="25.05" customHeight="1">
      <c r="A4" s="119"/>
      <c r="B4" s="119"/>
      <c r="C4" s="127"/>
      <c r="D4" s="127"/>
      <c r="E4" s="127"/>
      <c r="F4" s="127"/>
      <c r="G4" s="127"/>
      <c r="H4" s="127"/>
      <c r="I4" s="127"/>
      <c r="J4" s="127"/>
      <c r="K4" s="56"/>
      <c r="L4" s="93" t="s">
        <v>2660</v>
      </c>
      <c r="M4" s="127" t="str">
        <f>IF(OR(L4="",L4="空"),"",IFERROR(VLOOKUP(L4,$W$2:$X$300,2,FALSE),""))</f>
        <v/>
      </c>
      <c r="N4" s="127"/>
      <c r="O4" s="127"/>
      <c r="P4" s="127"/>
      <c r="Q4" s="127"/>
      <c r="R4" s="127"/>
      <c r="S4" s="127"/>
      <c r="T4" s="127"/>
      <c r="U4" s="127"/>
      <c r="W4" s="39" t="s">
        <v>459</v>
      </c>
      <c r="X4" s="39" t="s">
        <v>460</v>
      </c>
      <c r="Y4" s="39" t="s">
        <v>455</v>
      </c>
      <c r="Z4" s="39" t="s">
        <v>456</v>
      </c>
      <c r="AA4" s="39" t="s">
        <v>801</v>
      </c>
      <c r="AB4" s="39" t="s">
        <v>802</v>
      </c>
      <c r="AC4" s="39" t="s">
        <v>799</v>
      </c>
      <c r="AD4" s="39" t="s">
        <v>803</v>
      </c>
    </row>
    <row r="5" spans="1:30" ht="25.05" customHeight="1">
      <c r="A5" s="119"/>
      <c r="B5" s="119"/>
      <c r="C5" s="127"/>
      <c r="D5" s="127"/>
      <c r="E5" s="127"/>
      <c r="F5" s="127"/>
      <c r="G5" s="127"/>
      <c r="H5" s="127"/>
      <c r="I5" s="127"/>
      <c r="J5" s="127"/>
      <c r="K5" s="56"/>
      <c r="L5" s="93" t="s">
        <v>2660</v>
      </c>
      <c r="M5" s="127" t="str">
        <f>IF(OR(L5="",L5="空"),"",IFERROR(VLOOKUP(L5,$W$2:$X$300,2,FALSE),""))</f>
        <v/>
      </c>
      <c r="N5" s="127"/>
      <c r="O5" s="127"/>
      <c r="P5" s="127"/>
      <c r="Q5" s="127"/>
      <c r="R5" s="127"/>
      <c r="S5" s="127"/>
      <c r="T5" s="127"/>
      <c r="U5" s="127"/>
      <c r="W5" s="39" t="s">
        <v>461</v>
      </c>
      <c r="X5" s="39" t="s">
        <v>462</v>
      </c>
      <c r="Y5" s="39" t="s">
        <v>455</v>
      </c>
      <c r="Z5" s="39" t="s">
        <v>456</v>
      </c>
      <c r="AA5" s="39" t="s">
        <v>804</v>
      </c>
      <c r="AB5" s="39" t="s">
        <v>805</v>
      </c>
      <c r="AC5" s="39" t="s">
        <v>799</v>
      </c>
      <c r="AD5" s="39" t="s">
        <v>806</v>
      </c>
    </row>
    <row r="6" spans="1:30" ht="25.05" customHeight="1">
      <c r="A6" s="119"/>
      <c r="B6" s="119"/>
      <c r="C6" s="127"/>
      <c r="D6" s="127"/>
      <c r="E6" s="127"/>
      <c r="F6" s="127"/>
      <c r="G6" s="127"/>
      <c r="H6" s="127"/>
      <c r="I6" s="127"/>
      <c r="J6" s="127"/>
      <c r="K6" s="56"/>
      <c r="L6" s="93" t="s">
        <v>2660</v>
      </c>
      <c r="M6" s="127" t="str">
        <f>IF(OR(L6="",L6="空"),"",IFERROR(VLOOKUP(L6,$W$2:$X$300,2,FALSE),""))</f>
        <v/>
      </c>
      <c r="N6" s="127"/>
      <c r="O6" s="127"/>
      <c r="P6" s="127"/>
      <c r="Q6" s="127"/>
      <c r="R6" s="127"/>
      <c r="S6" s="127"/>
      <c r="T6" s="127"/>
      <c r="U6" s="127"/>
      <c r="W6" s="39" t="s">
        <v>463</v>
      </c>
      <c r="X6" s="39" t="s">
        <v>464</v>
      </c>
      <c r="Y6" s="39" t="s">
        <v>455</v>
      </c>
      <c r="Z6" s="39" t="s">
        <v>456</v>
      </c>
      <c r="AA6" s="39" t="s">
        <v>807</v>
      </c>
      <c r="AB6" s="39" t="s">
        <v>808</v>
      </c>
      <c r="AC6" s="39" t="s">
        <v>799</v>
      </c>
      <c r="AD6" s="39" t="s">
        <v>809</v>
      </c>
    </row>
    <row r="7" spans="1:30" ht="25.05" customHeight="1">
      <c r="A7" s="119"/>
      <c r="B7" s="119"/>
      <c r="C7" s="127"/>
      <c r="D7" s="127"/>
      <c r="E7" s="127"/>
      <c r="F7" s="127"/>
      <c r="G7" s="127"/>
      <c r="H7" s="127"/>
      <c r="I7" s="127"/>
      <c r="J7" s="127"/>
      <c r="K7" s="56"/>
      <c r="L7" s="93" t="s">
        <v>2660</v>
      </c>
      <c r="M7" s="127" t="str">
        <f>IF(OR(L7="",L7="空"),"",IFERROR(VLOOKUP(L7,$W$2:$X$300,2,FALSE),""))</f>
        <v/>
      </c>
      <c r="N7" s="127"/>
      <c r="O7" s="127"/>
      <c r="P7" s="127"/>
      <c r="Q7" s="127"/>
      <c r="R7" s="127"/>
      <c r="S7" s="127"/>
      <c r="T7" s="127"/>
      <c r="U7" s="127"/>
      <c r="W7" s="39" t="s">
        <v>465</v>
      </c>
      <c r="X7" s="39" t="s">
        <v>466</v>
      </c>
      <c r="Y7" s="39" t="s">
        <v>455</v>
      </c>
      <c r="Z7" s="39" t="s">
        <v>456</v>
      </c>
      <c r="AA7" s="39" t="s">
        <v>810</v>
      </c>
      <c r="AB7" s="39" t="s">
        <v>811</v>
      </c>
      <c r="AC7" s="39" t="s">
        <v>799</v>
      </c>
      <c r="AD7" s="39" t="s">
        <v>806</v>
      </c>
    </row>
    <row r="8" spans="1:30" ht="25.05" customHeight="1">
      <c r="A8" s="119"/>
      <c r="B8" s="119"/>
      <c r="C8" s="127"/>
      <c r="D8" s="127"/>
      <c r="E8" s="127"/>
      <c r="F8" s="127"/>
      <c r="G8" s="127"/>
      <c r="H8" s="127"/>
      <c r="I8" s="127"/>
      <c r="J8" s="127"/>
      <c r="K8" s="56"/>
      <c r="L8" s="93" t="s">
        <v>2660</v>
      </c>
      <c r="M8" s="127" t="str">
        <f>IF(OR(L8="",L8="空"),"",IFERROR(VLOOKUP(L8,$W$2:$X$300,2,FALSE),""))</f>
        <v/>
      </c>
      <c r="N8" s="127"/>
      <c r="O8" s="127"/>
      <c r="P8" s="127"/>
      <c r="Q8" s="127"/>
      <c r="R8" s="127"/>
      <c r="S8" s="127"/>
      <c r="T8" s="127"/>
      <c r="U8" s="127"/>
      <c r="W8" s="39" t="s">
        <v>467</v>
      </c>
      <c r="X8" s="39" t="s">
        <v>468</v>
      </c>
      <c r="Y8" s="39" t="s">
        <v>455</v>
      </c>
      <c r="Z8" s="39" t="s">
        <v>456</v>
      </c>
      <c r="AA8" s="39" t="s">
        <v>813</v>
      </c>
      <c r="AB8" s="39" t="s">
        <v>814</v>
      </c>
      <c r="AC8" s="39" t="s">
        <v>815</v>
      </c>
      <c r="AD8" s="39" t="s">
        <v>816</v>
      </c>
    </row>
    <row r="9" spans="1:30" ht="25.05" customHeight="1">
      <c r="A9" s="119"/>
      <c r="B9" s="119"/>
      <c r="C9" s="127"/>
      <c r="D9" s="127"/>
      <c r="E9" s="127"/>
      <c r="F9" s="127"/>
      <c r="G9" s="127"/>
      <c r="H9" s="127"/>
      <c r="I9" s="127"/>
      <c r="J9" s="127"/>
      <c r="K9" s="56"/>
      <c r="L9" s="93" t="s">
        <v>2660</v>
      </c>
      <c r="M9" s="127" t="str">
        <f>IF(OR(L9="",L9="空"),"",IFERROR(VLOOKUP(L9,$W$2:$X$300,2,FALSE),""))</f>
        <v/>
      </c>
      <c r="N9" s="127"/>
      <c r="O9" s="127"/>
      <c r="P9" s="127"/>
      <c r="Q9" s="127"/>
      <c r="R9" s="127"/>
      <c r="S9" s="127"/>
      <c r="T9" s="127"/>
      <c r="U9" s="127"/>
      <c r="W9" s="39" t="s">
        <v>469</v>
      </c>
      <c r="X9" s="39" t="s">
        <v>470</v>
      </c>
      <c r="Y9" s="39" t="s">
        <v>455</v>
      </c>
      <c r="Z9" s="39" t="s">
        <v>456</v>
      </c>
      <c r="AA9" s="39" t="s">
        <v>817</v>
      </c>
      <c r="AB9" s="39" t="s">
        <v>818</v>
      </c>
      <c r="AC9" s="39" t="s">
        <v>819</v>
      </c>
      <c r="AD9" s="39"/>
    </row>
    <row r="10" spans="1:30" ht="25.05" customHeight="1">
      <c r="A10" s="119"/>
      <c r="B10" s="119"/>
      <c r="C10" s="127"/>
      <c r="D10" s="127"/>
      <c r="E10" s="127"/>
      <c r="F10" s="127"/>
      <c r="G10" s="127"/>
      <c r="H10" s="127"/>
      <c r="I10" s="127"/>
      <c r="J10" s="127"/>
      <c r="K10" s="56"/>
      <c r="L10" s="93" t="s">
        <v>2660</v>
      </c>
      <c r="M10" s="127" t="str">
        <f>IF(OR(L10="",L10="空"),"",IFERROR(VLOOKUP(L10,$W$2:$X$300,2,FALSE),""))</f>
        <v/>
      </c>
      <c r="N10" s="127"/>
      <c r="O10" s="127"/>
      <c r="P10" s="127"/>
      <c r="Q10" s="127"/>
      <c r="R10" s="127"/>
      <c r="S10" s="127"/>
      <c r="T10" s="127"/>
      <c r="U10" s="127"/>
      <c r="W10" s="39" t="s">
        <v>471</v>
      </c>
      <c r="X10" s="39" t="s">
        <v>472</v>
      </c>
      <c r="Y10" s="39" t="s">
        <v>455</v>
      </c>
      <c r="Z10" s="39" t="s">
        <v>456</v>
      </c>
      <c r="AA10" s="39" t="s">
        <v>820</v>
      </c>
      <c r="AB10" s="39" t="s">
        <v>821</v>
      </c>
      <c r="AC10" s="39" t="s">
        <v>819</v>
      </c>
      <c r="AD10" s="39"/>
    </row>
    <row r="11" spans="1:30" ht="25.05" customHeight="1">
      <c r="A11" s="119"/>
      <c r="B11" s="119"/>
      <c r="C11" s="127"/>
      <c r="D11" s="127"/>
      <c r="E11" s="127"/>
      <c r="F11" s="127"/>
      <c r="G11" s="127"/>
      <c r="H11" s="127"/>
      <c r="I11" s="127"/>
      <c r="J11" s="127"/>
      <c r="K11" s="56"/>
      <c r="L11" s="93" t="s">
        <v>2660</v>
      </c>
      <c r="M11" s="127" t="str">
        <f>IF(OR(L11="",L11="空"),"",IFERROR(VLOOKUP(L11,$W$2:$X$300,2,FALSE),""))</f>
        <v/>
      </c>
      <c r="N11" s="127"/>
      <c r="O11" s="127"/>
      <c r="P11" s="127"/>
      <c r="Q11" s="127"/>
      <c r="R11" s="127"/>
      <c r="S11" s="127"/>
      <c r="T11" s="127"/>
      <c r="U11" s="127"/>
      <c r="W11" s="39" t="s">
        <v>473</v>
      </c>
      <c r="X11" s="39" t="s">
        <v>474</v>
      </c>
      <c r="Y11" s="39" t="s">
        <v>455</v>
      </c>
      <c r="Z11" s="39" t="s">
        <v>456</v>
      </c>
      <c r="AA11" s="39" t="s">
        <v>823</v>
      </c>
      <c r="AB11" s="39" t="s">
        <v>824</v>
      </c>
      <c r="AC11" s="39" t="s">
        <v>825</v>
      </c>
      <c r="AD11" s="39" t="s">
        <v>826</v>
      </c>
    </row>
    <row r="12" spans="1:30" ht="25.05" customHeight="1">
      <c r="A12" s="119"/>
      <c r="B12" s="119"/>
      <c r="C12" s="127"/>
      <c r="D12" s="127"/>
      <c r="E12" s="127"/>
      <c r="F12" s="127"/>
      <c r="G12" s="127"/>
      <c r="H12" s="127"/>
      <c r="I12" s="127"/>
      <c r="J12" s="127"/>
      <c r="K12" s="56"/>
      <c r="L12" s="93" t="s">
        <v>2660</v>
      </c>
      <c r="M12" s="127" t="str">
        <f>IF(OR(L12="",L12="空"),"",IFERROR(VLOOKUP(L12,$W$2:$X$300,2,FALSE),""))</f>
        <v/>
      </c>
      <c r="N12" s="127"/>
      <c r="O12" s="127"/>
      <c r="P12" s="127"/>
      <c r="Q12" s="127"/>
      <c r="R12" s="127"/>
      <c r="S12" s="127"/>
      <c r="T12" s="127"/>
      <c r="U12" s="127"/>
      <c r="W12" s="39" t="s">
        <v>475</v>
      </c>
      <c r="X12" s="39" t="s">
        <v>476</v>
      </c>
      <c r="Y12" s="39" t="s">
        <v>455</v>
      </c>
      <c r="Z12" s="39" t="s">
        <v>456</v>
      </c>
      <c r="AA12" s="39" t="s">
        <v>827</v>
      </c>
      <c r="AB12" s="39" t="s">
        <v>828</v>
      </c>
      <c r="AC12" s="39" t="s">
        <v>825</v>
      </c>
      <c r="AD12" s="39" t="s">
        <v>829</v>
      </c>
    </row>
    <row r="13" spans="1:30" ht="25.05" customHeight="1">
      <c r="A13" s="119"/>
      <c r="B13" s="119"/>
      <c r="C13" s="127"/>
      <c r="D13" s="127"/>
      <c r="E13" s="127"/>
      <c r="F13" s="127"/>
      <c r="G13" s="127"/>
      <c r="H13" s="127"/>
      <c r="I13" s="127"/>
      <c r="J13" s="127"/>
      <c r="K13" s="56"/>
      <c r="L13" s="93" t="s">
        <v>2660</v>
      </c>
      <c r="M13" s="127" t="str">
        <f>IF(OR(L13="",L13="空"),"",IFERROR(VLOOKUP(L13,$W$2:$X$300,2,FALSE),""))</f>
        <v/>
      </c>
      <c r="N13" s="127"/>
      <c r="O13" s="127"/>
      <c r="P13" s="127"/>
      <c r="Q13" s="127"/>
      <c r="R13" s="127"/>
      <c r="S13" s="127"/>
      <c r="T13" s="127"/>
      <c r="U13" s="127"/>
      <c r="W13" s="39" t="s">
        <v>477</v>
      </c>
      <c r="X13" s="39" t="s">
        <v>478</v>
      </c>
      <c r="Y13" s="39" t="s">
        <v>455</v>
      </c>
      <c r="Z13" s="39" t="s">
        <v>456</v>
      </c>
      <c r="AA13" s="39" t="s">
        <v>831</v>
      </c>
      <c r="AB13" s="39" t="s">
        <v>832</v>
      </c>
      <c r="AC13" s="39" t="s">
        <v>825</v>
      </c>
      <c r="AD13" s="39" t="s">
        <v>833</v>
      </c>
    </row>
    <row r="14" spans="1:30" ht="25.05" customHeight="1">
      <c r="A14" s="119"/>
      <c r="B14" s="119"/>
      <c r="C14" s="127"/>
      <c r="D14" s="127"/>
      <c r="E14" s="127"/>
      <c r="F14" s="127"/>
      <c r="G14" s="127"/>
      <c r="H14" s="127"/>
      <c r="I14" s="127"/>
      <c r="J14" s="127"/>
      <c r="K14" s="56"/>
      <c r="L14" s="93" t="s">
        <v>2660</v>
      </c>
      <c r="M14" s="127" t="str">
        <f>IF(OR(L14="",L14="空"),"",IFERROR(VLOOKUP(L14,$W$2:$X$300,2,FALSE),""))</f>
        <v/>
      </c>
      <c r="N14" s="127"/>
      <c r="O14" s="127"/>
      <c r="P14" s="127"/>
      <c r="Q14" s="127"/>
      <c r="R14" s="127"/>
      <c r="S14" s="127"/>
      <c r="T14" s="127"/>
      <c r="U14" s="127"/>
      <c r="W14" s="39" t="s">
        <v>479</v>
      </c>
      <c r="X14" s="39" t="s">
        <v>480</v>
      </c>
      <c r="Y14" s="39" t="s">
        <v>455</v>
      </c>
      <c r="Z14" s="39" t="s">
        <v>456</v>
      </c>
      <c r="AA14" s="39" t="s">
        <v>834</v>
      </c>
      <c r="AB14" s="39" t="s">
        <v>835</v>
      </c>
      <c r="AC14" s="39" t="s">
        <v>836</v>
      </c>
      <c r="AD14" s="39" t="s">
        <v>837</v>
      </c>
    </row>
    <row r="15" spans="1:30" ht="25.05" customHeight="1">
      <c r="A15" s="119"/>
      <c r="B15" s="119"/>
      <c r="C15" s="127"/>
      <c r="D15" s="127"/>
      <c r="E15" s="127"/>
      <c r="F15" s="127"/>
      <c r="G15" s="127"/>
      <c r="H15" s="127"/>
      <c r="I15" s="127"/>
      <c r="J15" s="127"/>
      <c r="K15" s="56"/>
      <c r="L15" s="93" t="s">
        <v>2660</v>
      </c>
      <c r="M15" s="127" t="str">
        <f>IF(OR(L15="",L15="空"),"",IFERROR(VLOOKUP(L15,$W$2:$X$300,2,FALSE),""))</f>
        <v/>
      </c>
      <c r="N15" s="127"/>
      <c r="O15" s="127"/>
      <c r="P15" s="127"/>
      <c r="Q15" s="127"/>
      <c r="R15" s="127"/>
      <c r="S15" s="127"/>
      <c r="T15" s="127"/>
      <c r="U15" s="127"/>
      <c r="W15" s="39" t="s">
        <v>481</v>
      </c>
      <c r="X15" s="39" t="s">
        <v>482</v>
      </c>
      <c r="Y15" s="39" t="s">
        <v>455</v>
      </c>
      <c r="Z15" s="39" t="s">
        <v>456</v>
      </c>
      <c r="AA15" s="39" t="s">
        <v>838</v>
      </c>
      <c r="AB15" s="39" t="s">
        <v>839</v>
      </c>
      <c r="AC15" s="39" t="s">
        <v>836</v>
      </c>
      <c r="AD15" s="39" t="s">
        <v>840</v>
      </c>
    </row>
    <row r="16" spans="1:30" ht="25.05" customHeight="1">
      <c r="A16" s="119"/>
      <c r="B16" s="119"/>
      <c r="C16" s="127"/>
      <c r="D16" s="127"/>
      <c r="E16" s="127"/>
      <c r="F16" s="127"/>
      <c r="G16" s="127"/>
      <c r="H16" s="127"/>
      <c r="I16" s="127"/>
      <c r="J16" s="127"/>
      <c r="K16" s="56"/>
      <c r="L16" s="93" t="s">
        <v>2660</v>
      </c>
      <c r="M16" s="127" t="str">
        <f>IF(OR(L16="",L16="空"),"",IFERROR(VLOOKUP(L16,$W$2:$X$300,2,FALSE),""))</f>
        <v/>
      </c>
      <c r="N16" s="127"/>
      <c r="O16" s="127"/>
      <c r="P16" s="127"/>
      <c r="Q16" s="127"/>
      <c r="R16" s="127"/>
      <c r="S16" s="127"/>
      <c r="T16" s="127"/>
      <c r="U16" s="127"/>
      <c r="W16" s="39" t="s">
        <v>19</v>
      </c>
      <c r="X16" s="39" t="s">
        <v>483</v>
      </c>
      <c r="Y16" s="39" t="s">
        <v>455</v>
      </c>
      <c r="Z16" s="39" t="s">
        <v>456</v>
      </c>
      <c r="AA16" s="39" t="s">
        <v>841</v>
      </c>
      <c r="AB16" s="39" t="s">
        <v>842</v>
      </c>
      <c r="AC16" s="39" t="s">
        <v>819</v>
      </c>
      <c r="AD16" s="39" t="s">
        <v>800</v>
      </c>
    </row>
    <row r="17" spans="1:30" ht="25.05" customHeight="1">
      <c r="A17" s="119"/>
      <c r="B17" s="119"/>
      <c r="C17" s="127"/>
      <c r="D17" s="127"/>
      <c r="E17" s="127"/>
      <c r="F17" s="127"/>
      <c r="G17" s="127"/>
      <c r="H17" s="127"/>
      <c r="I17" s="127"/>
      <c r="J17" s="127"/>
      <c r="K17" s="56"/>
      <c r="L17" s="93" t="s">
        <v>2660</v>
      </c>
      <c r="M17" s="127" t="str">
        <f>IF(OR(L17="",L17="空"),"",IFERROR(VLOOKUP(L17,$W$2:$X$300,2,FALSE),""))</f>
        <v/>
      </c>
      <c r="N17" s="127"/>
      <c r="O17" s="127"/>
      <c r="P17" s="127"/>
      <c r="Q17" s="127"/>
      <c r="R17" s="127"/>
      <c r="S17" s="127"/>
      <c r="T17" s="127"/>
      <c r="U17" s="127"/>
      <c r="W17" s="39" t="s">
        <v>484</v>
      </c>
      <c r="X17" s="39" t="s">
        <v>485</v>
      </c>
      <c r="Y17" s="39" t="s">
        <v>455</v>
      </c>
      <c r="Z17" s="39" t="s">
        <v>456</v>
      </c>
      <c r="AA17" s="39" t="s">
        <v>1324</v>
      </c>
      <c r="AB17" s="39" t="s">
        <v>1325</v>
      </c>
      <c r="AC17" s="39" t="s">
        <v>875</v>
      </c>
      <c r="AD17" s="39" t="s">
        <v>1326</v>
      </c>
    </row>
    <row r="18" spans="1:30" ht="18" customHeight="1">
      <c r="A18" s="132" t="s">
        <v>2659</v>
      </c>
      <c r="B18" s="132"/>
      <c r="C18" s="132"/>
      <c r="D18" s="132"/>
      <c r="E18" s="132"/>
      <c r="F18" s="132"/>
      <c r="G18" s="132"/>
      <c r="H18" s="132"/>
      <c r="I18" s="132"/>
      <c r="J18" s="132"/>
      <c r="K18" s="132"/>
      <c r="L18" s="132"/>
      <c r="M18" s="132"/>
      <c r="N18" s="132"/>
      <c r="O18" s="132"/>
      <c r="P18" s="132"/>
      <c r="Q18" s="132"/>
      <c r="R18" s="132"/>
      <c r="S18" s="132"/>
      <c r="T18" s="132"/>
      <c r="U18" s="132"/>
      <c r="W18" s="39" t="s">
        <v>486</v>
      </c>
      <c r="X18" s="39" t="s">
        <v>487</v>
      </c>
      <c r="Y18" s="39" t="s">
        <v>455</v>
      </c>
      <c r="Z18" s="39" t="s">
        <v>456</v>
      </c>
      <c r="AA18" s="39" t="s">
        <v>1327</v>
      </c>
      <c r="AB18" s="39" t="s">
        <v>1328</v>
      </c>
      <c r="AC18" s="39" t="s">
        <v>857</v>
      </c>
      <c r="AD18" s="39" t="s">
        <v>1326</v>
      </c>
    </row>
    <row r="19" spans="1:30" ht="25.05" customHeight="1">
      <c r="A19" s="93" t="s">
        <v>124</v>
      </c>
      <c r="B19" s="133" t="s">
        <v>125</v>
      </c>
      <c r="C19" s="133"/>
      <c r="D19" s="133"/>
      <c r="E19" s="133"/>
      <c r="F19" s="133"/>
      <c r="G19" s="133"/>
      <c r="H19" s="133"/>
      <c r="I19" s="93" t="s">
        <v>126</v>
      </c>
      <c r="J19" s="93" t="s">
        <v>127</v>
      </c>
      <c r="K19" s="56"/>
      <c r="L19" s="93" t="s">
        <v>124</v>
      </c>
      <c r="M19" s="133" t="s">
        <v>125</v>
      </c>
      <c r="N19" s="133"/>
      <c r="O19" s="133"/>
      <c r="P19" s="133"/>
      <c r="Q19" s="133"/>
      <c r="R19" s="133"/>
      <c r="S19" s="133"/>
      <c r="T19" s="93" t="s">
        <v>126</v>
      </c>
      <c r="U19" s="93" t="s">
        <v>127</v>
      </c>
      <c r="W19" s="39" t="s">
        <v>488</v>
      </c>
      <c r="X19" s="39" t="s">
        <v>489</v>
      </c>
      <c r="Y19" s="39" t="s">
        <v>455</v>
      </c>
      <c r="Z19" s="39" t="s">
        <v>456</v>
      </c>
      <c r="AA19" s="39" t="s">
        <v>1329</v>
      </c>
      <c r="AB19" s="39" t="s">
        <v>1330</v>
      </c>
      <c r="AC19" s="39" t="s">
        <v>799</v>
      </c>
      <c r="AD19" s="39" t="s">
        <v>1326</v>
      </c>
    </row>
    <row r="20" spans="1:30" ht="25.05" customHeight="1">
      <c r="A20" s="93" t="s">
        <v>2660</v>
      </c>
      <c r="B20" s="127" t="str">
        <f>IF(OR(A20="",A20="空"),"",IFERROR(VLOOKUP(A20,$AA$2:$AD$400,2,FALSE),""))</f>
        <v/>
      </c>
      <c r="C20" s="127"/>
      <c r="D20" s="127"/>
      <c r="E20" s="127"/>
      <c r="F20" s="127"/>
      <c r="G20" s="127"/>
      <c r="H20" s="127"/>
      <c r="I20" s="134" t="str">
        <f>IF(OR(A20="",A20="空"),"",IFERROR(VLOOKUP(A20,$AA$2:$AD$400,3,FALSE),""))</f>
        <v/>
      </c>
      <c r="J20" s="134" t="str">
        <f>IF(OR(A20="",A20="空"),"",IFERROR(VLOOKUP(A20,$AA$2:$AD$400,4,FALSE),""))</f>
        <v/>
      </c>
      <c r="K20" s="56"/>
      <c r="L20" s="93" t="s">
        <v>248</v>
      </c>
      <c r="M20" s="127" t="str">
        <f>IF(OR(L20="",L20="空"),"",IFERROR(VLOOKUP(L20,$AA$2:$AD$400,2,FALSE),""))</f>
        <v/>
      </c>
      <c r="N20" s="127"/>
      <c r="O20" s="127"/>
      <c r="P20" s="127"/>
      <c r="Q20" s="127"/>
      <c r="R20" s="127"/>
      <c r="S20" s="127"/>
      <c r="T20" s="134" t="str">
        <f>IF(OR(L20="",L20="空"),"",IFERROR(VLOOKUP(L20,$AA$2:$AD$400,3,FALSE),""))</f>
        <v/>
      </c>
      <c r="U20" s="134" t="str">
        <f>IF(OR(L20="",L20="空"),"",IFERROR(VLOOKUP(L20,$AA$2:$AD$400,4,FALSE),""))</f>
        <v/>
      </c>
      <c r="W20" s="39" t="s">
        <v>490</v>
      </c>
      <c r="X20" s="39" t="s">
        <v>491</v>
      </c>
      <c r="Y20" s="39" t="s">
        <v>455</v>
      </c>
      <c r="Z20" s="39" t="s">
        <v>456</v>
      </c>
      <c r="AA20" s="39" t="s">
        <v>1331</v>
      </c>
      <c r="AB20" s="39" t="s">
        <v>1332</v>
      </c>
      <c r="AC20" s="39" t="s">
        <v>836</v>
      </c>
      <c r="AD20" s="39" t="s">
        <v>1326</v>
      </c>
    </row>
    <row r="21" spans="1:30" ht="25.05" customHeight="1">
      <c r="A21" s="93" t="s">
        <v>2660</v>
      </c>
      <c r="B21" s="122" t="str">
        <f>IF(OR(A21="",A21="空"),"",IFERROR(VLOOKUP(A21,$AA$2:$AD$400,2,FALSE),""))</f>
        <v/>
      </c>
      <c r="C21" s="122"/>
      <c r="D21" s="122"/>
      <c r="E21" s="122"/>
      <c r="F21" s="122"/>
      <c r="G21" s="122"/>
      <c r="H21" s="122"/>
      <c r="I21" s="125" t="str">
        <f>IF(OR(A21="",A21="空"),"",IFERROR(VLOOKUP(A21,$AA$2:$AD$400,3,FALSE),""))</f>
        <v/>
      </c>
      <c r="J21" s="125" t="str">
        <f>IF(OR(A21="",A21="空"),"",IFERROR(VLOOKUP(A21,$AA$2:$AD$400,4,FALSE),""))</f>
        <v/>
      </c>
      <c r="K21" s="56"/>
      <c r="L21" s="93" t="s">
        <v>2660</v>
      </c>
      <c r="M21" s="122" t="str">
        <f>IF(OR(L21="",L21="空"),"",IFERROR(VLOOKUP(L21,$AA$2:$AD$400,2,FALSE),""))</f>
        <v/>
      </c>
      <c r="N21" s="122"/>
      <c r="O21" s="122"/>
      <c r="P21" s="122"/>
      <c r="Q21" s="122"/>
      <c r="R21" s="122"/>
      <c r="S21" s="122"/>
      <c r="T21" s="125" t="str">
        <f>IF(OR(L21="",L21="空"),"",IFERROR(VLOOKUP(L21,$AA$2:$AD$400,3,FALSE),""))</f>
        <v/>
      </c>
      <c r="U21" s="125" t="str">
        <f>IF(OR(L21="",L21="空"),"",IFERROR(VLOOKUP(L21,$AA$2:$AD$400,4,FALSE),""))</f>
        <v/>
      </c>
      <c r="W21" s="39" t="s">
        <v>492</v>
      </c>
      <c r="X21" s="39" t="s">
        <v>493</v>
      </c>
      <c r="Y21" s="39" t="s">
        <v>455</v>
      </c>
      <c r="Z21" s="39" t="s">
        <v>456</v>
      </c>
      <c r="AA21" s="39" t="s">
        <v>1334</v>
      </c>
      <c r="AB21" s="39" t="s">
        <v>1335</v>
      </c>
      <c r="AC21" s="39" t="s">
        <v>799</v>
      </c>
      <c r="AD21" s="39" t="s">
        <v>1326</v>
      </c>
    </row>
    <row r="22" spans="1:30" ht="25.05" customHeight="1">
      <c r="A22" s="93" t="s">
        <v>2660</v>
      </c>
      <c r="B22" s="127" t="str">
        <f>IF(OR(A22="",A22="空"),"",IFERROR(VLOOKUP(A22,$AA$2:$AD$400,2,FALSE),""))</f>
        <v/>
      </c>
      <c r="C22" s="127"/>
      <c r="D22" s="127"/>
      <c r="E22" s="127"/>
      <c r="F22" s="127"/>
      <c r="G22" s="127"/>
      <c r="H22" s="127"/>
      <c r="I22" s="134" t="str">
        <f>IF(OR(A22="",A22="空"),"",IFERROR(VLOOKUP(A22,$AA$2:$AD$400,3,FALSE),""))</f>
        <v/>
      </c>
      <c r="J22" s="134" t="str">
        <f>IF(OR(A22="",A22="空"),"",IFERROR(VLOOKUP(A22,$AA$2:$AD$400,4,FALSE),""))</f>
        <v/>
      </c>
      <c r="K22" s="56"/>
      <c r="L22" s="93" t="s">
        <v>2660</v>
      </c>
      <c r="M22" s="127" t="str">
        <f>IF(OR(L22="",L22="空"),"",IFERROR(VLOOKUP(L22,$AA$2:$AD$400,2,FALSE),""))</f>
        <v/>
      </c>
      <c r="N22" s="127"/>
      <c r="O22" s="127"/>
      <c r="P22" s="127"/>
      <c r="Q22" s="127"/>
      <c r="R22" s="127"/>
      <c r="S22" s="127"/>
      <c r="T22" s="134" t="str">
        <f>IF(OR(L22="",L22="空"),"",IFERROR(VLOOKUP(L22,$AA$2:$AD$400,3,FALSE),""))</f>
        <v/>
      </c>
      <c r="U22" s="134" t="str">
        <f>IF(OR(L22="",L22="空"),"",IFERROR(VLOOKUP(L22,$AA$2:$AD$400,4,FALSE),""))</f>
        <v/>
      </c>
      <c r="W22" s="39" t="s">
        <v>494</v>
      </c>
      <c r="X22" s="39" t="s">
        <v>495</v>
      </c>
      <c r="Y22" s="39" t="s">
        <v>455</v>
      </c>
      <c r="Z22" s="39" t="s">
        <v>456</v>
      </c>
      <c r="AA22" s="39" t="s">
        <v>1336</v>
      </c>
      <c r="AB22" s="39" t="s">
        <v>1337</v>
      </c>
      <c r="AC22" s="39" t="s">
        <v>1338</v>
      </c>
      <c r="AD22" s="39" t="s">
        <v>1326</v>
      </c>
    </row>
    <row r="23" spans="1:30" ht="25.05" customHeight="1">
      <c r="A23" s="93" t="s">
        <v>2660</v>
      </c>
      <c r="B23" s="122" t="str">
        <f>IF(OR(A23="",A23="空"),"",IFERROR(VLOOKUP(A23,$AA$2:$AD$400,2,FALSE),""))</f>
        <v/>
      </c>
      <c r="C23" s="122"/>
      <c r="D23" s="122"/>
      <c r="E23" s="122"/>
      <c r="F23" s="122"/>
      <c r="G23" s="122"/>
      <c r="H23" s="122"/>
      <c r="I23" s="125" t="str">
        <f>IF(OR(A23="",A23="空"),"",IFERROR(VLOOKUP(A23,$AA$2:$AD$400,3,FALSE),""))</f>
        <v/>
      </c>
      <c r="J23" s="125" t="str">
        <f>IF(OR(A23="",A23="空"),"",IFERROR(VLOOKUP(A23,$AA$2:$AD$400,4,FALSE),""))</f>
        <v/>
      </c>
      <c r="K23" s="56"/>
      <c r="L23" s="93" t="s">
        <v>2660</v>
      </c>
      <c r="M23" s="122" t="str">
        <f>IF(OR(L23="",L23="空"),"",IFERROR(VLOOKUP(L23,$AA$2:$AD$400,2,FALSE),""))</f>
        <v/>
      </c>
      <c r="N23" s="122"/>
      <c r="O23" s="122"/>
      <c r="P23" s="122"/>
      <c r="Q23" s="122"/>
      <c r="R23" s="122"/>
      <c r="S23" s="122"/>
      <c r="T23" s="125" t="str">
        <f>IF(OR(L23="",L23="空"),"",IFERROR(VLOOKUP(L23,$AA$2:$AD$400,3,FALSE),""))</f>
        <v/>
      </c>
      <c r="U23" s="125" t="str">
        <f>IF(OR(L23="",L23="空"),"",IFERROR(VLOOKUP(L23,$AA$2:$AD$400,4,FALSE),""))</f>
        <v/>
      </c>
      <c r="W23" s="39" t="s">
        <v>496</v>
      </c>
      <c r="X23" s="39" t="s">
        <v>497</v>
      </c>
      <c r="Y23" s="39" t="s">
        <v>455</v>
      </c>
      <c r="Z23" s="39" t="s">
        <v>456</v>
      </c>
      <c r="AA23" s="39" t="s">
        <v>1339</v>
      </c>
      <c r="AB23" s="39" t="s">
        <v>1340</v>
      </c>
      <c r="AC23" s="39" t="s">
        <v>799</v>
      </c>
      <c r="AD23" s="39" t="s">
        <v>1326</v>
      </c>
    </row>
    <row r="24" spans="1:30" ht="25.05" customHeight="1">
      <c r="A24" s="93" t="s">
        <v>2660</v>
      </c>
      <c r="B24" s="127" t="str">
        <f>IF(OR(A24="",A24="空"),"",IFERROR(VLOOKUP(A24,$AA$2:$AD$400,2,FALSE),""))</f>
        <v/>
      </c>
      <c r="C24" s="127"/>
      <c r="D24" s="127"/>
      <c r="E24" s="127"/>
      <c r="F24" s="127"/>
      <c r="G24" s="127"/>
      <c r="H24" s="127"/>
      <c r="I24" s="134" t="str">
        <f>IF(OR(A24="",A24="空"),"",IFERROR(VLOOKUP(A24,$AA$2:$AD$400,3,FALSE),""))</f>
        <v/>
      </c>
      <c r="J24" s="134" t="str">
        <f>IF(OR(A24="",A24="空"),"",IFERROR(VLOOKUP(A24,$AA$2:$AD$400,4,FALSE),""))</f>
        <v/>
      </c>
      <c r="K24" s="56"/>
      <c r="L24" s="93" t="s">
        <v>2660</v>
      </c>
      <c r="M24" s="127" t="str">
        <f>IF(OR(L24="",L24="空"),"",IFERROR(VLOOKUP(L24,$AA$2:$AD$400,2,FALSE),""))</f>
        <v/>
      </c>
      <c r="N24" s="127"/>
      <c r="O24" s="127"/>
      <c r="P24" s="127"/>
      <c r="Q24" s="127"/>
      <c r="R24" s="127"/>
      <c r="S24" s="127"/>
      <c r="T24" s="134" t="str">
        <f>IF(OR(L24="",L24="空"),"",IFERROR(VLOOKUP(L24,$AA$2:$AD$400,3,FALSE),""))</f>
        <v/>
      </c>
      <c r="U24" s="134" t="str">
        <f>IF(OR(L24="",L24="空"),"",IFERROR(VLOOKUP(L24,$AA$2:$AD$400,4,FALSE),""))</f>
        <v/>
      </c>
      <c r="W24" s="39" t="s">
        <v>498</v>
      </c>
      <c r="X24" s="39" t="s">
        <v>499</v>
      </c>
      <c r="Y24" s="39" t="s">
        <v>455</v>
      </c>
      <c r="Z24" s="39" t="s">
        <v>456</v>
      </c>
      <c r="AA24" s="39" t="s">
        <v>1341</v>
      </c>
      <c r="AB24" s="39" t="s">
        <v>1342</v>
      </c>
      <c r="AC24" s="39" t="s">
        <v>819</v>
      </c>
      <c r="AD24" s="39" t="s">
        <v>1343</v>
      </c>
    </row>
    <row r="25" spans="1:30" ht="25.05" customHeight="1">
      <c r="A25" s="93" t="s">
        <v>2660</v>
      </c>
      <c r="B25" s="122" t="str">
        <f>IF(OR(A25="",A25="空"),"",IFERROR(VLOOKUP(A25,$AA$2:$AD$400,2,FALSE),""))</f>
        <v/>
      </c>
      <c r="C25" s="122"/>
      <c r="D25" s="122"/>
      <c r="E25" s="122"/>
      <c r="F25" s="122"/>
      <c r="G25" s="122"/>
      <c r="H25" s="122"/>
      <c r="I25" s="125" t="str">
        <f>IF(OR(A25="",A25="空"),"",IFERROR(VLOOKUP(A25,$AA$2:$AD$400,3,FALSE),""))</f>
        <v/>
      </c>
      <c r="J25" s="125" t="str">
        <f>IF(OR(A25="",A25="空"),"",IFERROR(VLOOKUP(A25,$AA$2:$AD$400,4,FALSE),""))</f>
        <v/>
      </c>
      <c r="K25" s="56"/>
      <c r="L25" s="93" t="s">
        <v>2660</v>
      </c>
      <c r="M25" s="122" t="str">
        <f>IF(OR(L25="",L25="空"),"",IFERROR(VLOOKUP(L25,$AA$2:$AD$400,2,FALSE),""))</f>
        <v/>
      </c>
      <c r="N25" s="122"/>
      <c r="O25" s="122"/>
      <c r="P25" s="122"/>
      <c r="Q25" s="122"/>
      <c r="R25" s="122"/>
      <c r="S25" s="122"/>
      <c r="T25" s="125" t="str">
        <f>IF(OR(L25="",L25="空"),"",IFERROR(VLOOKUP(L25,$AA$2:$AD$400,3,FALSE),""))</f>
        <v/>
      </c>
      <c r="U25" s="125" t="str">
        <f>IF(OR(L25="",L25="空"),"",IFERROR(VLOOKUP(L25,$AA$2:$AD$400,4,FALSE),""))</f>
        <v/>
      </c>
      <c r="W25" s="39" t="s">
        <v>500</v>
      </c>
      <c r="X25" s="39" t="s">
        <v>501</v>
      </c>
      <c r="Y25" s="39" t="s">
        <v>455</v>
      </c>
      <c r="Z25" s="39" t="s">
        <v>456</v>
      </c>
      <c r="AA25" s="39" t="s">
        <v>1345</v>
      </c>
      <c r="AB25" s="39" t="s">
        <v>1346</v>
      </c>
      <c r="AC25" s="39" t="s">
        <v>799</v>
      </c>
      <c r="AD25" s="39" t="s">
        <v>1326</v>
      </c>
    </row>
    <row r="26" spans="1:30" ht="25.05" customHeight="1">
      <c r="A26" s="93" t="s">
        <v>2660</v>
      </c>
      <c r="B26" s="127" t="str">
        <f>IF(OR(A26="",A26="空"),"",IFERROR(VLOOKUP(A26,$AA$2:$AD$400,2,FALSE),""))</f>
        <v/>
      </c>
      <c r="C26" s="127"/>
      <c r="D26" s="127"/>
      <c r="E26" s="127"/>
      <c r="F26" s="127"/>
      <c r="G26" s="127"/>
      <c r="H26" s="127"/>
      <c r="I26" s="134" t="str">
        <f>IF(OR(A26="",A26="空"),"",IFERROR(VLOOKUP(A26,$AA$2:$AD$400,3,FALSE),""))</f>
        <v/>
      </c>
      <c r="J26" s="134" t="str">
        <f>IF(OR(A26="",A26="空"),"",IFERROR(VLOOKUP(A26,$AA$2:$AD$400,4,FALSE),""))</f>
        <v/>
      </c>
      <c r="K26" s="56"/>
      <c r="L26" s="93" t="s">
        <v>2660</v>
      </c>
      <c r="M26" s="127" t="str">
        <f>IF(OR(L26="",L26="空"),"",IFERROR(VLOOKUP(L26,$AA$2:$AD$400,2,FALSE),""))</f>
        <v/>
      </c>
      <c r="N26" s="127"/>
      <c r="O26" s="127"/>
      <c r="P26" s="127"/>
      <c r="Q26" s="127"/>
      <c r="R26" s="127"/>
      <c r="S26" s="127"/>
      <c r="T26" s="134" t="str">
        <f>IF(OR(L26="",L26="空"),"",IFERROR(VLOOKUP(L26,$AA$2:$AD$400,3,FALSE),""))</f>
        <v/>
      </c>
      <c r="U26" s="134" t="str">
        <f>IF(OR(L26="",L26="空"),"",IFERROR(VLOOKUP(L26,$AA$2:$AD$400,4,FALSE),""))</f>
        <v/>
      </c>
      <c r="W26" s="39" t="s">
        <v>736</v>
      </c>
      <c r="X26" s="39" t="s">
        <v>737</v>
      </c>
      <c r="Y26" s="39" t="s">
        <v>447</v>
      </c>
      <c r="Z26" s="39" t="s">
        <v>735</v>
      </c>
      <c r="AA26" s="39" t="s">
        <v>1347</v>
      </c>
      <c r="AB26" s="39" t="s">
        <v>1348</v>
      </c>
      <c r="AC26" s="39" t="s">
        <v>857</v>
      </c>
      <c r="AD26" s="39" t="s">
        <v>1326</v>
      </c>
    </row>
    <row r="27" spans="1:30" ht="25.05" customHeight="1">
      <c r="A27" s="93" t="s">
        <v>2660</v>
      </c>
      <c r="B27" s="122" t="str">
        <f>IF(OR(A27="",A27="空"),"",IFERROR(VLOOKUP(A27,$AA$2:$AD$400,2,FALSE),""))</f>
        <v/>
      </c>
      <c r="C27" s="122"/>
      <c r="D27" s="122"/>
      <c r="E27" s="122"/>
      <c r="F27" s="122"/>
      <c r="G27" s="122"/>
      <c r="H27" s="122"/>
      <c r="I27" s="125" t="str">
        <f>IF(OR(A27="",A27="空"),"",IFERROR(VLOOKUP(A27,$AA$2:$AD$400,3,FALSE),""))</f>
        <v/>
      </c>
      <c r="J27" s="125" t="str">
        <f>IF(OR(A27="",A27="空"),"",IFERROR(VLOOKUP(A27,$AA$2:$AD$400,4,FALSE),""))</f>
        <v/>
      </c>
      <c r="K27" s="56"/>
      <c r="L27" s="93" t="s">
        <v>2660</v>
      </c>
      <c r="M27" s="122" t="str">
        <f>IF(OR(L27="",L27="空"),"",IFERROR(VLOOKUP(L27,$AA$2:$AD$400,2,FALSE),""))</f>
        <v/>
      </c>
      <c r="N27" s="122"/>
      <c r="O27" s="122"/>
      <c r="P27" s="122"/>
      <c r="Q27" s="122"/>
      <c r="R27" s="122"/>
      <c r="S27" s="122"/>
      <c r="T27" s="125" t="str">
        <f>IF(OR(L27="",L27="空"),"",IFERROR(VLOOKUP(L27,$AA$2:$AD$400,3,FALSE),""))</f>
        <v/>
      </c>
      <c r="U27" s="125" t="str">
        <f>IF(OR(L27="",L27="空"),"",IFERROR(VLOOKUP(L27,$AA$2:$AD$400,4,FALSE),""))</f>
        <v/>
      </c>
      <c r="W27" s="39" t="s">
        <v>738</v>
      </c>
      <c r="X27" s="39" t="s">
        <v>739</v>
      </c>
      <c r="Y27" s="39" t="s">
        <v>447</v>
      </c>
      <c r="Z27" s="39" t="s">
        <v>735</v>
      </c>
      <c r="AA27" s="39" t="s">
        <v>1349</v>
      </c>
      <c r="AB27" s="39" t="s">
        <v>1350</v>
      </c>
      <c r="AC27" s="39" t="s">
        <v>799</v>
      </c>
      <c r="AD27" s="39" t="s">
        <v>1326</v>
      </c>
    </row>
    <row r="28" spans="1:30" ht="25.05" customHeight="1">
      <c r="A28" s="93" t="s">
        <v>2660</v>
      </c>
      <c r="B28" s="127" t="str">
        <f>IF(OR(A28="",A28="空"),"",IFERROR(VLOOKUP(A28,$AA$2:$AD$400,2,FALSE),""))</f>
        <v/>
      </c>
      <c r="C28" s="127"/>
      <c r="D28" s="127"/>
      <c r="E28" s="127"/>
      <c r="F28" s="127"/>
      <c r="G28" s="127"/>
      <c r="H28" s="127"/>
      <c r="I28" s="134" t="str">
        <f>IF(OR(A28="",A28="空"),"",IFERROR(VLOOKUP(A28,$AA$2:$AD$400,3,FALSE),""))</f>
        <v/>
      </c>
      <c r="J28" s="134" t="str">
        <f>IF(OR(A28="",A28="空"),"",IFERROR(VLOOKUP(A28,$AA$2:$AD$400,4,FALSE),""))</f>
        <v/>
      </c>
      <c r="K28" s="56"/>
      <c r="L28" s="93" t="s">
        <v>2660</v>
      </c>
      <c r="M28" s="127" t="str">
        <f>IF(OR(L28="",L28="空"),"",IFERROR(VLOOKUP(L28,$AA$2:$AD$400,2,FALSE),""))</f>
        <v/>
      </c>
      <c r="N28" s="127"/>
      <c r="O28" s="127"/>
      <c r="P28" s="127"/>
      <c r="Q28" s="127"/>
      <c r="R28" s="127"/>
      <c r="S28" s="127"/>
      <c r="T28" s="134" t="str">
        <f>IF(OR(L28="",L28="空"),"",IFERROR(VLOOKUP(L28,$AA$2:$AD$400,3,FALSE),""))</f>
        <v/>
      </c>
      <c r="U28" s="134" t="str">
        <f>IF(OR(L28="",L28="空"),"",IFERROR(VLOOKUP(L28,$AA$2:$AD$400,4,FALSE),""))</f>
        <v/>
      </c>
      <c r="W28" s="39" t="s">
        <v>740</v>
      </c>
      <c r="X28" s="39" t="s">
        <v>741</v>
      </c>
      <c r="Y28" s="39" t="s">
        <v>447</v>
      </c>
      <c r="Z28" s="39" t="s">
        <v>735</v>
      </c>
      <c r="AA28" s="39" t="s">
        <v>1351</v>
      </c>
      <c r="AB28" s="39" t="s">
        <v>1352</v>
      </c>
      <c r="AC28" s="39" t="s">
        <v>836</v>
      </c>
      <c r="AD28" s="39" t="s">
        <v>1343</v>
      </c>
    </row>
    <row r="29" spans="1:30" ht="25.05" customHeight="1">
      <c r="A29" s="93" t="s">
        <v>2660</v>
      </c>
      <c r="B29" s="122" t="str">
        <f>IF(OR(A29="",A29="空"),"",IFERROR(VLOOKUP(A29,$AA$2:$AD$400,2,FALSE),""))</f>
        <v/>
      </c>
      <c r="C29" s="122"/>
      <c r="D29" s="122"/>
      <c r="E29" s="122"/>
      <c r="F29" s="122"/>
      <c r="G29" s="122"/>
      <c r="H29" s="122"/>
      <c r="I29" s="125" t="str">
        <f>IF(OR(A29="",A29="空"),"",IFERROR(VLOOKUP(A29,$AA$2:$AD$400,3,FALSE),""))</f>
        <v/>
      </c>
      <c r="J29" s="125" t="str">
        <f>IF(OR(A29="",A29="空"),"",IFERROR(VLOOKUP(A29,$AA$2:$AD$400,4,FALSE),""))</f>
        <v/>
      </c>
      <c r="K29" s="56"/>
      <c r="L29" s="93" t="s">
        <v>2660</v>
      </c>
      <c r="M29" s="122" t="str">
        <f>IF(OR(L29="",L29="空"),"",IFERROR(VLOOKUP(L29,$AA$2:$AD$400,2,FALSE),""))</f>
        <v/>
      </c>
      <c r="N29" s="122"/>
      <c r="O29" s="122"/>
      <c r="P29" s="122"/>
      <c r="Q29" s="122"/>
      <c r="R29" s="122"/>
      <c r="S29" s="122"/>
      <c r="T29" s="125" t="str">
        <f>IF(OR(L29="",L29="空"),"",IFERROR(VLOOKUP(L29,$AA$2:$AD$400,3,FALSE),""))</f>
        <v/>
      </c>
      <c r="U29" s="125" t="str">
        <f>IF(OR(L29="",L29="空"),"",IFERROR(VLOOKUP(L29,$AA$2:$AD$400,4,FALSE),""))</f>
        <v/>
      </c>
      <c r="W29" s="39" t="s">
        <v>743</v>
      </c>
      <c r="X29" s="39" t="s">
        <v>744</v>
      </c>
      <c r="Y29" s="39" t="s">
        <v>447</v>
      </c>
      <c r="Z29" s="39" t="s">
        <v>742</v>
      </c>
      <c r="AA29" s="39" t="s">
        <v>1354</v>
      </c>
      <c r="AB29" s="39" t="s">
        <v>1355</v>
      </c>
      <c r="AC29" s="39" t="s">
        <v>799</v>
      </c>
      <c r="AD29" s="39" t="s">
        <v>1326</v>
      </c>
    </row>
    <row r="30" spans="1:30" ht="25.05" customHeight="1">
      <c r="A30" s="93" t="s">
        <v>2660</v>
      </c>
      <c r="B30" s="127" t="str">
        <f>IF(OR(A30="",A30="空"),"",IFERROR(VLOOKUP(A30,$AA$2:$AD$400,2,FALSE),""))</f>
        <v/>
      </c>
      <c r="C30" s="127"/>
      <c r="D30" s="127"/>
      <c r="E30" s="127"/>
      <c r="F30" s="127"/>
      <c r="G30" s="127"/>
      <c r="H30" s="127"/>
      <c r="I30" s="134" t="str">
        <f>IF(OR(A30="",A30="空"),"",IFERROR(VLOOKUP(A30,$AA$2:$AD$400,3,FALSE),""))</f>
        <v/>
      </c>
      <c r="J30" s="134" t="str">
        <f>IF(OR(A30="",A30="空"),"",IFERROR(VLOOKUP(A30,$AA$2:$AD$400,4,FALSE),""))</f>
        <v/>
      </c>
      <c r="K30" s="56"/>
      <c r="L30" s="93" t="s">
        <v>2660</v>
      </c>
      <c r="M30" s="127" t="str">
        <f>IF(OR(L30="",L30="空"),"",IFERROR(VLOOKUP(L30,$AA$2:$AD$400,2,FALSE),""))</f>
        <v/>
      </c>
      <c r="N30" s="127"/>
      <c r="O30" s="127"/>
      <c r="P30" s="127"/>
      <c r="Q30" s="127"/>
      <c r="R30" s="127"/>
      <c r="S30" s="127"/>
      <c r="T30" s="134" t="str">
        <f>IF(OR(L30="",L30="空"),"",IFERROR(VLOOKUP(L30,$AA$2:$AD$400,3,FALSE),""))</f>
        <v/>
      </c>
      <c r="U30" s="134" t="str">
        <f>IF(OR(L30="",L30="空"),"",IFERROR(VLOOKUP(L30,$AA$2:$AD$400,4,FALSE),""))</f>
        <v/>
      </c>
      <c r="W30" s="39" t="s">
        <v>745</v>
      </c>
      <c r="X30" s="39" t="s">
        <v>746</v>
      </c>
      <c r="Y30" s="39" t="s">
        <v>447</v>
      </c>
      <c r="Z30" s="39" t="s">
        <v>742</v>
      </c>
      <c r="AA30" s="39" t="s">
        <v>1356</v>
      </c>
      <c r="AB30" s="39" t="s">
        <v>1357</v>
      </c>
      <c r="AC30" s="39" t="s">
        <v>799</v>
      </c>
      <c r="AD30" s="39" t="s">
        <v>1326</v>
      </c>
    </row>
    <row r="31" spans="1:30" ht="25.05" customHeight="1">
      <c r="A31" s="93" t="s">
        <v>2660</v>
      </c>
      <c r="B31" s="122" t="str">
        <f>IF(OR(A31="",A31="空"),"",IFERROR(VLOOKUP(A31,$AA$2:$AD$400,2,FALSE),""))</f>
        <v/>
      </c>
      <c r="C31" s="122"/>
      <c r="D31" s="122"/>
      <c r="E31" s="122"/>
      <c r="F31" s="122"/>
      <c r="G31" s="122"/>
      <c r="H31" s="122"/>
      <c r="I31" s="125" t="str">
        <f>IF(OR(A31="",A31="空"),"",IFERROR(VLOOKUP(A31,$AA$2:$AD$400,3,FALSE),""))</f>
        <v/>
      </c>
      <c r="J31" s="125" t="str">
        <f>IF(OR(A31="",A31="空"),"",IFERROR(VLOOKUP(A31,$AA$2:$AD$400,4,FALSE),""))</f>
        <v/>
      </c>
      <c r="K31" s="56"/>
      <c r="L31" s="93" t="s">
        <v>2660</v>
      </c>
      <c r="M31" s="122" t="str">
        <f>IF(OR(L31="",L31="空"),"",IFERROR(VLOOKUP(L31,$AA$2:$AD$400,2,FALSE),""))</f>
        <v/>
      </c>
      <c r="N31" s="122"/>
      <c r="O31" s="122"/>
      <c r="P31" s="122"/>
      <c r="Q31" s="122"/>
      <c r="R31" s="122"/>
      <c r="S31" s="122"/>
      <c r="T31" s="125" t="str">
        <f>IF(OR(L31="",L31="空"),"",IFERROR(VLOOKUP(L31,$AA$2:$AD$400,3,FALSE),""))</f>
        <v/>
      </c>
      <c r="U31" s="125" t="str">
        <f>IF(OR(L31="",L31="空"),"",IFERROR(VLOOKUP(L31,$AA$2:$AD$400,4,FALSE),""))</f>
        <v/>
      </c>
      <c r="W31" s="39" t="s">
        <v>747</v>
      </c>
      <c r="X31" s="39" t="s">
        <v>748</v>
      </c>
      <c r="Y31" s="39" t="s">
        <v>447</v>
      </c>
      <c r="Z31" s="39" t="s">
        <v>742</v>
      </c>
      <c r="AA31" s="39" t="s">
        <v>1358</v>
      </c>
      <c r="AB31" s="39" t="s">
        <v>1359</v>
      </c>
      <c r="AC31" s="39" t="s">
        <v>799</v>
      </c>
      <c r="AD31" s="39" t="s">
        <v>1326</v>
      </c>
    </row>
    <row r="32" spans="1:30" ht="25.05" customHeight="1">
      <c r="A32" s="93" t="s">
        <v>2660</v>
      </c>
      <c r="B32" s="127" t="str">
        <f>IF(OR(A32="",A32="空"),"",IFERROR(VLOOKUP(A32,$AA$2:$AD$400,2,FALSE),""))</f>
        <v/>
      </c>
      <c r="C32" s="127"/>
      <c r="D32" s="127"/>
      <c r="E32" s="127"/>
      <c r="F32" s="127"/>
      <c r="G32" s="127"/>
      <c r="H32" s="127"/>
      <c r="I32" s="134" t="str">
        <f>IF(OR(A32="",A32="空"),"",IFERROR(VLOOKUP(A32,$AA$2:$AD$400,3,FALSE),""))</f>
        <v/>
      </c>
      <c r="J32" s="134" t="str">
        <f>IF(OR(A32="",A32="空"),"",IFERROR(VLOOKUP(A32,$AA$2:$AD$400,4,FALSE),""))</f>
        <v/>
      </c>
      <c r="K32" s="56"/>
      <c r="L32" s="93" t="s">
        <v>2660</v>
      </c>
      <c r="M32" s="127" t="str">
        <f>IF(OR(L32="",L32="空"),"",IFERROR(VLOOKUP(L32,$AA$2:$AD$400,2,FALSE),""))</f>
        <v/>
      </c>
      <c r="N32" s="127"/>
      <c r="O32" s="127"/>
      <c r="P32" s="127"/>
      <c r="Q32" s="127"/>
      <c r="R32" s="127"/>
      <c r="S32" s="127"/>
      <c r="T32" s="134" t="str">
        <f>IF(OR(L32="",L32="空"),"",IFERROR(VLOOKUP(L32,$AA$2:$AD$400,3,FALSE),""))</f>
        <v/>
      </c>
      <c r="U32" s="134" t="str">
        <f>IF(OR(L32="",L32="空"),"",IFERROR(VLOOKUP(L32,$AA$2:$AD$400,4,FALSE),""))</f>
        <v/>
      </c>
      <c r="W32" s="39" t="s">
        <v>749</v>
      </c>
      <c r="X32" s="39" t="s">
        <v>750</v>
      </c>
      <c r="Y32" s="39" t="s">
        <v>447</v>
      </c>
      <c r="Z32" s="39" t="s">
        <v>742</v>
      </c>
      <c r="AA32" s="39" t="s">
        <v>1360</v>
      </c>
      <c r="AB32" s="39" t="s">
        <v>1352</v>
      </c>
      <c r="AC32" s="39" t="s">
        <v>836</v>
      </c>
      <c r="AD32" s="39" t="s">
        <v>1343</v>
      </c>
    </row>
    <row r="33" spans="1:30" ht="25.05" customHeight="1">
      <c r="A33" s="93" t="s">
        <v>2660</v>
      </c>
      <c r="B33" s="122" t="str">
        <f>IF(OR(A33="",A33="空"),"",IFERROR(VLOOKUP(A33,$AA$2:$AD$400,2,FALSE),""))</f>
        <v/>
      </c>
      <c r="C33" s="122"/>
      <c r="D33" s="122"/>
      <c r="E33" s="122"/>
      <c r="F33" s="122"/>
      <c r="G33" s="122"/>
      <c r="H33" s="122"/>
      <c r="I33" s="125" t="str">
        <f>IF(OR(A33="",A33="空"),"",IFERROR(VLOOKUP(A33,$AA$2:$AD$400,3,FALSE),""))</f>
        <v/>
      </c>
      <c r="J33" s="125" t="str">
        <f>IF(OR(A33="",A33="空"),"",IFERROR(VLOOKUP(A33,$AA$2:$AD$400,4,FALSE),""))</f>
        <v/>
      </c>
      <c r="K33" s="56"/>
      <c r="L33" s="93" t="s">
        <v>2660</v>
      </c>
      <c r="M33" s="122" t="str">
        <f>IF(OR(L33="",L33="空"),"",IFERROR(VLOOKUP(L33,$AA$2:$AD$400,2,FALSE),""))</f>
        <v/>
      </c>
      <c r="N33" s="122"/>
      <c r="O33" s="122"/>
      <c r="P33" s="122"/>
      <c r="Q33" s="122"/>
      <c r="R33" s="122"/>
      <c r="S33" s="122"/>
      <c r="T33" s="125" t="str">
        <f>IF(OR(L33="",L33="空"),"",IFERROR(VLOOKUP(L33,$AA$2:$AD$400,3,FALSE),""))</f>
        <v/>
      </c>
      <c r="U33" s="125" t="str">
        <f>IF(OR(L33="",L33="空"),"",IFERROR(VLOOKUP(L33,$AA$2:$AD$400,4,FALSE),""))</f>
        <v/>
      </c>
      <c r="W33" s="39" t="s">
        <v>751</v>
      </c>
      <c r="X33" s="39" t="s">
        <v>752</v>
      </c>
      <c r="Y33" s="39" t="s">
        <v>447</v>
      </c>
      <c r="Z33" s="39" t="s">
        <v>742</v>
      </c>
      <c r="AA33" s="39" t="s">
        <v>1362</v>
      </c>
      <c r="AB33" s="39" t="s">
        <v>1363</v>
      </c>
      <c r="AC33" s="39" t="s">
        <v>875</v>
      </c>
      <c r="AD33" s="39" t="s">
        <v>1364</v>
      </c>
    </row>
    <row r="34" spans="1:30" ht="25.05" customHeight="1">
      <c r="A34" s="93" t="s">
        <v>2660</v>
      </c>
      <c r="B34" s="127" t="str">
        <f>IF(OR(A34="",A34="空"),"",IFERROR(VLOOKUP(A34,$AA$2:$AD$400,2,FALSE),""))</f>
        <v/>
      </c>
      <c r="C34" s="127"/>
      <c r="D34" s="127"/>
      <c r="E34" s="127"/>
      <c r="F34" s="127"/>
      <c r="G34" s="127"/>
      <c r="H34" s="127"/>
      <c r="I34" s="134" t="str">
        <f>IF(OR(A34="",A34="空"),"",IFERROR(VLOOKUP(A34,$AA$2:$AD$400,3,FALSE),""))</f>
        <v/>
      </c>
      <c r="J34" s="134" t="str">
        <f>IF(OR(A34="",A34="空"),"",IFERROR(VLOOKUP(A34,$AA$2:$AD$400,4,FALSE),""))</f>
        <v/>
      </c>
      <c r="K34" s="56"/>
      <c r="L34" s="93" t="s">
        <v>2660</v>
      </c>
      <c r="M34" s="127" t="str">
        <f>IF(OR(L34="",L34="空"),"",IFERROR(VLOOKUP(L34,$AA$2:$AD$400,2,FALSE),""))</f>
        <v/>
      </c>
      <c r="N34" s="127"/>
      <c r="O34" s="127"/>
      <c r="P34" s="127"/>
      <c r="Q34" s="127"/>
      <c r="R34" s="127"/>
      <c r="S34" s="127"/>
      <c r="T34" s="134" t="str">
        <f>IF(OR(L34="",L34="空"),"",IFERROR(VLOOKUP(L34,$AA$2:$AD$400,3,FALSE),""))</f>
        <v/>
      </c>
      <c r="U34" s="134" t="str">
        <f>IF(OR(L34="",L34="空"),"",IFERROR(VLOOKUP(L34,$AA$2:$AD$400,4,FALSE),""))</f>
        <v/>
      </c>
      <c r="W34" s="39" t="s">
        <v>754</v>
      </c>
      <c r="X34" s="39" t="s">
        <v>755</v>
      </c>
      <c r="Y34" s="39" t="s">
        <v>447</v>
      </c>
      <c r="Z34" s="39" t="s">
        <v>753</v>
      </c>
      <c r="AA34" s="39" t="s">
        <v>1365</v>
      </c>
      <c r="AB34" s="39" t="s">
        <v>1366</v>
      </c>
      <c r="AC34" s="39" t="s">
        <v>868</v>
      </c>
      <c r="AD34" s="39" t="s">
        <v>1326</v>
      </c>
    </row>
    <row r="35" spans="1:30" ht="25.05" customHeight="1">
      <c r="A35" s="93" t="s">
        <v>2660</v>
      </c>
      <c r="B35" s="122" t="str">
        <f>IF(OR(A35="",A35="空"),"",IFERROR(VLOOKUP(A35,$AA$2:$AD$400,2,FALSE),""))</f>
        <v/>
      </c>
      <c r="C35" s="122"/>
      <c r="D35" s="122"/>
      <c r="E35" s="122"/>
      <c r="F35" s="122"/>
      <c r="G35" s="122"/>
      <c r="H35" s="122"/>
      <c r="I35" s="125" t="str">
        <f>IF(OR(A35="",A35="空"),"",IFERROR(VLOOKUP(A35,$AA$2:$AD$400,3,FALSE),""))</f>
        <v/>
      </c>
      <c r="J35" s="125" t="str">
        <f>IF(OR(A35="",A35="空"),"",IFERROR(VLOOKUP(A35,$AA$2:$AD$400,4,FALSE),""))</f>
        <v/>
      </c>
      <c r="K35" s="56"/>
      <c r="L35" s="93" t="s">
        <v>2660</v>
      </c>
      <c r="M35" s="122" t="str">
        <f>IF(OR(L35="",L35="空"),"",IFERROR(VLOOKUP(L35,$AA$2:$AD$400,2,FALSE),""))</f>
        <v/>
      </c>
      <c r="N35" s="122"/>
      <c r="O35" s="122"/>
      <c r="P35" s="122"/>
      <c r="Q35" s="122"/>
      <c r="R35" s="122"/>
      <c r="S35" s="122"/>
      <c r="T35" s="125" t="str">
        <f>IF(OR(L35="",L35="空"),"",IFERROR(VLOOKUP(L35,$AA$2:$AD$400,3,FALSE),""))</f>
        <v/>
      </c>
      <c r="U35" s="125" t="str">
        <f>IF(OR(L35="",L35="空"),"",IFERROR(VLOOKUP(L35,$AA$2:$AD$400,4,FALSE),""))</f>
        <v/>
      </c>
      <c r="W35" s="39" t="s">
        <v>756</v>
      </c>
      <c r="X35" s="39" t="s">
        <v>757</v>
      </c>
      <c r="Y35" s="39" t="s">
        <v>447</v>
      </c>
      <c r="Z35" s="39" t="s">
        <v>753</v>
      </c>
      <c r="AA35" s="39" t="s">
        <v>1367</v>
      </c>
      <c r="AB35" s="39" t="s">
        <v>1368</v>
      </c>
      <c r="AC35" s="39" t="s">
        <v>799</v>
      </c>
      <c r="AD35" s="39" t="s">
        <v>1326</v>
      </c>
    </row>
    <row r="36" spans="1:30" ht="60">
      <c r="W36" s="39" t="s">
        <v>758</v>
      </c>
      <c r="X36" s="39" t="s">
        <v>759</v>
      </c>
      <c r="Y36" s="39" t="s">
        <v>447</v>
      </c>
      <c r="Z36" s="39" t="s">
        <v>753</v>
      </c>
      <c r="AA36" s="39" t="s">
        <v>1369</v>
      </c>
      <c r="AB36" s="39" t="s">
        <v>1370</v>
      </c>
      <c r="AC36" s="39" t="s">
        <v>1371</v>
      </c>
      <c r="AD36" s="39"/>
    </row>
    <row r="37" spans="1:30" ht="144">
      <c r="W37" s="39" t="s">
        <v>760</v>
      </c>
      <c r="X37" s="39" t="s">
        <v>761</v>
      </c>
      <c r="Y37" s="39" t="s">
        <v>447</v>
      </c>
      <c r="Z37" s="39" t="s">
        <v>753</v>
      </c>
      <c r="AA37" s="39" t="s">
        <v>1372</v>
      </c>
      <c r="AB37" s="39" t="s">
        <v>1373</v>
      </c>
      <c r="AC37" s="39" t="s">
        <v>799</v>
      </c>
      <c r="AD37" s="39" t="s">
        <v>1326</v>
      </c>
    </row>
    <row r="38" spans="1:30" ht="108">
      <c r="W38" s="39" t="s">
        <v>762</v>
      </c>
      <c r="X38" s="39" t="s">
        <v>763</v>
      </c>
      <c r="Y38" s="39" t="s">
        <v>447</v>
      </c>
      <c r="Z38" s="39" t="s">
        <v>753</v>
      </c>
      <c r="AA38" s="39" t="s">
        <v>1374</v>
      </c>
      <c r="AB38" s="39" t="s">
        <v>1375</v>
      </c>
      <c r="AC38" s="39"/>
      <c r="AD38" s="39" t="s">
        <v>1376</v>
      </c>
    </row>
    <row r="39" spans="1:30" ht="120">
      <c r="W39" s="39" t="s">
        <v>765</v>
      </c>
      <c r="X39" s="39" t="s">
        <v>766</v>
      </c>
      <c r="Y39" s="39" t="s">
        <v>447</v>
      </c>
      <c r="Z39" s="39" t="s">
        <v>764</v>
      </c>
      <c r="AA39" s="39" t="s">
        <v>1378</v>
      </c>
      <c r="AB39" s="39" t="s">
        <v>1379</v>
      </c>
      <c r="AC39" s="39" t="s">
        <v>799</v>
      </c>
      <c r="AD39" s="39" t="s">
        <v>1326</v>
      </c>
    </row>
    <row r="40" spans="1:30" ht="96">
      <c r="W40" s="39" t="s">
        <v>767</v>
      </c>
      <c r="X40" s="39" t="s">
        <v>768</v>
      </c>
      <c r="Y40" s="39" t="s">
        <v>447</v>
      </c>
      <c r="Z40" s="39" t="s">
        <v>764</v>
      </c>
      <c r="AA40" s="39" t="s">
        <v>1380</v>
      </c>
      <c r="AB40" s="39" t="s">
        <v>1381</v>
      </c>
      <c r="AC40" s="39" t="s">
        <v>799</v>
      </c>
      <c r="AD40" s="39" t="s">
        <v>1326</v>
      </c>
    </row>
    <row r="41" spans="1:30" ht="132">
      <c r="W41" s="39" t="s">
        <v>769</v>
      </c>
      <c r="X41" s="39" t="s">
        <v>770</v>
      </c>
      <c r="Y41" s="39" t="s">
        <v>447</v>
      </c>
      <c r="Z41" s="39" t="s">
        <v>764</v>
      </c>
      <c r="AA41" s="39" t="s">
        <v>1382</v>
      </c>
      <c r="AB41" s="39" t="s">
        <v>1383</v>
      </c>
      <c r="AC41" s="39" t="s">
        <v>799</v>
      </c>
      <c r="AD41" s="39" t="s">
        <v>1326</v>
      </c>
    </row>
    <row r="42" spans="1:30" ht="132">
      <c r="W42" s="39" t="s">
        <v>771</v>
      </c>
      <c r="X42" s="39" t="s">
        <v>772</v>
      </c>
      <c r="Y42" s="39" t="s">
        <v>447</v>
      </c>
      <c r="Z42" s="39" t="s">
        <v>764</v>
      </c>
      <c r="AA42" s="39" t="s">
        <v>1384</v>
      </c>
      <c r="AB42" s="39" t="s">
        <v>1385</v>
      </c>
      <c r="AC42" s="39" t="s">
        <v>799</v>
      </c>
      <c r="AD42" s="39" t="s">
        <v>1364</v>
      </c>
    </row>
    <row r="43" spans="1:30" ht="144">
      <c r="W43" s="39" t="s">
        <v>773</v>
      </c>
      <c r="X43" s="39" t="s">
        <v>774</v>
      </c>
      <c r="Y43" s="39" t="s">
        <v>447</v>
      </c>
      <c r="Z43" s="39" t="s">
        <v>764</v>
      </c>
      <c r="AA43" s="39" t="s">
        <v>1386</v>
      </c>
      <c r="AB43" s="39" t="s">
        <v>1387</v>
      </c>
      <c r="AC43" s="39"/>
      <c r="AD43" s="39" t="s">
        <v>1364</v>
      </c>
    </row>
    <row r="44" spans="1:30" ht="144">
      <c r="W44" s="39" t="s">
        <v>775</v>
      </c>
      <c r="X44" s="39" t="s">
        <v>776</v>
      </c>
      <c r="Y44" s="39" t="s">
        <v>447</v>
      </c>
      <c r="Z44" s="39" t="s">
        <v>764</v>
      </c>
      <c r="AA44" s="39" t="s">
        <v>1388</v>
      </c>
      <c r="AB44" s="39" t="s">
        <v>1389</v>
      </c>
      <c r="AC44" s="39"/>
      <c r="AD44" s="39" t="s">
        <v>1364</v>
      </c>
    </row>
    <row r="45" spans="1:30" ht="36">
      <c r="W45" s="39" t="s">
        <v>777</v>
      </c>
      <c r="X45" s="39" t="s">
        <v>778</v>
      </c>
      <c r="Y45" s="39" t="s">
        <v>447</v>
      </c>
      <c r="Z45" s="39" t="s">
        <v>764</v>
      </c>
      <c r="AA45" s="39"/>
      <c r="AB45" s="39"/>
      <c r="AC45" s="39"/>
      <c r="AD45" s="39"/>
    </row>
    <row r="46" spans="1:30" ht="60">
      <c r="W46" s="39" t="s">
        <v>779</v>
      </c>
      <c r="X46" s="39" t="s">
        <v>780</v>
      </c>
      <c r="Y46" s="39" t="s">
        <v>447</v>
      </c>
      <c r="Z46" s="39" t="s">
        <v>764</v>
      </c>
      <c r="AA46" s="39"/>
      <c r="AB46" s="39"/>
      <c r="AC46" s="39"/>
      <c r="AD46" s="39"/>
    </row>
    <row r="47" spans="1:30" ht="72">
      <c r="W47" s="39" t="s">
        <v>782</v>
      </c>
      <c r="X47" s="39" t="s">
        <v>783</v>
      </c>
      <c r="Y47" s="39" t="s">
        <v>447</v>
      </c>
      <c r="Z47" s="39" t="s">
        <v>781</v>
      </c>
      <c r="AA47" s="39"/>
      <c r="AB47" s="39"/>
      <c r="AC47" s="39"/>
      <c r="AD47" s="39"/>
    </row>
    <row r="48" spans="1:30" ht="72">
      <c r="W48" s="39" t="s">
        <v>784</v>
      </c>
      <c r="X48" s="39" t="s">
        <v>785</v>
      </c>
      <c r="Y48" s="39" t="s">
        <v>447</v>
      </c>
      <c r="Z48" s="39" t="s">
        <v>781</v>
      </c>
      <c r="AA48" s="39"/>
      <c r="AB48" s="39"/>
      <c r="AC48" s="39"/>
      <c r="AD48" s="39"/>
    </row>
    <row r="49" spans="23:30" ht="36">
      <c r="W49" s="39" t="s">
        <v>786</v>
      </c>
      <c r="X49" s="39" t="s">
        <v>787</v>
      </c>
      <c r="Y49" s="39" t="s">
        <v>447</v>
      </c>
      <c r="Z49" s="39" t="s">
        <v>781</v>
      </c>
      <c r="AA49" s="39"/>
      <c r="AB49" s="39"/>
      <c r="AC49" s="39"/>
      <c r="AD49" s="39"/>
    </row>
    <row r="50" spans="23:30" ht="72">
      <c r="W50" s="39" t="s">
        <v>788</v>
      </c>
      <c r="X50" s="39" t="s">
        <v>789</v>
      </c>
      <c r="Y50" s="39" t="s">
        <v>447</v>
      </c>
      <c r="Z50" s="39" t="s">
        <v>781</v>
      </c>
      <c r="AA50" s="39"/>
      <c r="AB50" s="39"/>
      <c r="AC50" s="39"/>
      <c r="AD50" s="39"/>
    </row>
    <row r="51" spans="23:30" ht="144">
      <c r="W51" s="39" t="s">
        <v>791</v>
      </c>
      <c r="X51" s="39" t="s">
        <v>792</v>
      </c>
      <c r="Y51" s="39" t="s">
        <v>447</v>
      </c>
      <c r="Z51" s="39" t="s">
        <v>790</v>
      </c>
      <c r="AA51" s="39"/>
      <c r="AB51" s="39"/>
      <c r="AC51" s="39"/>
      <c r="AD51" s="39"/>
    </row>
    <row r="52" spans="23:30" ht="144">
      <c r="W52" s="39" t="s">
        <v>793</v>
      </c>
      <c r="X52" s="39" t="s">
        <v>794</v>
      </c>
      <c r="Y52" s="39" t="s">
        <v>447</v>
      </c>
      <c r="Z52" s="39" t="s">
        <v>790</v>
      </c>
      <c r="AA52" s="39"/>
      <c r="AB52" s="39"/>
      <c r="AC52" s="39"/>
      <c r="AD52" s="39"/>
    </row>
    <row r="53" spans="23:30">
      <c r="W53" s="39"/>
      <c r="X53" s="39"/>
      <c r="Y53" s="39"/>
      <c r="Z53" s="39"/>
      <c r="AA53" s="39"/>
      <c r="AB53" s="39"/>
      <c r="AC53" s="39"/>
      <c r="AD53" s="39"/>
    </row>
    <row r="54" spans="23:30">
      <c r="W54" s="39"/>
      <c r="X54" s="39"/>
      <c r="Y54" s="39"/>
      <c r="Z54" s="39"/>
      <c r="AA54" s="39"/>
      <c r="AB54" s="39"/>
      <c r="AC54" s="39"/>
      <c r="AD54" s="39"/>
    </row>
    <row r="55" spans="23:30">
      <c r="W55" s="39"/>
      <c r="X55" s="39"/>
      <c r="Y55" s="39"/>
      <c r="Z55" s="39"/>
      <c r="AA55" s="39"/>
      <c r="AB55" s="39"/>
      <c r="AC55" s="39"/>
      <c r="AD55" s="39"/>
    </row>
    <row r="56" spans="23:30">
      <c r="W56" s="39"/>
      <c r="X56" s="39"/>
      <c r="Y56" s="39"/>
      <c r="Z56" s="39"/>
      <c r="AA56" s="39"/>
      <c r="AB56" s="39"/>
      <c r="AC56" s="39"/>
      <c r="AD56" s="39"/>
    </row>
    <row r="57" spans="23:30">
      <c r="W57" s="39"/>
      <c r="X57" s="39"/>
      <c r="Y57" s="39"/>
      <c r="Z57" s="39"/>
      <c r="AA57" s="39"/>
      <c r="AB57" s="39"/>
      <c r="AC57" s="39"/>
      <c r="AD57" s="39"/>
    </row>
    <row r="58" spans="23:30">
      <c r="W58" s="39"/>
      <c r="X58" s="39"/>
      <c r="Y58" s="39"/>
      <c r="Z58" s="39"/>
      <c r="AA58" s="39"/>
      <c r="AB58" s="39"/>
      <c r="AC58" s="39"/>
      <c r="AD58" s="39"/>
    </row>
    <row r="59" spans="23:30">
      <c r="W59" s="39"/>
      <c r="X59" s="39"/>
      <c r="Y59" s="39"/>
      <c r="Z59" s="39"/>
      <c r="AA59" s="39"/>
      <c r="AB59" s="39"/>
      <c r="AC59" s="39"/>
      <c r="AD59" s="39"/>
    </row>
    <row r="60" spans="23:30">
      <c r="W60" s="39"/>
      <c r="X60" s="39"/>
      <c r="Y60" s="39"/>
      <c r="Z60" s="39"/>
      <c r="AA60" s="39"/>
      <c r="AB60" s="39"/>
      <c r="AC60" s="39"/>
      <c r="AD60" s="39"/>
    </row>
    <row r="61" spans="23:30">
      <c r="W61" s="39"/>
      <c r="X61" s="39"/>
      <c r="Y61" s="39"/>
      <c r="Z61" s="39"/>
      <c r="AA61" s="39"/>
      <c r="AB61" s="39"/>
      <c r="AC61" s="39"/>
      <c r="AD61" s="39"/>
    </row>
    <row r="62" spans="23:30">
      <c r="W62" s="39"/>
      <c r="X62" s="39"/>
      <c r="Y62" s="39"/>
      <c r="Z62" s="39"/>
      <c r="AA62" s="39"/>
      <c r="AB62" s="39"/>
      <c r="AC62" s="39"/>
      <c r="AD62" s="39"/>
    </row>
    <row r="63" spans="23:30">
      <c r="W63" s="39"/>
      <c r="X63" s="39"/>
      <c r="Y63" s="39"/>
      <c r="Z63" s="39"/>
      <c r="AA63" s="39"/>
      <c r="AB63" s="39"/>
      <c r="AC63" s="39"/>
      <c r="AD63" s="39"/>
    </row>
    <row r="64" spans="23:30">
      <c r="W64" s="39"/>
      <c r="X64" s="39"/>
      <c r="Y64" s="39"/>
      <c r="Z64" s="39"/>
      <c r="AA64" s="39"/>
      <c r="AB64" s="39"/>
      <c r="AC64" s="39"/>
      <c r="AD64" s="39"/>
    </row>
    <row r="65" spans="23:30">
      <c r="W65" s="39"/>
      <c r="X65" s="39"/>
      <c r="Y65" s="39"/>
      <c r="Z65" s="39"/>
      <c r="AA65" s="39"/>
      <c r="AB65" s="39"/>
      <c r="AC65" s="39"/>
      <c r="AD65" s="39"/>
    </row>
    <row r="66" spans="23:30">
      <c r="W66" s="39"/>
      <c r="X66" s="39"/>
      <c r="Y66" s="39"/>
      <c r="Z66" s="39"/>
      <c r="AA66" s="39"/>
      <c r="AB66" s="39"/>
      <c r="AC66" s="39"/>
      <c r="AD66" s="39"/>
    </row>
    <row r="67" spans="23:30">
      <c r="W67" s="39"/>
      <c r="X67" s="39"/>
      <c r="Y67" s="39"/>
      <c r="Z67" s="39"/>
      <c r="AA67" s="39"/>
      <c r="AB67" s="39"/>
      <c r="AC67" s="39"/>
      <c r="AD67" s="39"/>
    </row>
    <row r="68" spans="23:30">
      <c r="W68" s="39"/>
      <c r="X68" s="39"/>
      <c r="Y68" s="39"/>
      <c r="Z68" s="39"/>
      <c r="AA68" s="39"/>
      <c r="AB68" s="39"/>
      <c r="AC68" s="39"/>
      <c r="AD68" s="39"/>
    </row>
    <row r="69" spans="23:30">
      <c r="W69" s="39"/>
      <c r="X69" s="39"/>
      <c r="Y69" s="39"/>
      <c r="Z69" s="39"/>
      <c r="AA69" s="39"/>
      <c r="AB69" s="39"/>
      <c r="AC69" s="39"/>
      <c r="AD69" s="39"/>
    </row>
    <row r="70" spans="23:30">
      <c r="W70" s="39"/>
      <c r="X70" s="39"/>
      <c r="Y70" s="39"/>
      <c r="Z70" s="39"/>
      <c r="AA70" s="39"/>
      <c r="AB70" s="39"/>
      <c r="AC70" s="39"/>
      <c r="AD70" s="39"/>
    </row>
    <row r="71" spans="23:30">
      <c r="W71" s="39"/>
      <c r="X71" s="39"/>
      <c r="Y71" s="39"/>
      <c r="Z71" s="39"/>
      <c r="AA71" s="39"/>
      <c r="AB71" s="39"/>
      <c r="AC71" s="39"/>
      <c r="AD71" s="39"/>
    </row>
    <row r="72" spans="23:30">
      <c r="W72" s="39"/>
      <c r="X72" s="39"/>
      <c r="Y72" s="39"/>
      <c r="Z72" s="39"/>
      <c r="AA72" s="39"/>
      <c r="AB72" s="39"/>
      <c r="AC72" s="39"/>
      <c r="AD72" s="39"/>
    </row>
    <row r="73" spans="23:30">
      <c r="W73" s="39"/>
      <c r="X73" s="39"/>
      <c r="Y73" s="39"/>
      <c r="Z73" s="39"/>
      <c r="AA73" s="39"/>
      <c r="AB73" s="39"/>
      <c r="AC73" s="39"/>
      <c r="AD73" s="39"/>
    </row>
    <row r="74" spans="23:30">
      <c r="W74" s="39"/>
      <c r="X74" s="39"/>
      <c r="Y74" s="39"/>
      <c r="Z74" s="39"/>
      <c r="AA74" s="39"/>
      <c r="AB74" s="39"/>
      <c r="AC74" s="39"/>
      <c r="AD74" s="39"/>
    </row>
    <row r="75" spans="23:30">
      <c r="W75" s="39"/>
      <c r="X75" s="39"/>
      <c r="Y75" s="39"/>
      <c r="Z75" s="39"/>
      <c r="AA75" s="39"/>
      <c r="AB75" s="39"/>
      <c r="AC75" s="39"/>
      <c r="AD75" s="39"/>
    </row>
    <row r="76" spans="23:30">
      <c r="W76" s="39"/>
      <c r="X76" s="39"/>
      <c r="Y76" s="39"/>
      <c r="Z76" s="39"/>
      <c r="AA76" s="39"/>
      <c r="AB76" s="39"/>
      <c r="AC76" s="39"/>
      <c r="AD76" s="39"/>
    </row>
    <row r="77" spans="23:30">
      <c r="W77" s="39"/>
      <c r="X77" s="39"/>
      <c r="Y77" s="39"/>
      <c r="Z77" s="39"/>
      <c r="AA77" s="39"/>
      <c r="AB77" s="39"/>
      <c r="AC77" s="39"/>
      <c r="AD77" s="39"/>
    </row>
    <row r="78" spans="23:30">
      <c r="W78" s="39"/>
      <c r="X78" s="39"/>
      <c r="Y78" s="39"/>
      <c r="Z78" s="39"/>
      <c r="AA78" s="39"/>
      <c r="AB78" s="39"/>
      <c r="AC78" s="39"/>
      <c r="AD78" s="39"/>
    </row>
    <row r="79" spans="23:30">
      <c r="W79" s="39"/>
      <c r="X79" s="39"/>
      <c r="Y79" s="39"/>
      <c r="Z79" s="39"/>
      <c r="AA79" s="39"/>
      <c r="AB79" s="39"/>
      <c r="AC79" s="39"/>
      <c r="AD79" s="39"/>
    </row>
    <row r="80" spans="23:30">
      <c r="W80" s="39"/>
      <c r="X80" s="39"/>
      <c r="Y80" s="39"/>
      <c r="Z80" s="39"/>
      <c r="AA80" s="39"/>
      <c r="AB80" s="39"/>
      <c r="AC80" s="39"/>
      <c r="AD80" s="39"/>
    </row>
    <row r="81" spans="23:30">
      <c r="W81" s="39"/>
      <c r="X81" s="39"/>
      <c r="Y81" s="39"/>
      <c r="Z81" s="39"/>
      <c r="AA81" s="39"/>
      <c r="AB81" s="39"/>
      <c r="AC81" s="39"/>
      <c r="AD81" s="39"/>
    </row>
    <row r="82" spans="23:30">
      <c r="W82" s="39"/>
      <c r="X82" s="39"/>
      <c r="Y82" s="39"/>
      <c r="Z82" s="39"/>
      <c r="AA82" s="39"/>
      <c r="AB82" s="39"/>
      <c r="AC82" s="39"/>
      <c r="AD82" s="39"/>
    </row>
    <row r="83" spans="23:30">
      <c r="W83" s="39"/>
      <c r="X83" s="39"/>
      <c r="Y83" s="39"/>
      <c r="Z83" s="39"/>
      <c r="AA83" s="39"/>
      <c r="AB83" s="39"/>
      <c r="AC83" s="39"/>
      <c r="AD83" s="39"/>
    </row>
    <row r="84" spans="23:30">
      <c r="W84" s="39"/>
      <c r="X84" s="39"/>
      <c r="Y84" s="39"/>
      <c r="Z84" s="39"/>
      <c r="AA84" s="39"/>
      <c r="AB84" s="39"/>
      <c r="AC84" s="39"/>
      <c r="AD84" s="39"/>
    </row>
    <row r="85" spans="23:30">
      <c r="W85" s="39"/>
      <c r="X85" s="39"/>
      <c r="Y85" s="39"/>
      <c r="Z85" s="39"/>
      <c r="AA85" s="39"/>
      <c r="AB85" s="39"/>
      <c r="AC85" s="39"/>
      <c r="AD85" s="39"/>
    </row>
    <row r="86" spans="23:30">
      <c r="W86" s="39"/>
      <c r="X86" s="39"/>
      <c r="Y86" s="39"/>
      <c r="Z86" s="39"/>
      <c r="AA86" s="39"/>
      <c r="AB86" s="39"/>
      <c r="AC86" s="39"/>
      <c r="AD86" s="39"/>
    </row>
    <row r="87" spans="23:30">
      <c r="W87" s="39"/>
      <c r="X87" s="39"/>
      <c r="Y87" s="39"/>
      <c r="Z87" s="39"/>
      <c r="AA87" s="39"/>
      <c r="AB87" s="39"/>
      <c r="AC87" s="39"/>
      <c r="AD87" s="39"/>
    </row>
    <row r="88" spans="23:30">
      <c r="W88" s="39"/>
      <c r="X88" s="39"/>
      <c r="Y88" s="39"/>
      <c r="Z88" s="39"/>
      <c r="AA88" s="39"/>
      <c r="AB88" s="39"/>
      <c r="AC88" s="39"/>
      <c r="AD88" s="39"/>
    </row>
    <row r="89" spans="23:30">
      <c r="W89" s="39"/>
      <c r="X89" s="39"/>
      <c r="Y89" s="39"/>
      <c r="Z89" s="39"/>
      <c r="AA89" s="39"/>
      <c r="AB89" s="39"/>
      <c r="AC89" s="39"/>
      <c r="AD89" s="39"/>
    </row>
    <row r="90" spans="23:30">
      <c r="W90" s="39"/>
      <c r="X90" s="39"/>
      <c r="Y90" s="39"/>
      <c r="Z90" s="39"/>
      <c r="AA90" s="39"/>
      <c r="AB90" s="39"/>
      <c r="AC90" s="39"/>
      <c r="AD90" s="39"/>
    </row>
    <row r="91" spans="23:30">
      <c r="W91" s="39"/>
      <c r="X91" s="39"/>
      <c r="Y91" s="39"/>
      <c r="Z91" s="39"/>
      <c r="AA91" s="39"/>
      <c r="AB91" s="39"/>
      <c r="AC91" s="39"/>
      <c r="AD91" s="39"/>
    </row>
    <row r="92" spans="23:30">
      <c r="W92" s="39"/>
      <c r="X92" s="39"/>
      <c r="Y92" s="39"/>
      <c r="Z92" s="39"/>
      <c r="AA92" s="39"/>
      <c r="AB92" s="39"/>
      <c r="AC92" s="39"/>
      <c r="AD92" s="39"/>
    </row>
    <row r="93" spans="23:30">
      <c r="W93" s="39"/>
      <c r="X93" s="39"/>
      <c r="Y93" s="39"/>
      <c r="Z93" s="39"/>
      <c r="AA93" s="39"/>
      <c r="AB93" s="39"/>
      <c r="AC93" s="39"/>
      <c r="AD93" s="39"/>
    </row>
    <row r="94" spans="23:30">
      <c r="W94" s="39"/>
      <c r="X94" s="39"/>
      <c r="Y94" s="39"/>
      <c r="Z94" s="39"/>
      <c r="AA94" s="39"/>
      <c r="AB94" s="39"/>
      <c r="AC94" s="39"/>
      <c r="AD94" s="39"/>
    </row>
    <row r="95" spans="23:30">
      <c r="W95" s="39"/>
      <c r="X95" s="39"/>
      <c r="Y95" s="39"/>
      <c r="Z95" s="39"/>
      <c r="AA95" s="39"/>
      <c r="AB95" s="39"/>
      <c r="AC95" s="39"/>
      <c r="AD95" s="39"/>
    </row>
    <row r="96" spans="23:30">
      <c r="W96" s="39"/>
      <c r="X96" s="39"/>
      <c r="Y96" s="39"/>
      <c r="Z96" s="39"/>
      <c r="AA96" s="39"/>
      <c r="AB96" s="39"/>
      <c r="AC96" s="39"/>
      <c r="AD96" s="39"/>
    </row>
    <row r="97" spans="23:30">
      <c r="W97" s="39"/>
      <c r="X97" s="39"/>
      <c r="Y97" s="39"/>
      <c r="Z97" s="39"/>
      <c r="AA97" s="39"/>
      <c r="AB97" s="39"/>
      <c r="AC97" s="39"/>
      <c r="AD97" s="39"/>
    </row>
    <row r="98" spans="23:30">
      <c r="W98" s="39"/>
      <c r="X98" s="39"/>
      <c r="Y98" s="39"/>
      <c r="Z98" s="39"/>
      <c r="AA98" s="39"/>
      <c r="AB98" s="39"/>
      <c r="AC98" s="39"/>
      <c r="AD98" s="39"/>
    </row>
    <row r="99" spans="23:30">
      <c r="W99" s="39"/>
      <c r="X99" s="39"/>
      <c r="Y99" s="39"/>
      <c r="Z99" s="39"/>
      <c r="AA99" s="39"/>
      <c r="AB99" s="39"/>
      <c r="AC99" s="39"/>
      <c r="AD99" s="39"/>
    </row>
    <row r="100" spans="23:30">
      <c r="W100" s="39"/>
      <c r="X100" s="39"/>
      <c r="Y100" s="39"/>
      <c r="Z100" s="39"/>
      <c r="AA100" s="39"/>
      <c r="AB100" s="39"/>
      <c r="AC100" s="39"/>
      <c r="AD100" s="39"/>
    </row>
    <row r="101" spans="23:30">
      <c r="W101" s="39"/>
      <c r="X101" s="39"/>
      <c r="Y101" s="39"/>
      <c r="Z101" s="39"/>
      <c r="AA101" s="39"/>
      <c r="AB101" s="39"/>
      <c r="AC101" s="39"/>
      <c r="AD101" s="39"/>
    </row>
    <row r="102" spans="23:30">
      <c r="W102" s="39"/>
      <c r="X102" s="39"/>
      <c r="Y102" s="39"/>
      <c r="Z102" s="39"/>
      <c r="AA102" s="39"/>
      <c r="AB102" s="39"/>
      <c r="AC102" s="39"/>
      <c r="AD102" s="39"/>
    </row>
    <row r="103" spans="23:30">
      <c r="W103" s="39"/>
      <c r="X103" s="39"/>
      <c r="Y103" s="39"/>
      <c r="Z103" s="39"/>
      <c r="AA103" s="39"/>
      <c r="AB103" s="39"/>
      <c r="AC103" s="39"/>
      <c r="AD103" s="39"/>
    </row>
    <row r="104" spans="23:30">
      <c r="W104" s="39"/>
      <c r="X104" s="39"/>
      <c r="Y104" s="39"/>
      <c r="Z104" s="39"/>
      <c r="AA104" s="39"/>
      <c r="AB104" s="39"/>
      <c r="AC104" s="39"/>
      <c r="AD104" s="39"/>
    </row>
    <row r="105" spans="23:30">
      <c r="W105" s="39"/>
      <c r="X105" s="39"/>
      <c r="Y105" s="39"/>
      <c r="Z105" s="39"/>
      <c r="AA105" s="39"/>
      <c r="AB105" s="39"/>
      <c r="AC105" s="39"/>
      <c r="AD105" s="39"/>
    </row>
    <row r="106" spans="23:30">
      <c r="W106" s="39"/>
      <c r="X106" s="39"/>
      <c r="Y106" s="39"/>
      <c r="Z106" s="39"/>
      <c r="AA106" s="39"/>
      <c r="AB106" s="39"/>
      <c r="AC106" s="39"/>
      <c r="AD106" s="39"/>
    </row>
    <row r="107" spans="23:30">
      <c r="W107" s="39"/>
      <c r="X107" s="39"/>
      <c r="Y107" s="39"/>
      <c r="Z107" s="39"/>
      <c r="AA107" s="39"/>
      <c r="AB107" s="39"/>
      <c r="AC107" s="39"/>
      <c r="AD107" s="39"/>
    </row>
    <row r="108" spans="23:30">
      <c r="W108" s="39"/>
      <c r="X108" s="39"/>
      <c r="Y108" s="39"/>
      <c r="Z108" s="39"/>
      <c r="AA108" s="39"/>
      <c r="AB108" s="39"/>
      <c r="AC108" s="39"/>
      <c r="AD108" s="39"/>
    </row>
    <row r="109" spans="23:30">
      <c r="W109" s="39"/>
      <c r="X109" s="39"/>
      <c r="Y109" s="39"/>
      <c r="Z109" s="39"/>
      <c r="AA109" s="39"/>
      <c r="AB109" s="39"/>
      <c r="AC109" s="39"/>
      <c r="AD109" s="39"/>
    </row>
    <row r="110" spans="23:30">
      <c r="W110" s="39"/>
      <c r="X110" s="39"/>
      <c r="Y110" s="39"/>
      <c r="Z110" s="39"/>
      <c r="AA110" s="39"/>
      <c r="AB110" s="39"/>
      <c r="AC110" s="39"/>
      <c r="AD110" s="39"/>
    </row>
    <row r="111" spans="23:30">
      <c r="W111" s="39"/>
      <c r="X111" s="39"/>
      <c r="Y111" s="39"/>
      <c r="Z111" s="39"/>
      <c r="AA111" s="39"/>
      <c r="AB111" s="39"/>
      <c r="AC111" s="39"/>
      <c r="AD111" s="39"/>
    </row>
    <row r="112" spans="23:30">
      <c r="W112" s="39"/>
      <c r="X112" s="39"/>
      <c r="Y112" s="39"/>
      <c r="Z112" s="39"/>
      <c r="AA112" s="39"/>
      <c r="AB112" s="39"/>
      <c r="AC112" s="39"/>
      <c r="AD112" s="39"/>
    </row>
    <row r="113" spans="23:30">
      <c r="W113" s="39"/>
      <c r="X113" s="39"/>
      <c r="Y113" s="39"/>
      <c r="Z113" s="39"/>
      <c r="AA113" s="39"/>
      <c r="AB113" s="39"/>
      <c r="AC113" s="39"/>
      <c r="AD113" s="39"/>
    </row>
    <row r="114" spans="23:30">
      <c r="W114" s="39"/>
      <c r="X114" s="39"/>
      <c r="Y114" s="39"/>
      <c r="Z114" s="39"/>
      <c r="AA114" s="39"/>
      <c r="AB114" s="39"/>
      <c r="AC114" s="39"/>
      <c r="AD114" s="39"/>
    </row>
    <row r="115" spans="23:30">
      <c r="W115" s="39"/>
      <c r="X115" s="39"/>
      <c r="Y115" s="39"/>
      <c r="Z115" s="39"/>
      <c r="AA115" s="39"/>
      <c r="AB115" s="39"/>
      <c r="AC115" s="39"/>
      <c r="AD115" s="39"/>
    </row>
    <row r="116" spans="23:30">
      <c r="W116" s="39"/>
      <c r="X116" s="39"/>
      <c r="Y116" s="39"/>
      <c r="Z116" s="39"/>
      <c r="AA116" s="39"/>
      <c r="AB116" s="39"/>
      <c r="AC116" s="39"/>
      <c r="AD116" s="39"/>
    </row>
    <row r="117" spans="23:30">
      <c r="W117" s="39"/>
      <c r="X117" s="39"/>
      <c r="Y117" s="39"/>
      <c r="Z117" s="39"/>
      <c r="AA117" s="39"/>
      <c r="AB117" s="39"/>
      <c r="AC117" s="39"/>
      <c r="AD117" s="39"/>
    </row>
    <row r="118" spans="23:30">
      <c r="W118" s="39"/>
      <c r="X118" s="39"/>
      <c r="Y118" s="39"/>
      <c r="Z118" s="39"/>
      <c r="AA118" s="39"/>
      <c r="AB118" s="39"/>
      <c r="AC118" s="39"/>
      <c r="AD118" s="39"/>
    </row>
    <row r="119" spans="23:30">
      <c r="W119" s="39"/>
      <c r="X119" s="39"/>
      <c r="Y119" s="39"/>
      <c r="Z119" s="39"/>
      <c r="AA119" s="39"/>
      <c r="AB119" s="39"/>
      <c r="AC119" s="39"/>
      <c r="AD119" s="39"/>
    </row>
    <row r="120" spans="23:30">
      <c r="W120" s="39"/>
      <c r="X120" s="39"/>
      <c r="Y120" s="39"/>
      <c r="Z120" s="39"/>
      <c r="AA120" s="39"/>
      <c r="AB120" s="39"/>
      <c r="AC120" s="39"/>
      <c r="AD120" s="39"/>
    </row>
    <row r="121" spans="23:30">
      <c r="W121" s="39"/>
      <c r="X121" s="39"/>
      <c r="Y121" s="39"/>
      <c r="Z121" s="39"/>
      <c r="AA121" s="39"/>
      <c r="AB121" s="39"/>
      <c r="AC121" s="39"/>
      <c r="AD121" s="39"/>
    </row>
    <row r="122" spans="23:30">
      <c r="W122" s="39"/>
      <c r="X122" s="39"/>
      <c r="Y122" s="39"/>
      <c r="Z122" s="39"/>
      <c r="AA122" s="39"/>
      <c r="AB122" s="39"/>
      <c r="AC122" s="39"/>
      <c r="AD122" s="39"/>
    </row>
    <row r="123" spans="23:30">
      <c r="W123" s="39"/>
      <c r="X123" s="39"/>
      <c r="Y123" s="39"/>
      <c r="Z123" s="39"/>
      <c r="AA123" s="39"/>
      <c r="AB123" s="39"/>
      <c r="AC123" s="39"/>
      <c r="AD123" s="39"/>
    </row>
    <row r="124" spans="23:30">
      <c r="W124" s="39"/>
      <c r="X124" s="39"/>
      <c r="Y124" s="39"/>
      <c r="Z124" s="39"/>
      <c r="AA124" s="39"/>
      <c r="AB124" s="39"/>
      <c r="AC124" s="39"/>
      <c r="AD124" s="39"/>
    </row>
    <row r="125" spans="23:30">
      <c r="W125" s="39"/>
      <c r="X125" s="39"/>
      <c r="Y125" s="39"/>
      <c r="Z125" s="39"/>
      <c r="AA125" s="39"/>
      <c r="AB125" s="39"/>
      <c r="AC125" s="39"/>
      <c r="AD125" s="39"/>
    </row>
    <row r="126" spans="23:30">
      <c r="W126" s="39"/>
      <c r="X126" s="39"/>
      <c r="Y126" s="39"/>
      <c r="Z126" s="39"/>
      <c r="AA126" s="39"/>
      <c r="AB126" s="39"/>
      <c r="AC126" s="39"/>
      <c r="AD126" s="39"/>
    </row>
    <row r="127" spans="23:30">
      <c r="W127" s="39"/>
      <c r="X127" s="39"/>
      <c r="Y127" s="39"/>
      <c r="Z127" s="39"/>
      <c r="AA127" s="39"/>
      <c r="AB127" s="39"/>
      <c r="AC127" s="39"/>
      <c r="AD127" s="39"/>
    </row>
    <row r="128" spans="23:30">
      <c r="W128" s="39"/>
      <c r="X128" s="39"/>
      <c r="Y128" s="39"/>
      <c r="Z128" s="39"/>
      <c r="AA128" s="39"/>
      <c r="AB128" s="39"/>
      <c r="AC128" s="39"/>
      <c r="AD128" s="39"/>
    </row>
    <row r="129" spans="23:30">
      <c r="W129" s="39"/>
      <c r="X129" s="39"/>
      <c r="Y129" s="39"/>
      <c r="Z129" s="39"/>
      <c r="AA129" s="39"/>
      <c r="AB129" s="39"/>
      <c r="AC129" s="39"/>
      <c r="AD129" s="39"/>
    </row>
    <row r="130" spans="23:30">
      <c r="W130" s="39"/>
      <c r="X130" s="39"/>
      <c r="Y130" s="39"/>
      <c r="Z130" s="39"/>
      <c r="AA130" s="39"/>
      <c r="AB130" s="39"/>
      <c r="AC130" s="39"/>
      <c r="AD130" s="39"/>
    </row>
    <row r="131" spans="23:30">
      <c r="W131" s="39"/>
      <c r="X131" s="39"/>
      <c r="Y131" s="39"/>
      <c r="Z131" s="39"/>
      <c r="AA131" s="39"/>
      <c r="AB131" s="39"/>
      <c r="AC131" s="39"/>
      <c r="AD131" s="39"/>
    </row>
    <row r="132" spans="23:30">
      <c r="W132" s="39"/>
      <c r="X132" s="39"/>
      <c r="Y132" s="39"/>
      <c r="Z132" s="39"/>
      <c r="AA132" s="39"/>
      <c r="AB132" s="39"/>
      <c r="AC132" s="39"/>
      <c r="AD132" s="39"/>
    </row>
    <row r="133" spans="23:30">
      <c r="W133" s="39"/>
      <c r="X133" s="39"/>
      <c r="Y133" s="39"/>
      <c r="Z133" s="39"/>
      <c r="AA133" s="39"/>
      <c r="AB133" s="39"/>
      <c r="AC133" s="39"/>
      <c r="AD133" s="39"/>
    </row>
    <row r="134" spans="23:30">
      <c r="W134" s="39"/>
      <c r="X134" s="39"/>
      <c r="Y134" s="39"/>
      <c r="Z134" s="39"/>
      <c r="AA134" s="39"/>
      <c r="AB134" s="39"/>
      <c r="AC134" s="39"/>
      <c r="AD134" s="39"/>
    </row>
    <row r="135" spans="23:30">
      <c r="W135" s="39"/>
      <c r="X135" s="39"/>
      <c r="Y135" s="39"/>
      <c r="Z135" s="39"/>
      <c r="AA135" s="39"/>
      <c r="AB135" s="39"/>
      <c r="AC135" s="39"/>
      <c r="AD135" s="39"/>
    </row>
    <row r="136" spans="23:30">
      <c r="W136" s="39"/>
      <c r="X136" s="39"/>
      <c r="Y136" s="39"/>
      <c r="Z136" s="39"/>
      <c r="AA136" s="39"/>
      <c r="AB136" s="39"/>
      <c r="AC136" s="39"/>
      <c r="AD136" s="39"/>
    </row>
    <row r="137" spans="23:30">
      <c r="W137" s="39"/>
      <c r="X137" s="39"/>
      <c r="Y137" s="39"/>
      <c r="Z137" s="39"/>
      <c r="AA137" s="39"/>
      <c r="AB137" s="39"/>
      <c r="AC137" s="39"/>
      <c r="AD137" s="39"/>
    </row>
    <row r="138" spans="23:30">
      <c r="W138" s="39"/>
      <c r="X138" s="39"/>
      <c r="Y138" s="39"/>
      <c r="Z138" s="39"/>
      <c r="AA138" s="39"/>
      <c r="AB138" s="39"/>
      <c r="AC138" s="39"/>
      <c r="AD138" s="39"/>
    </row>
    <row r="139" spans="23:30">
      <c r="W139" s="39"/>
      <c r="X139" s="39"/>
      <c r="Y139" s="39"/>
      <c r="Z139" s="39"/>
      <c r="AA139" s="39"/>
      <c r="AB139" s="39"/>
      <c r="AC139" s="39"/>
      <c r="AD139" s="39"/>
    </row>
    <row r="140" spans="23:30">
      <c r="W140" s="39"/>
      <c r="X140" s="39"/>
      <c r="Y140" s="39"/>
      <c r="Z140" s="39"/>
      <c r="AA140" s="39"/>
      <c r="AB140" s="39"/>
      <c r="AC140" s="39"/>
      <c r="AD140" s="39"/>
    </row>
    <row r="141" spans="23:30">
      <c r="W141" s="39"/>
      <c r="X141" s="39"/>
      <c r="Y141" s="39"/>
      <c r="Z141" s="39"/>
      <c r="AA141" s="39"/>
      <c r="AB141" s="39"/>
      <c r="AC141" s="39"/>
      <c r="AD141" s="39"/>
    </row>
    <row r="142" spans="23:30">
      <c r="W142" s="39"/>
      <c r="X142" s="39"/>
      <c r="Y142" s="39"/>
      <c r="Z142" s="39"/>
      <c r="AA142" s="39"/>
      <c r="AB142" s="39"/>
      <c r="AC142" s="39"/>
      <c r="AD142" s="39"/>
    </row>
    <row r="143" spans="23:30">
      <c r="W143" s="39"/>
      <c r="X143" s="39"/>
      <c r="Y143" s="39"/>
      <c r="Z143" s="39"/>
      <c r="AA143" s="39"/>
      <c r="AB143" s="39"/>
      <c r="AC143" s="39"/>
      <c r="AD143" s="39"/>
    </row>
    <row r="144" spans="23:30">
      <c r="W144" s="39"/>
      <c r="X144" s="39"/>
      <c r="Y144" s="39"/>
      <c r="Z144" s="39"/>
      <c r="AA144" s="39"/>
      <c r="AB144" s="39"/>
      <c r="AC144" s="39"/>
      <c r="AD144" s="39"/>
    </row>
    <row r="145" spans="23:30">
      <c r="W145" s="39"/>
      <c r="X145" s="39"/>
      <c r="Y145" s="39"/>
      <c r="Z145" s="39"/>
      <c r="AA145" s="39"/>
      <c r="AB145" s="39"/>
      <c r="AC145" s="39"/>
      <c r="AD145" s="39"/>
    </row>
    <row r="146" spans="23:30">
      <c r="W146" s="39"/>
      <c r="X146" s="39"/>
      <c r="Y146" s="39"/>
      <c r="Z146" s="39"/>
      <c r="AA146" s="39"/>
      <c r="AB146" s="39"/>
      <c r="AC146" s="39"/>
      <c r="AD146" s="39"/>
    </row>
    <row r="147" spans="23:30">
      <c r="W147" s="39"/>
      <c r="X147" s="39"/>
      <c r="Y147" s="39"/>
      <c r="Z147" s="39"/>
      <c r="AA147" s="39"/>
      <c r="AB147" s="39"/>
      <c r="AC147" s="39"/>
      <c r="AD147" s="39"/>
    </row>
    <row r="148" spans="23:30">
      <c r="W148" s="39"/>
      <c r="X148" s="39"/>
      <c r="Y148" s="39"/>
      <c r="Z148" s="39"/>
      <c r="AA148" s="39"/>
      <c r="AB148" s="39"/>
      <c r="AC148" s="39"/>
      <c r="AD148" s="39"/>
    </row>
    <row r="149" spans="23:30">
      <c r="W149" s="39"/>
      <c r="X149" s="39"/>
      <c r="Y149" s="39"/>
      <c r="Z149" s="39"/>
      <c r="AA149" s="39"/>
      <c r="AB149" s="39"/>
      <c r="AC149" s="39"/>
      <c r="AD149" s="39"/>
    </row>
    <row r="150" spans="23:30">
      <c r="W150" s="39"/>
      <c r="X150" s="39"/>
      <c r="Y150" s="39"/>
      <c r="Z150" s="39"/>
      <c r="AA150" s="39"/>
      <c r="AB150" s="39"/>
      <c r="AC150" s="39"/>
      <c r="AD150" s="39"/>
    </row>
    <row r="151" spans="23:30">
      <c r="W151" s="39"/>
      <c r="X151" s="39"/>
      <c r="Y151" s="39"/>
      <c r="Z151" s="39"/>
      <c r="AA151" s="39"/>
      <c r="AB151" s="39"/>
      <c r="AC151" s="39"/>
      <c r="AD151" s="39"/>
    </row>
    <row r="152" spans="23:30">
      <c r="W152" s="39"/>
      <c r="X152" s="39"/>
      <c r="Y152" s="39"/>
      <c r="Z152" s="39"/>
      <c r="AA152" s="39"/>
      <c r="AB152" s="39"/>
      <c r="AC152" s="39"/>
      <c r="AD152" s="39"/>
    </row>
    <row r="153" spans="23:30">
      <c r="W153" s="39"/>
      <c r="X153" s="39"/>
      <c r="Y153" s="39"/>
      <c r="Z153" s="39"/>
      <c r="AA153" s="39"/>
      <c r="AB153" s="39"/>
      <c r="AC153" s="39"/>
      <c r="AD153" s="39"/>
    </row>
    <row r="154" spans="23:30">
      <c r="W154" s="39"/>
      <c r="X154" s="39"/>
      <c r="Y154" s="39"/>
      <c r="Z154" s="39"/>
      <c r="AA154" s="39"/>
      <c r="AB154" s="39"/>
      <c r="AC154" s="39"/>
      <c r="AD154" s="39"/>
    </row>
    <row r="155" spans="23:30">
      <c r="W155" s="39"/>
      <c r="X155" s="39"/>
      <c r="Y155" s="39"/>
      <c r="Z155" s="39"/>
      <c r="AA155" s="39"/>
      <c r="AB155" s="39"/>
      <c r="AC155" s="39"/>
      <c r="AD155" s="39"/>
    </row>
    <row r="156" spans="23:30">
      <c r="W156" s="39"/>
      <c r="X156" s="39"/>
      <c r="Y156" s="39"/>
      <c r="Z156" s="39"/>
      <c r="AA156" s="39"/>
      <c r="AB156" s="39"/>
      <c r="AC156" s="39"/>
      <c r="AD156" s="39"/>
    </row>
    <row r="157" spans="23:30">
      <c r="W157" s="39"/>
      <c r="X157" s="39"/>
      <c r="Y157" s="39"/>
      <c r="Z157" s="39"/>
      <c r="AA157" s="39"/>
      <c r="AB157" s="39"/>
      <c r="AC157" s="39"/>
      <c r="AD157" s="39"/>
    </row>
    <row r="158" spans="23:30">
      <c r="W158" s="39"/>
      <c r="X158" s="39"/>
      <c r="Y158" s="39"/>
      <c r="Z158" s="39"/>
      <c r="AA158" s="39"/>
      <c r="AB158" s="39"/>
      <c r="AC158" s="39"/>
      <c r="AD158" s="39"/>
    </row>
    <row r="159" spans="23:30">
      <c r="W159" s="39"/>
      <c r="X159" s="39"/>
      <c r="Y159" s="39"/>
      <c r="Z159" s="39"/>
      <c r="AA159" s="39"/>
      <c r="AB159" s="39"/>
      <c r="AC159" s="39"/>
      <c r="AD159" s="39"/>
    </row>
    <row r="160" spans="23:30">
      <c r="W160" s="39"/>
      <c r="X160" s="39"/>
      <c r="Y160" s="39"/>
      <c r="Z160" s="39"/>
      <c r="AA160" s="39"/>
      <c r="AB160" s="39"/>
      <c r="AC160" s="39"/>
      <c r="AD160" s="39"/>
    </row>
    <row r="161" spans="23:30">
      <c r="W161" s="39"/>
      <c r="X161" s="39"/>
      <c r="Y161" s="39"/>
      <c r="Z161" s="39"/>
      <c r="AA161" s="39"/>
      <c r="AB161" s="39"/>
      <c r="AC161" s="39"/>
      <c r="AD161" s="39"/>
    </row>
    <row r="162" spans="23:30">
      <c r="W162" s="39"/>
      <c r="X162" s="39"/>
      <c r="Y162" s="39"/>
      <c r="Z162" s="39"/>
      <c r="AA162" s="39"/>
      <c r="AB162" s="39"/>
      <c r="AC162" s="39"/>
      <c r="AD162" s="39"/>
    </row>
    <row r="163" spans="23:30">
      <c r="W163" s="39"/>
      <c r="X163" s="39"/>
      <c r="Y163" s="39"/>
      <c r="Z163" s="39"/>
      <c r="AA163" s="39"/>
      <c r="AB163" s="39"/>
      <c r="AC163" s="39"/>
      <c r="AD163" s="39"/>
    </row>
    <row r="164" spans="23:30">
      <c r="W164" s="39"/>
      <c r="X164" s="39"/>
      <c r="Y164" s="39"/>
      <c r="Z164" s="39"/>
      <c r="AA164" s="39"/>
      <c r="AB164" s="39"/>
      <c r="AC164" s="39"/>
      <c r="AD164" s="39"/>
    </row>
    <row r="165" spans="23:30">
      <c r="W165" s="39"/>
      <c r="X165" s="39"/>
      <c r="Y165" s="39"/>
      <c r="Z165" s="39"/>
      <c r="AA165" s="39"/>
      <c r="AB165" s="39"/>
      <c r="AC165" s="39"/>
      <c r="AD165" s="39"/>
    </row>
    <row r="166" spans="23:30">
      <c r="W166" s="39"/>
      <c r="X166" s="39"/>
      <c r="Y166" s="39"/>
      <c r="Z166" s="39"/>
      <c r="AA166" s="39"/>
      <c r="AB166" s="39"/>
      <c r="AC166" s="39"/>
      <c r="AD166" s="39"/>
    </row>
    <row r="167" spans="23:30">
      <c r="W167" s="39"/>
      <c r="X167" s="39"/>
      <c r="Y167" s="39"/>
      <c r="Z167" s="39"/>
      <c r="AA167" s="39"/>
      <c r="AB167" s="39"/>
      <c r="AC167" s="39"/>
      <c r="AD167" s="39"/>
    </row>
    <row r="168" spans="23:30">
      <c r="W168" s="39"/>
      <c r="X168" s="39"/>
      <c r="Y168" s="39"/>
      <c r="Z168" s="39"/>
      <c r="AA168" s="39"/>
      <c r="AB168" s="39"/>
      <c r="AC168" s="39"/>
      <c r="AD168" s="39"/>
    </row>
    <row r="169" spans="23:30">
      <c r="W169" s="39"/>
      <c r="X169" s="39"/>
      <c r="Y169" s="39"/>
      <c r="Z169" s="39"/>
      <c r="AA169" s="39"/>
      <c r="AB169" s="39"/>
      <c r="AC169" s="39"/>
      <c r="AD169" s="39"/>
    </row>
    <row r="170" spans="23:30">
      <c r="W170" s="39"/>
      <c r="X170" s="39"/>
      <c r="Y170" s="39"/>
      <c r="Z170" s="39"/>
      <c r="AA170" s="39"/>
      <c r="AB170" s="39"/>
      <c r="AC170" s="39"/>
      <c r="AD170" s="39"/>
    </row>
    <row r="171" spans="23:30">
      <c r="W171" s="39"/>
      <c r="X171" s="39"/>
      <c r="Y171" s="39"/>
      <c r="Z171" s="39"/>
      <c r="AA171" s="39"/>
      <c r="AB171" s="39"/>
      <c r="AC171" s="39"/>
      <c r="AD171" s="39"/>
    </row>
    <row r="172" spans="23:30">
      <c r="W172" s="39"/>
      <c r="X172" s="39"/>
      <c r="Y172" s="39"/>
      <c r="Z172" s="39"/>
      <c r="AA172" s="39"/>
      <c r="AB172" s="39"/>
      <c r="AC172" s="39"/>
      <c r="AD172" s="39"/>
    </row>
    <row r="173" spans="23:30">
      <c r="W173" s="39"/>
      <c r="X173" s="39"/>
      <c r="Y173" s="39"/>
      <c r="Z173" s="39"/>
      <c r="AA173" s="39"/>
      <c r="AB173" s="39"/>
      <c r="AC173" s="39"/>
      <c r="AD173" s="39"/>
    </row>
    <row r="174" spans="23:30">
      <c r="W174" s="39"/>
      <c r="X174" s="39"/>
      <c r="Y174" s="39"/>
      <c r="Z174" s="39"/>
      <c r="AA174" s="39"/>
      <c r="AB174" s="39"/>
      <c r="AC174" s="39"/>
      <c r="AD174" s="39"/>
    </row>
    <row r="175" spans="23:30">
      <c r="W175" s="39"/>
      <c r="X175" s="39"/>
      <c r="Y175" s="39"/>
      <c r="Z175" s="39"/>
      <c r="AA175" s="39"/>
      <c r="AB175" s="39"/>
      <c r="AC175" s="39"/>
      <c r="AD175" s="39"/>
    </row>
    <row r="176" spans="23:30">
      <c r="W176" s="39"/>
      <c r="X176" s="39"/>
      <c r="Y176" s="39"/>
      <c r="Z176" s="39"/>
      <c r="AA176" s="39"/>
      <c r="AB176" s="39"/>
      <c r="AC176" s="39"/>
      <c r="AD176" s="39"/>
    </row>
    <row r="177" spans="23:30">
      <c r="W177" s="39"/>
      <c r="X177" s="39"/>
      <c r="Y177" s="39"/>
      <c r="Z177" s="39"/>
      <c r="AA177" s="39"/>
      <c r="AB177" s="39"/>
      <c r="AC177" s="39"/>
      <c r="AD177" s="39"/>
    </row>
    <row r="178" spans="23:30">
      <c r="W178" s="39"/>
      <c r="X178" s="39"/>
      <c r="Y178" s="39"/>
      <c r="Z178" s="39"/>
      <c r="AA178" s="39"/>
      <c r="AB178" s="39"/>
      <c r="AC178" s="39"/>
      <c r="AD178" s="39"/>
    </row>
    <row r="179" spans="23:30">
      <c r="W179" s="39"/>
      <c r="X179" s="39"/>
      <c r="Y179" s="39"/>
      <c r="Z179" s="39"/>
      <c r="AA179" s="39"/>
      <c r="AB179" s="39"/>
      <c r="AC179" s="39"/>
      <c r="AD179" s="39"/>
    </row>
    <row r="180" spans="23:30">
      <c r="W180" s="39"/>
      <c r="X180" s="39"/>
      <c r="Y180" s="39"/>
      <c r="Z180" s="39"/>
      <c r="AA180" s="39"/>
      <c r="AB180" s="39"/>
      <c r="AC180" s="39"/>
      <c r="AD180" s="39"/>
    </row>
    <row r="181" spans="23:30">
      <c r="W181" s="39"/>
      <c r="X181" s="39"/>
      <c r="Y181" s="39"/>
      <c r="Z181" s="39"/>
      <c r="AA181" s="39"/>
      <c r="AB181" s="39"/>
      <c r="AC181" s="39"/>
      <c r="AD181" s="39"/>
    </row>
    <row r="182" spans="23:30">
      <c r="W182" s="39"/>
      <c r="X182" s="39"/>
      <c r="Y182" s="39"/>
      <c r="Z182" s="39"/>
      <c r="AA182" s="39"/>
      <c r="AB182" s="39"/>
      <c r="AC182" s="39"/>
      <c r="AD182" s="39"/>
    </row>
    <row r="183" spans="23:30">
      <c r="W183" s="39"/>
      <c r="X183" s="39"/>
      <c r="Y183" s="39"/>
      <c r="Z183" s="39"/>
      <c r="AA183" s="39"/>
      <c r="AB183" s="39"/>
      <c r="AC183" s="39"/>
      <c r="AD183" s="39"/>
    </row>
    <row r="184" spans="23:30">
      <c r="W184" s="39"/>
      <c r="X184" s="39"/>
      <c r="Y184" s="39"/>
      <c r="Z184" s="39"/>
      <c r="AA184" s="39"/>
      <c r="AB184" s="39"/>
      <c r="AC184" s="39"/>
      <c r="AD184" s="39"/>
    </row>
    <row r="185" spans="23:30">
      <c r="W185" s="39"/>
      <c r="X185" s="39"/>
      <c r="Y185" s="39"/>
      <c r="Z185" s="39"/>
      <c r="AA185" s="39"/>
      <c r="AB185" s="39"/>
      <c r="AC185" s="39"/>
      <c r="AD185" s="39"/>
    </row>
    <row r="186" spans="23:30">
      <c r="W186" s="39"/>
      <c r="X186" s="39"/>
      <c r="Y186" s="39"/>
      <c r="Z186" s="39"/>
      <c r="AA186" s="39"/>
      <c r="AB186" s="39"/>
      <c r="AC186" s="39"/>
      <c r="AD186" s="39"/>
    </row>
    <row r="187" spans="23:30">
      <c r="W187" s="39"/>
      <c r="X187" s="39"/>
      <c r="Y187" s="39"/>
      <c r="Z187" s="39"/>
      <c r="AA187" s="39"/>
      <c r="AB187" s="39"/>
      <c r="AC187" s="39"/>
      <c r="AD187" s="39"/>
    </row>
    <row r="188" spans="23:30">
      <c r="W188" s="39"/>
      <c r="X188" s="39"/>
      <c r="Y188" s="39"/>
      <c r="Z188" s="39"/>
      <c r="AA188" s="39"/>
      <c r="AB188" s="39"/>
      <c r="AC188" s="39"/>
      <c r="AD188" s="39"/>
    </row>
    <row r="189" spans="23:30">
      <c r="W189" s="39"/>
      <c r="X189" s="39"/>
      <c r="Y189" s="39"/>
      <c r="Z189" s="39"/>
      <c r="AA189" s="39"/>
      <c r="AB189" s="39"/>
      <c r="AC189" s="39"/>
      <c r="AD189" s="39"/>
    </row>
    <row r="190" spans="23:30">
      <c r="W190" s="39"/>
      <c r="X190" s="39"/>
      <c r="Y190" s="39"/>
      <c r="Z190" s="39"/>
      <c r="AA190" s="39"/>
      <c r="AB190" s="39"/>
      <c r="AC190" s="39"/>
      <c r="AD190" s="39"/>
    </row>
    <row r="191" spans="23:30">
      <c r="W191" s="39"/>
      <c r="X191" s="39"/>
      <c r="Y191" s="39"/>
      <c r="Z191" s="39"/>
      <c r="AA191" s="39"/>
      <c r="AB191" s="39"/>
      <c r="AC191" s="39"/>
      <c r="AD191" s="39"/>
    </row>
    <row r="192" spans="23:30">
      <c r="W192" s="39"/>
      <c r="X192" s="39"/>
      <c r="Y192" s="39"/>
      <c r="Z192" s="39"/>
      <c r="AA192" s="39"/>
      <c r="AB192" s="39"/>
      <c r="AC192" s="39"/>
      <c r="AD192" s="39"/>
    </row>
    <row r="193" spans="23:30">
      <c r="W193" s="39"/>
      <c r="X193" s="39"/>
      <c r="Y193" s="39"/>
      <c r="Z193" s="39"/>
      <c r="AA193" s="39"/>
      <c r="AB193" s="39"/>
      <c r="AC193" s="39"/>
      <c r="AD193" s="39"/>
    </row>
    <row r="194" spans="23:30">
      <c r="W194" s="39"/>
      <c r="X194" s="39"/>
      <c r="Y194" s="39"/>
      <c r="Z194" s="39"/>
      <c r="AA194" s="39"/>
      <c r="AB194" s="39"/>
      <c r="AC194" s="39"/>
      <c r="AD194" s="39"/>
    </row>
    <row r="195" spans="23:30">
      <c r="W195" s="39"/>
      <c r="X195" s="39"/>
      <c r="Y195" s="39"/>
      <c r="Z195" s="39"/>
      <c r="AA195" s="39"/>
      <c r="AB195" s="39"/>
      <c r="AC195" s="39"/>
      <c r="AD195" s="39"/>
    </row>
    <row r="196" spans="23:30">
      <c r="W196" s="39"/>
      <c r="X196" s="39"/>
      <c r="Y196" s="39"/>
      <c r="Z196" s="39"/>
      <c r="AA196" s="39"/>
      <c r="AB196" s="39"/>
      <c r="AC196" s="39"/>
      <c r="AD196" s="39"/>
    </row>
    <row r="197" spans="23:30">
      <c r="W197" s="39"/>
      <c r="X197" s="39"/>
      <c r="Y197" s="39"/>
      <c r="Z197" s="39"/>
      <c r="AA197" s="39"/>
      <c r="AB197" s="39"/>
      <c r="AC197" s="39"/>
      <c r="AD197" s="39"/>
    </row>
    <row r="198" spans="23:30">
      <c r="W198" s="39"/>
      <c r="X198" s="39"/>
      <c r="Y198" s="39"/>
      <c r="Z198" s="39"/>
      <c r="AA198" s="39"/>
      <c r="AB198" s="39"/>
      <c r="AC198" s="39"/>
      <c r="AD198" s="39"/>
    </row>
    <row r="199" spans="23:30">
      <c r="W199" s="39"/>
      <c r="X199" s="39"/>
      <c r="Y199" s="39"/>
      <c r="Z199" s="39"/>
      <c r="AA199" s="39"/>
      <c r="AB199" s="39"/>
      <c r="AC199" s="39"/>
      <c r="AD199" s="39"/>
    </row>
    <row r="200" spans="23:30">
      <c r="W200" s="39"/>
      <c r="X200" s="39"/>
      <c r="Y200" s="39"/>
      <c r="Z200" s="39"/>
      <c r="AA200" s="39"/>
      <c r="AB200" s="39"/>
      <c r="AC200" s="39"/>
      <c r="AD200" s="39"/>
    </row>
  </sheetData>
  <mergeCells count="88">
    <mergeCell ref="B35:H35"/>
    <mergeCell ref="M35:S35"/>
    <mergeCell ref="K1:K17"/>
    <mergeCell ref="K19:K35"/>
    <mergeCell ref="B32:H32"/>
    <mergeCell ref="M32:S32"/>
    <mergeCell ref="B33:H33"/>
    <mergeCell ref="M33:S33"/>
    <mergeCell ref="B34:H34"/>
    <mergeCell ref="M34:S34"/>
    <mergeCell ref="B29:H29"/>
    <mergeCell ref="M29:S29"/>
    <mergeCell ref="B30:H30"/>
    <mergeCell ref="M30:S30"/>
    <mergeCell ref="B31:H31"/>
    <mergeCell ref="M31:S31"/>
    <mergeCell ref="B26:H26"/>
    <mergeCell ref="M26:S26"/>
    <mergeCell ref="B27:H27"/>
    <mergeCell ref="M27:S27"/>
    <mergeCell ref="B28:H28"/>
    <mergeCell ref="M28:S28"/>
    <mergeCell ref="B23:H23"/>
    <mergeCell ref="M23:S23"/>
    <mergeCell ref="B24:H24"/>
    <mergeCell ref="M24:S24"/>
    <mergeCell ref="B25:H25"/>
    <mergeCell ref="M25:S25"/>
    <mergeCell ref="B20:H20"/>
    <mergeCell ref="M20:S20"/>
    <mergeCell ref="B21:H21"/>
    <mergeCell ref="M21:S21"/>
    <mergeCell ref="B22:H22"/>
    <mergeCell ref="M22:S22"/>
    <mergeCell ref="A17:B17"/>
    <mergeCell ref="C17:J17"/>
    <mergeCell ref="M17:U17"/>
    <mergeCell ref="A18:U18"/>
    <mergeCell ref="B19:H19"/>
    <mergeCell ref="M19:S19"/>
    <mergeCell ref="A15:B15"/>
    <mergeCell ref="C15:J15"/>
    <mergeCell ref="M15:U15"/>
    <mergeCell ref="A16:B16"/>
    <mergeCell ref="C16:J16"/>
    <mergeCell ref="M16:U16"/>
    <mergeCell ref="A13:B13"/>
    <mergeCell ref="C13:J13"/>
    <mergeCell ref="M13:U13"/>
    <mergeCell ref="A14:B14"/>
    <mergeCell ref="C14:J14"/>
    <mergeCell ref="M14:U14"/>
    <mergeCell ref="A11:B11"/>
    <mergeCell ref="C11:J11"/>
    <mergeCell ref="M11:U11"/>
    <mergeCell ref="A12:B12"/>
    <mergeCell ref="C12:J12"/>
    <mergeCell ref="M12:U12"/>
    <mergeCell ref="A9:B9"/>
    <mergeCell ref="C9:J9"/>
    <mergeCell ref="M9:U9"/>
    <mergeCell ref="A10:B10"/>
    <mergeCell ref="C10:J10"/>
    <mergeCell ref="M10:U10"/>
    <mergeCell ref="A7:B7"/>
    <mergeCell ref="C7:J7"/>
    <mergeCell ref="M7:U7"/>
    <mergeCell ref="A8:B8"/>
    <mergeCell ref="C8:J8"/>
    <mergeCell ref="M8:U8"/>
    <mergeCell ref="A5:B5"/>
    <mergeCell ref="C5:J5"/>
    <mergeCell ref="M5:U5"/>
    <mergeCell ref="A6:B6"/>
    <mergeCell ref="C6:J6"/>
    <mergeCell ref="M6:U6"/>
    <mergeCell ref="A3:B3"/>
    <mergeCell ref="C3:J3"/>
    <mergeCell ref="M3:U3"/>
    <mergeCell ref="A4:B4"/>
    <mergeCell ref="C4:J4"/>
    <mergeCell ref="M4:U4"/>
    <mergeCell ref="A1:B1"/>
    <mergeCell ref="C1:J1"/>
    <mergeCell ref="M1:U1"/>
    <mergeCell ref="A2:B2"/>
    <mergeCell ref="C2:J2"/>
    <mergeCell ref="M2:U2"/>
  </mergeCells>
  <phoneticPr fontId="13" type="noConversion"/>
  <dataValidations count="2">
    <dataValidation type="list" allowBlank="1" showInputMessage="1" showErrorMessage="1" sqref="L2:L17" xr:uid="{5339F1F7-A83D-46B2-9F4A-3391CAC297DA}">
      <formula1>OFFSET($W$2,0,0,COUNTA($W$2:$W$300),1)</formula1>
    </dataValidation>
    <dataValidation type="list" allowBlank="1" showInputMessage="1" showErrorMessage="1" sqref="A20:A35 L20:L35" xr:uid="{E5B4C90B-91A4-4DA2-A3ED-8D8E535D25BA}">
      <formula1>OFFSET($AA$2,0,0,COUNTA($AA$2:$AA$400),1)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95239-329B-4E1D-881D-57FD25C5DE45}">
  <sheetPr codeName="Sheet8">
    <tabColor rgb="FF866828"/>
  </sheetPr>
  <dimension ref="A1:D159"/>
  <sheetViews>
    <sheetView topLeftCell="A33" workbookViewId="0">
      <selection sqref="A1:D1"/>
    </sheetView>
  </sheetViews>
  <sheetFormatPr defaultRowHeight="14.4"/>
  <cols>
    <col min="1" max="1" width="10.77734375" style="9" customWidth="1"/>
    <col min="2" max="3" width="18.77734375" style="9" customWidth="1"/>
    <col min="4" max="4" width="68.77734375" style="9" customWidth="1"/>
    <col min="5" max="16384" width="8.88671875" style="9"/>
  </cols>
  <sheetData>
    <row r="1" spans="1:4" ht="24" customHeight="1">
      <c r="A1" s="173" t="s">
        <v>452</v>
      </c>
      <c r="B1" s="173"/>
      <c r="C1" s="173"/>
      <c r="D1" s="173"/>
    </row>
    <row r="2" spans="1:4" ht="24" customHeight="1">
      <c r="A2" s="152" t="s">
        <v>451</v>
      </c>
      <c r="B2" s="152" t="s">
        <v>453</v>
      </c>
      <c r="C2" s="152" t="s">
        <v>454</v>
      </c>
      <c r="D2" s="152" t="s">
        <v>123</v>
      </c>
    </row>
    <row r="3" spans="1:4" ht="24" customHeight="1">
      <c r="A3" s="174" t="s">
        <v>455</v>
      </c>
      <c r="B3" s="153" t="s">
        <v>456</v>
      </c>
      <c r="C3" s="153" t="s">
        <v>457</v>
      </c>
      <c r="D3" s="153" t="s">
        <v>458</v>
      </c>
    </row>
    <row r="4" spans="1:4" ht="24" customHeight="1">
      <c r="A4" s="174" t="s">
        <v>455</v>
      </c>
      <c r="B4" s="153" t="s">
        <v>456</v>
      </c>
      <c r="C4" s="153" t="s">
        <v>459</v>
      </c>
      <c r="D4" s="153" t="s">
        <v>460</v>
      </c>
    </row>
    <row r="5" spans="1:4" ht="24" customHeight="1">
      <c r="A5" s="174" t="s">
        <v>455</v>
      </c>
      <c r="B5" s="153" t="s">
        <v>456</v>
      </c>
      <c r="C5" s="153" t="s">
        <v>461</v>
      </c>
      <c r="D5" s="153" t="s">
        <v>462</v>
      </c>
    </row>
    <row r="6" spans="1:4" ht="24" customHeight="1">
      <c r="A6" s="174" t="s">
        <v>455</v>
      </c>
      <c r="B6" s="153" t="s">
        <v>456</v>
      </c>
      <c r="C6" s="153" t="s">
        <v>463</v>
      </c>
      <c r="D6" s="153" t="s">
        <v>464</v>
      </c>
    </row>
    <row r="7" spans="1:4" ht="24" customHeight="1">
      <c r="A7" s="174" t="s">
        <v>455</v>
      </c>
      <c r="B7" s="153" t="s">
        <v>456</v>
      </c>
      <c r="C7" s="153" t="s">
        <v>465</v>
      </c>
      <c r="D7" s="153" t="s">
        <v>466</v>
      </c>
    </row>
    <row r="8" spans="1:4" ht="24" customHeight="1">
      <c r="A8" s="174" t="s">
        <v>455</v>
      </c>
      <c r="B8" s="153" t="s">
        <v>456</v>
      </c>
      <c r="C8" s="153" t="s">
        <v>467</v>
      </c>
      <c r="D8" s="153" t="s">
        <v>468</v>
      </c>
    </row>
    <row r="9" spans="1:4" ht="24" customHeight="1">
      <c r="A9" s="174" t="s">
        <v>455</v>
      </c>
      <c r="B9" s="153" t="s">
        <v>456</v>
      </c>
      <c r="C9" s="153" t="s">
        <v>469</v>
      </c>
      <c r="D9" s="153" t="s">
        <v>470</v>
      </c>
    </row>
    <row r="10" spans="1:4" ht="24" customHeight="1">
      <c r="A10" s="174" t="s">
        <v>455</v>
      </c>
      <c r="B10" s="153" t="s">
        <v>456</v>
      </c>
      <c r="C10" s="153" t="s">
        <v>471</v>
      </c>
      <c r="D10" s="153" t="s">
        <v>472</v>
      </c>
    </row>
    <row r="11" spans="1:4" ht="24" customHeight="1">
      <c r="A11" s="174" t="s">
        <v>455</v>
      </c>
      <c r="B11" s="153" t="s">
        <v>456</v>
      </c>
      <c r="C11" s="153" t="s">
        <v>473</v>
      </c>
      <c r="D11" s="153" t="s">
        <v>474</v>
      </c>
    </row>
    <row r="12" spans="1:4" ht="24" customHeight="1">
      <c r="A12" s="174" t="s">
        <v>455</v>
      </c>
      <c r="B12" s="153" t="s">
        <v>456</v>
      </c>
      <c r="C12" s="153" t="s">
        <v>475</v>
      </c>
      <c r="D12" s="153" t="s">
        <v>476</v>
      </c>
    </row>
    <row r="13" spans="1:4" ht="24" customHeight="1">
      <c r="A13" s="174" t="s">
        <v>455</v>
      </c>
      <c r="B13" s="153" t="s">
        <v>456</v>
      </c>
      <c r="C13" s="153" t="s">
        <v>477</v>
      </c>
      <c r="D13" s="153" t="s">
        <v>478</v>
      </c>
    </row>
    <row r="14" spans="1:4" ht="24" customHeight="1">
      <c r="A14" s="174" t="s">
        <v>455</v>
      </c>
      <c r="B14" s="153" t="s">
        <v>456</v>
      </c>
      <c r="C14" s="153" t="s">
        <v>479</v>
      </c>
      <c r="D14" s="153" t="s">
        <v>480</v>
      </c>
    </row>
    <row r="15" spans="1:4" ht="24" customHeight="1">
      <c r="A15" s="174" t="s">
        <v>455</v>
      </c>
      <c r="B15" s="153" t="s">
        <v>456</v>
      </c>
      <c r="C15" s="153" t="s">
        <v>481</v>
      </c>
      <c r="D15" s="153" t="s">
        <v>482</v>
      </c>
    </row>
    <row r="16" spans="1:4" ht="24" customHeight="1">
      <c r="A16" s="174" t="s">
        <v>455</v>
      </c>
      <c r="B16" s="153" t="s">
        <v>456</v>
      </c>
      <c r="C16" s="153" t="s">
        <v>19</v>
      </c>
      <c r="D16" s="153" t="s">
        <v>483</v>
      </c>
    </row>
    <row r="17" spans="1:4" ht="24" customHeight="1">
      <c r="A17" s="174" t="s">
        <v>455</v>
      </c>
      <c r="B17" s="153" t="s">
        <v>456</v>
      </c>
      <c r="C17" s="153" t="s">
        <v>484</v>
      </c>
      <c r="D17" s="153" t="s">
        <v>485</v>
      </c>
    </row>
    <row r="18" spans="1:4" ht="24" customHeight="1">
      <c r="A18" s="174" t="s">
        <v>455</v>
      </c>
      <c r="B18" s="153" t="s">
        <v>456</v>
      </c>
      <c r="C18" s="153" t="s">
        <v>486</v>
      </c>
      <c r="D18" s="153" t="s">
        <v>487</v>
      </c>
    </row>
    <row r="19" spans="1:4" ht="24" customHeight="1">
      <c r="A19" s="174" t="s">
        <v>455</v>
      </c>
      <c r="B19" s="153" t="s">
        <v>456</v>
      </c>
      <c r="C19" s="153" t="s">
        <v>488</v>
      </c>
      <c r="D19" s="153" t="s">
        <v>489</v>
      </c>
    </row>
    <row r="20" spans="1:4" ht="24" customHeight="1">
      <c r="A20" s="174" t="s">
        <v>455</v>
      </c>
      <c r="B20" s="153" t="s">
        <v>456</v>
      </c>
      <c r="C20" s="153" t="s">
        <v>490</v>
      </c>
      <c r="D20" s="153" t="s">
        <v>491</v>
      </c>
    </row>
    <row r="21" spans="1:4" ht="24" customHeight="1">
      <c r="A21" s="174" t="s">
        <v>455</v>
      </c>
      <c r="B21" s="153" t="s">
        <v>456</v>
      </c>
      <c r="C21" s="153" t="s">
        <v>492</v>
      </c>
      <c r="D21" s="153" t="s">
        <v>493</v>
      </c>
    </row>
    <row r="22" spans="1:4" ht="24" customHeight="1">
      <c r="A22" s="174" t="s">
        <v>455</v>
      </c>
      <c r="B22" s="153" t="s">
        <v>456</v>
      </c>
      <c r="C22" s="153" t="s">
        <v>494</v>
      </c>
      <c r="D22" s="153" t="s">
        <v>495</v>
      </c>
    </row>
    <row r="23" spans="1:4" ht="24" customHeight="1">
      <c r="A23" s="174" t="s">
        <v>455</v>
      </c>
      <c r="B23" s="153" t="s">
        <v>456</v>
      </c>
      <c r="C23" s="153" t="s">
        <v>496</v>
      </c>
      <c r="D23" s="153" t="s">
        <v>497</v>
      </c>
    </row>
    <row r="24" spans="1:4" ht="24" customHeight="1">
      <c r="A24" s="174" t="s">
        <v>455</v>
      </c>
      <c r="B24" s="153" t="s">
        <v>456</v>
      </c>
      <c r="C24" s="153" t="s">
        <v>498</v>
      </c>
      <c r="D24" s="153" t="s">
        <v>499</v>
      </c>
    </row>
    <row r="25" spans="1:4" ht="24" customHeight="1">
      <c r="A25" s="174" t="s">
        <v>455</v>
      </c>
      <c r="B25" s="153" t="s">
        <v>456</v>
      </c>
      <c r="C25" s="153" t="s">
        <v>500</v>
      </c>
      <c r="D25" s="153" t="s">
        <v>501</v>
      </c>
    </row>
    <row r="26" spans="1:4" ht="24" customHeight="1">
      <c r="A26" s="175" t="s">
        <v>3</v>
      </c>
      <c r="B26" s="153" t="s">
        <v>502</v>
      </c>
      <c r="C26" s="153" t="s">
        <v>503</v>
      </c>
      <c r="D26" s="153" t="s">
        <v>504</v>
      </c>
    </row>
    <row r="27" spans="1:4" ht="24" customHeight="1">
      <c r="A27" s="175" t="s">
        <v>3</v>
      </c>
      <c r="B27" s="153" t="s">
        <v>502</v>
      </c>
      <c r="C27" s="153" t="s">
        <v>505</v>
      </c>
      <c r="D27" s="153" t="s">
        <v>506</v>
      </c>
    </row>
    <row r="28" spans="1:4" ht="24" customHeight="1">
      <c r="A28" s="175" t="s">
        <v>3</v>
      </c>
      <c r="B28" s="153" t="s">
        <v>502</v>
      </c>
      <c r="C28" s="153" t="s">
        <v>507</v>
      </c>
      <c r="D28" s="153" t="s">
        <v>508</v>
      </c>
    </row>
    <row r="29" spans="1:4" ht="24" customHeight="1">
      <c r="A29" s="175" t="s">
        <v>3</v>
      </c>
      <c r="B29" s="153" t="s">
        <v>509</v>
      </c>
      <c r="C29" s="153" t="s">
        <v>510</v>
      </c>
      <c r="D29" s="153" t="s">
        <v>511</v>
      </c>
    </row>
    <row r="30" spans="1:4" ht="24" customHeight="1">
      <c r="A30" s="175" t="s">
        <v>3</v>
      </c>
      <c r="B30" s="153" t="s">
        <v>509</v>
      </c>
      <c r="C30" s="153" t="s">
        <v>512</v>
      </c>
      <c r="D30" s="153" t="s">
        <v>513</v>
      </c>
    </row>
    <row r="31" spans="1:4" ht="24" customHeight="1">
      <c r="A31" s="175" t="s">
        <v>3</v>
      </c>
      <c r="B31" s="153" t="s">
        <v>509</v>
      </c>
      <c r="C31" s="153" t="s">
        <v>514</v>
      </c>
      <c r="D31" s="153" t="s">
        <v>515</v>
      </c>
    </row>
    <row r="32" spans="1:4" ht="24" customHeight="1">
      <c r="A32" s="175" t="s">
        <v>3</v>
      </c>
      <c r="B32" s="153" t="s">
        <v>509</v>
      </c>
      <c r="C32" s="153" t="s">
        <v>516</v>
      </c>
      <c r="D32" s="153" t="s">
        <v>517</v>
      </c>
    </row>
    <row r="33" spans="1:4" ht="24" customHeight="1">
      <c r="A33" s="175" t="s">
        <v>3</v>
      </c>
      <c r="B33" s="153" t="s">
        <v>509</v>
      </c>
      <c r="C33" s="153" t="s">
        <v>518</v>
      </c>
      <c r="D33" s="153" t="s">
        <v>519</v>
      </c>
    </row>
    <row r="34" spans="1:4" ht="24" customHeight="1">
      <c r="A34" s="175" t="s">
        <v>3</v>
      </c>
      <c r="B34" s="153" t="s">
        <v>509</v>
      </c>
      <c r="C34" s="153" t="s">
        <v>520</v>
      </c>
      <c r="D34" s="153" t="s">
        <v>521</v>
      </c>
    </row>
    <row r="35" spans="1:4" ht="24" customHeight="1">
      <c r="A35" s="175" t="s">
        <v>3</v>
      </c>
      <c r="B35" s="153" t="s">
        <v>509</v>
      </c>
      <c r="C35" s="153" t="s">
        <v>522</v>
      </c>
      <c r="D35" s="153" t="s">
        <v>523</v>
      </c>
    </row>
    <row r="36" spans="1:4" ht="24" customHeight="1">
      <c r="A36" s="175" t="s">
        <v>3</v>
      </c>
      <c r="B36" s="153" t="s">
        <v>509</v>
      </c>
      <c r="C36" s="153" t="s">
        <v>524</v>
      </c>
      <c r="D36" s="153" t="s">
        <v>525</v>
      </c>
    </row>
    <row r="37" spans="1:4" ht="24" customHeight="1">
      <c r="A37" s="175" t="s">
        <v>3</v>
      </c>
      <c r="B37" s="153" t="s">
        <v>526</v>
      </c>
      <c r="C37" s="153" t="s">
        <v>527</v>
      </c>
      <c r="D37" s="153" t="s">
        <v>528</v>
      </c>
    </row>
    <row r="38" spans="1:4" ht="24" customHeight="1">
      <c r="A38" s="175" t="s">
        <v>3</v>
      </c>
      <c r="B38" s="153" t="s">
        <v>526</v>
      </c>
      <c r="C38" s="153" t="s">
        <v>529</v>
      </c>
      <c r="D38" s="153" t="s">
        <v>530</v>
      </c>
    </row>
    <row r="39" spans="1:4" ht="24" customHeight="1">
      <c r="A39" s="175" t="s">
        <v>3</v>
      </c>
      <c r="B39" s="153" t="s">
        <v>526</v>
      </c>
      <c r="C39" s="153" t="s">
        <v>531</v>
      </c>
      <c r="D39" s="153" t="s">
        <v>532</v>
      </c>
    </row>
    <row r="40" spans="1:4" ht="24" customHeight="1">
      <c r="A40" s="175" t="s">
        <v>3</v>
      </c>
      <c r="B40" s="153" t="s">
        <v>526</v>
      </c>
      <c r="C40" s="153" t="s">
        <v>533</v>
      </c>
      <c r="D40" s="153" t="s">
        <v>534</v>
      </c>
    </row>
    <row r="41" spans="1:4" ht="24" customHeight="1">
      <c r="A41" s="175" t="s">
        <v>3</v>
      </c>
      <c r="B41" s="153" t="s">
        <v>535</v>
      </c>
      <c r="C41" s="153" t="s">
        <v>536</v>
      </c>
      <c r="D41" s="153" t="s">
        <v>537</v>
      </c>
    </row>
    <row r="42" spans="1:4" ht="24" customHeight="1">
      <c r="A42" s="175" t="s">
        <v>3</v>
      </c>
      <c r="B42" s="153" t="s">
        <v>535</v>
      </c>
      <c r="C42" s="153" t="s">
        <v>538</v>
      </c>
      <c r="D42" s="153" t="s">
        <v>539</v>
      </c>
    </row>
    <row r="43" spans="1:4" ht="24" customHeight="1">
      <c r="A43" s="175" t="s">
        <v>3</v>
      </c>
      <c r="B43" s="153" t="s">
        <v>535</v>
      </c>
      <c r="C43" s="153" t="s">
        <v>540</v>
      </c>
      <c r="D43" s="153" t="s">
        <v>541</v>
      </c>
    </row>
    <row r="44" spans="1:4" ht="24" customHeight="1">
      <c r="A44" s="175" t="s">
        <v>3</v>
      </c>
      <c r="B44" s="153" t="s">
        <v>535</v>
      </c>
      <c r="C44" s="153" t="s">
        <v>542</v>
      </c>
      <c r="D44" s="153" t="s">
        <v>543</v>
      </c>
    </row>
    <row r="45" spans="1:4" ht="24" customHeight="1">
      <c r="A45" s="175" t="s">
        <v>3</v>
      </c>
      <c r="B45" s="153" t="s">
        <v>535</v>
      </c>
      <c r="C45" s="153" t="s">
        <v>544</v>
      </c>
      <c r="D45" s="153" t="s">
        <v>545</v>
      </c>
    </row>
    <row r="46" spans="1:4" ht="24" customHeight="1">
      <c r="A46" s="176" t="s">
        <v>7</v>
      </c>
      <c r="B46" s="153" t="s">
        <v>546</v>
      </c>
      <c r="C46" s="153" t="s">
        <v>547</v>
      </c>
      <c r="D46" s="153" t="s">
        <v>548</v>
      </c>
    </row>
    <row r="47" spans="1:4" ht="24" customHeight="1">
      <c r="A47" s="176" t="s">
        <v>7</v>
      </c>
      <c r="B47" s="153" t="s">
        <v>546</v>
      </c>
      <c r="C47" s="153" t="s">
        <v>549</v>
      </c>
      <c r="D47" s="153" t="s">
        <v>550</v>
      </c>
    </row>
    <row r="48" spans="1:4" ht="24" customHeight="1">
      <c r="A48" s="176" t="s">
        <v>7</v>
      </c>
      <c r="B48" s="153" t="s">
        <v>546</v>
      </c>
      <c r="C48" s="153" t="s">
        <v>551</v>
      </c>
      <c r="D48" s="153" t="s">
        <v>552</v>
      </c>
    </row>
    <row r="49" spans="1:4" ht="24" customHeight="1">
      <c r="A49" s="176" t="s">
        <v>7</v>
      </c>
      <c r="B49" s="153" t="s">
        <v>546</v>
      </c>
      <c r="C49" s="153" t="s">
        <v>553</v>
      </c>
      <c r="D49" s="153" t="s">
        <v>554</v>
      </c>
    </row>
    <row r="50" spans="1:4" ht="24" customHeight="1">
      <c r="A50" s="177" t="s">
        <v>10</v>
      </c>
      <c r="B50" s="153" t="s">
        <v>555</v>
      </c>
      <c r="C50" s="153" t="s">
        <v>556</v>
      </c>
      <c r="D50" s="153" t="s">
        <v>557</v>
      </c>
    </row>
    <row r="51" spans="1:4" ht="24" customHeight="1">
      <c r="A51" s="177" t="s">
        <v>10</v>
      </c>
      <c r="B51" s="153" t="s">
        <v>555</v>
      </c>
      <c r="C51" s="153" t="s">
        <v>558</v>
      </c>
      <c r="D51" s="153" t="s">
        <v>559</v>
      </c>
    </row>
    <row r="52" spans="1:4" ht="24" customHeight="1">
      <c r="A52" s="177" t="s">
        <v>10</v>
      </c>
      <c r="B52" s="153" t="s">
        <v>560</v>
      </c>
      <c r="C52" s="153" t="s">
        <v>561</v>
      </c>
      <c r="D52" s="153" t="s">
        <v>562</v>
      </c>
    </row>
    <row r="53" spans="1:4" ht="24" customHeight="1">
      <c r="A53" s="177" t="s">
        <v>10</v>
      </c>
      <c r="B53" s="153" t="s">
        <v>563</v>
      </c>
      <c r="C53" s="153" t="s">
        <v>564</v>
      </c>
      <c r="D53" s="153" t="s">
        <v>565</v>
      </c>
    </row>
    <row r="54" spans="1:4" ht="24" customHeight="1">
      <c r="A54" s="177" t="s">
        <v>10</v>
      </c>
      <c r="B54" s="153" t="s">
        <v>563</v>
      </c>
      <c r="C54" s="153" t="s">
        <v>566</v>
      </c>
      <c r="D54" s="153" t="s">
        <v>567</v>
      </c>
    </row>
    <row r="55" spans="1:4" ht="24" customHeight="1">
      <c r="A55" s="177" t="s">
        <v>10</v>
      </c>
      <c r="B55" s="153" t="s">
        <v>563</v>
      </c>
      <c r="C55" s="153" t="s">
        <v>568</v>
      </c>
      <c r="D55" s="153" t="s">
        <v>569</v>
      </c>
    </row>
    <row r="56" spans="1:4" ht="24" customHeight="1">
      <c r="A56" s="177" t="s">
        <v>10</v>
      </c>
      <c r="B56" s="153" t="s">
        <v>563</v>
      </c>
      <c r="C56" s="153" t="s">
        <v>570</v>
      </c>
      <c r="D56" s="153" t="s">
        <v>571</v>
      </c>
    </row>
    <row r="57" spans="1:4" ht="24" customHeight="1">
      <c r="A57" s="177" t="s">
        <v>10</v>
      </c>
      <c r="B57" s="153" t="s">
        <v>572</v>
      </c>
      <c r="C57" s="153" t="s">
        <v>573</v>
      </c>
      <c r="D57" s="153" t="s">
        <v>574</v>
      </c>
    </row>
    <row r="58" spans="1:4" ht="24" customHeight="1">
      <c r="A58" s="177" t="s">
        <v>10</v>
      </c>
      <c r="B58" s="153" t="s">
        <v>572</v>
      </c>
      <c r="C58" s="153" t="s">
        <v>575</v>
      </c>
      <c r="D58" s="153" t="s">
        <v>576</v>
      </c>
    </row>
    <row r="59" spans="1:4" ht="24" customHeight="1">
      <c r="A59" s="177" t="s">
        <v>10</v>
      </c>
      <c r="B59" s="153" t="s">
        <v>572</v>
      </c>
      <c r="C59" s="153" t="s">
        <v>577</v>
      </c>
      <c r="D59" s="153" t="s">
        <v>578</v>
      </c>
    </row>
    <row r="60" spans="1:4" ht="24" customHeight="1">
      <c r="A60" s="177" t="s">
        <v>10</v>
      </c>
      <c r="B60" s="153" t="s">
        <v>572</v>
      </c>
      <c r="C60" s="153" t="s">
        <v>579</v>
      </c>
      <c r="D60" s="153" t="s">
        <v>580</v>
      </c>
    </row>
    <row r="61" spans="1:4" ht="24" customHeight="1">
      <c r="A61" s="178" t="s">
        <v>5</v>
      </c>
      <c r="B61" s="153" t="s">
        <v>555</v>
      </c>
      <c r="C61" s="153" t="s">
        <v>581</v>
      </c>
      <c r="D61" s="153" t="s">
        <v>582</v>
      </c>
    </row>
    <row r="62" spans="1:4" ht="24" customHeight="1">
      <c r="A62" s="178" t="s">
        <v>5</v>
      </c>
      <c r="B62" s="153" t="s">
        <v>555</v>
      </c>
      <c r="C62" s="153" t="s">
        <v>583</v>
      </c>
      <c r="D62" s="153" t="s">
        <v>584</v>
      </c>
    </row>
    <row r="63" spans="1:4" ht="24" customHeight="1">
      <c r="A63" s="178" t="s">
        <v>5</v>
      </c>
      <c r="B63" s="153" t="s">
        <v>560</v>
      </c>
      <c r="C63" s="153" t="s">
        <v>585</v>
      </c>
      <c r="D63" s="153" t="s">
        <v>586</v>
      </c>
    </row>
    <row r="64" spans="1:4" ht="24" customHeight="1">
      <c r="A64" s="178" t="s">
        <v>5</v>
      </c>
      <c r="B64" s="153" t="s">
        <v>560</v>
      </c>
      <c r="C64" s="153" t="s">
        <v>587</v>
      </c>
      <c r="D64" s="153" t="s">
        <v>588</v>
      </c>
    </row>
    <row r="65" spans="1:4" ht="24" customHeight="1">
      <c r="A65" s="178" t="s">
        <v>5</v>
      </c>
      <c r="B65" s="153" t="s">
        <v>572</v>
      </c>
      <c r="C65" s="153" t="s">
        <v>589</v>
      </c>
      <c r="D65" s="153" t="s">
        <v>590</v>
      </c>
    </row>
    <row r="66" spans="1:4" ht="24" customHeight="1">
      <c r="A66" s="178" t="s">
        <v>5</v>
      </c>
      <c r="B66" s="153" t="s">
        <v>572</v>
      </c>
      <c r="C66" s="153" t="s">
        <v>591</v>
      </c>
      <c r="D66" s="153" t="s">
        <v>592</v>
      </c>
    </row>
    <row r="67" spans="1:4" ht="24" customHeight="1">
      <c r="A67" s="178" t="s">
        <v>5</v>
      </c>
      <c r="B67" s="153" t="s">
        <v>572</v>
      </c>
      <c r="C67" s="153" t="s">
        <v>593</v>
      </c>
      <c r="D67" s="153" t="s">
        <v>594</v>
      </c>
    </row>
    <row r="68" spans="1:4" ht="24" customHeight="1">
      <c r="A68" s="178" t="s">
        <v>5</v>
      </c>
      <c r="B68" s="153" t="s">
        <v>572</v>
      </c>
      <c r="C68" s="153" t="s">
        <v>595</v>
      </c>
      <c r="D68" s="153" t="s">
        <v>596</v>
      </c>
    </row>
    <row r="69" spans="1:4" ht="24" customHeight="1">
      <c r="A69" s="178" t="s">
        <v>5</v>
      </c>
      <c r="B69" s="153" t="s">
        <v>572</v>
      </c>
      <c r="C69" s="153" t="s">
        <v>597</v>
      </c>
      <c r="D69" s="153" t="s">
        <v>598</v>
      </c>
    </row>
    <row r="70" spans="1:4" ht="24" customHeight="1">
      <c r="A70" s="179" t="s">
        <v>6</v>
      </c>
      <c r="B70" s="153" t="s">
        <v>555</v>
      </c>
      <c r="C70" s="153" t="s">
        <v>599</v>
      </c>
      <c r="D70" s="153" t="s">
        <v>600</v>
      </c>
    </row>
    <row r="71" spans="1:4" ht="24" customHeight="1">
      <c r="A71" s="179" t="s">
        <v>6</v>
      </c>
      <c r="B71" s="153" t="s">
        <v>555</v>
      </c>
      <c r="C71" s="153" t="s">
        <v>601</v>
      </c>
      <c r="D71" s="153" t="s">
        <v>602</v>
      </c>
    </row>
    <row r="72" spans="1:4" ht="24" customHeight="1">
      <c r="A72" s="179" t="s">
        <v>6</v>
      </c>
      <c r="B72" s="153" t="s">
        <v>560</v>
      </c>
      <c r="C72" s="153" t="s">
        <v>603</v>
      </c>
      <c r="D72" s="153" t="s">
        <v>604</v>
      </c>
    </row>
    <row r="73" spans="1:4" ht="24" customHeight="1">
      <c r="A73" s="179" t="s">
        <v>6</v>
      </c>
      <c r="B73" s="153" t="s">
        <v>605</v>
      </c>
      <c r="C73" s="153" t="s">
        <v>606</v>
      </c>
      <c r="D73" s="153" t="s">
        <v>607</v>
      </c>
    </row>
    <row r="74" spans="1:4" ht="24" customHeight="1">
      <c r="A74" s="179" t="s">
        <v>6</v>
      </c>
      <c r="B74" s="153" t="s">
        <v>605</v>
      </c>
      <c r="C74" s="153" t="s">
        <v>608</v>
      </c>
      <c r="D74" s="153" t="s">
        <v>609</v>
      </c>
    </row>
    <row r="75" spans="1:4" ht="24" customHeight="1">
      <c r="A75" s="179" t="s">
        <v>6</v>
      </c>
      <c r="B75" s="153" t="s">
        <v>610</v>
      </c>
      <c r="C75" s="153" t="s">
        <v>611</v>
      </c>
      <c r="D75" s="153" t="s">
        <v>612</v>
      </c>
    </row>
    <row r="76" spans="1:4" ht="24" customHeight="1">
      <c r="A76" s="179" t="s">
        <v>6</v>
      </c>
      <c r="B76" s="153" t="s">
        <v>610</v>
      </c>
      <c r="C76" s="153" t="s">
        <v>613</v>
      </c>
      <c r="D76" s="153" t="s">
        <v>614</v>
      </c>
    </row>
    <row r="77" spans="1:4" ht="24" customHeight="1">
      <c r="A77" s="179" t="s">
        <v>6</v>
      </c>
      <c r="B77" s="153" t="s">
        <v>572</v>
      </c>
      <c r="C77" s="153" t="s">
        <v>615</v>
      </c>
      <c r="D77" s="153" t="s">
        <v>616</v>
      </c>
    </row>
    <row r="78" spans="1:4" ht="24" customHeight="1">
      <c r="A78" s="179" t="s">
        <v>6</v>
      </c>
      <c r="B78" s="153" t="s">
        <v>572</v>
      </c>
      <c r="C78" s="153" t="s">
        <v>617</v>
      </c>
      <c r="D78" s="153" t="s">
        <v>618</v>
      </c>
    </row>
    <row r="79" spans="1:4" ht="24" customHeight="1">
      <c r="A79" s="179" t="s">
        <v>6</v>
      </c>
      <c r="B79" s="153" t="s">
        <v>572</v>
      </c>
      <c r="C79" s="153" t="s">
        <v>619</v>
      </c>
      <c r="D79" s="153" t="s">
        <v>620</v>
      </c>
    </row>
    <row r="80" spans="1:4" ht="24" customHeight="1">
      <c r="A80" s="179" t="s">
        <v>6</v>
      </c>
      <c r="B80" s="153" t="s">
        <v>572</v>
      </c>
      <c r="C80" s="153" t="s">
        <v>621</v>
      </c>
      <c r="D80" s="153" t="s">
        <v>622</v>
      </c>
    </row>
    <row r="81" spans="1:4" ht="24" customHeight="1">
      <c r="A81" s="179" t="s">
        <v>6</v>
      </c>
      <c r="B81" s="153" t="s">
        <v>572</v>
      </c>
      <c r="C81" s="153" t="s">
        <v>623</v>
      </c>
      <c r="D81" s="153" t="s">
        <v>624</v>
      </c>
    </row>
    <row r="82" spans="1:4" ht="24" customHeight="1">
      <c r="A82" s="179" t="s">
        <v>6</v>
      </c>
      <c r="B82" s="153" t="s">
        <v>572</v>
      </c>
      <c r="C82" s="153" t="s">
        <v>625</v>
      </c>
      <c r="D82" s="153" t="s">
        <v>626</v>
      </c>
    </row>
    <row r="83" spans="1:4" ht="24" customHeight="1">
      <c r="A83" s="180" t="s">
        <v>4</v>
      </c>
      <c r="B83" s="153" t="s">
        <v>555</v>
      </c>
      <c r="C83" s="153" t="s">
        <v>488</v>
      </c>
      <c r="D83" s="153" t="s">
        <v>627</v>
      </c>
    </row>
    <row r="84" spans="1:4" ht="24" customHeight="1">
      <c r="A84" s="180" t="s">
        <v>4</v>
      </c>
      <c r="B84" s="153" t="s">
        <v>555</v>
      </c>
      <c r="C84" s="153" t="s">
        <v>628</v>
      </c>
      <c r="D84" s="153" t="s">
        <v>629</v>
      </c>
    </row>
    <row r="85" spans="1:4" ht="24" customHeight="1">
      <c r="A85" s="180" t="s">
        <v>4</v>
      </c>
      <c r="B85" s="153" t="s">
        <v>555</v>
      </c>
      <c r="C85" s="153" t="s">
        <v>630</v>
      </c>
      <c r="D85" s="153" t="s">
        <v>631</v>
      </c>
    </row>
    <row r="86" spans="1:4" ht="24" customHeight="1">
      <c r="A86" s="180" t="s">
        <v>4</v>
      </c>
      <c r="B86" s="153" t="s">
        <v>560</v>
      </c>
      <c r="C86" s="153" t="s">
        <v>632</v>
      </c>
      <c r="D86" s="153" t="s">
        <v>633</v>
      </c>
    </row>
    <row r="87" spans="1:4" ht="24" customHeight="1">
      <c r="A87" s="180" t="s">
        <v>4</v>
      </c>
      <c r="B87" s="153" t="s">
        <v>560</v>
      </c>
      <c r="C87" s="153" t="s">
        <v>634</v>
      </c>
      <c r="D87" s="153" t="s">
        <v>635</v>
      </c>
    </row>
    <row r="88" spans="1:4" ht="24" customHeight="1">
      <c r="A88" s="180" t="s">
        <v>4</v>
      </c>
      <c r="B88" s="153" t="s">
        <v>560</v>
      </c>
      <c r="C88" s="153" t="s">
        <v>636</v>
      </c>
      <c r="D88" s="153" t="s">
        <v>637</v>
      </c>
    </row>
    <row r="89" spans="1:4" ht="24" customHeight="1">
      <c r="A89" s="180" t="s">
        <v>4</v>
      </c>
      <c r="B89" s="153" t="s">
        <v>560</v>
      </c>
      <c r="C89" s="153" t="s">
        <v>638</v>
      </c>
      <c r="D89" s="153" t="s">
        <v>639</v>
      </c>
    </row>
    <row r="90" spans="1:4" ht="24" customHeight="1">
      <c r="A90" s="180" t="s">
        <v>4</v>
      </c>
      <c r="B90" s="153" t="s">
        <v>560</v>
      </c>
      <c r="C90" s="153" t="s">
        <v>640</v>
      </c>
      <c r="D90" s="153" t="s">
        <v>641</v>
      </c>
    </row>
    <row r="91" spans="1:4" ht="24" customHeight="1">
      <c r="A91" s="180" t="s">
        <v>4</v>
      </c>
      <c r="B91" s="153" t="s">
        <v>642</v>
      </c>
      <c r="C91" s="153" t="s">
        <v>643</v>
      </c>
      <c r="D91" s="153" t="s">
        <v>644</v>
      </c>
    </row>
    <row r="92" spans="1:4" ht="24" customHeight="1">
      <c r="A92" s="180" t="s">
        <v>4</v>
      </c>
      <c r="B92" s="153" t="s">
        <v>642</v>
      </c>
      <c r="C92" s="153" t="s">
        <v>645</v>
      </c>
      <c r="D92" s="153" t="s">
        <v>646</v>
      </c>
    </row>
    <row r="93" spans="1:4" ht="24" customHeight="1">
      <c r="A93" s="180" t="s">
        <v>4</v>
      </c>
      <c r="B93" s="153" t="s">
        <v>572</v>
      </c>
      <c r="C93" s="153" t="s">
        <v>647</v>
      </c>
      <c r="D93" s="153" t="s">
        <v>648</v>
      </c>
    </row>
    <row r="94" spans="1:4" ht="24" customHeight="1">
      <c r="A94" s="180" t="s">
        <v>4</v>
      </c>
      <c r="B94" s="153" t="s">
        <v>572</v>
      </c>
      <c r="C94" s="153" t="s">
        <v>649</v>
      </c>
      <c r="D94" s="153" t="s">
        <v>650</v>
      </c>
    </row>
    <row r="95" spans="1:4" ht="24" customHeight="1">
      <c r="A95" s="180" t="s">
        <v>4</v>
      </c>
      <c r="B95" s="153" t="s">
        <v>651</v>
      </c>
      <c r="C95" s="153" t="s">
        <v>652</v>
      </c>
      <c r="D95" s="153" t="s">
        <v>653</v>
      </c>
    </row>
    <row r="96" spans="1:4" ht="24" customHeight="1">
      <c r="A96" s="180" t="s">
        <v>4</v>
      </c>
      <c r="B96" s="153" t="s">
        <v>651</v>
      </c>
      <c r="C96" s="153" t="s">
        <v>654</v>
      </c>
      <c r="D96" s="153" t="s">
        <v>655</v>
      </c>
    </row>
    <row r="97" spans="1:4" ht="24" customHeight="1">
      <c r="A97" s="180" t="s">
        <v>4</v>
      </c>
      <c r="B97" s="153" t="s">
        <v>651</v>
      </c>
      <c r="C97" s="153" t="s">
        <v>656</v>
      </c>
      <c r="D97" s="153" t="s">
        <v>657</v>
      </c>
    </row>
    <row r="98" spans="1:4" ht="24" customHeight="1">
      <c r="A98" s="180" t="s">
        <v>4</v>
      </c>
      <c r="B98" s="153" t="s">
        <v>651</v>
      </c>
      <c r="C98" s="153" t="s">
        <v>658</v>
      </c>
      <c r="D98" s="153" t="s">
        <v>659</v>
      </c>
    </row>
    <row r="99" spans="1:4" ht="24" customHeight="1">
      <c r="A99" s="180" t="s">
        <v>4</v>
      </c>
      <c r="B99" s="153" t="s">
        <v>651</v>
      </c>
      <c r="C99" s="153" t="s">
        <v>660</v>
      </c>
      <c r="D99" s="153" t="s">
        <v>661</v>
      </c>
    </row>
    <row r="100" spans="1:4" ht="24" customHeight="1">
      <c r="A100" s="180" t="s">
        <v>4</v>
      </c>
      <c r="B100" s="153" t="s">
        <v>651</v>
      </c>
      <c r="C100" s="153" t="s">
        <v>662</v>
      </c>
      <c r="D100" s="153" t="s">
        <v>663</v>
      </c>
    </row>
    <row r="101" spans="1:4" ht="24" customHeight="1">
      <c r="A101" s="181" t="s">
        <v>9</v>
      </c>
      <c r="B101" s="153" t="s">
        <v>664</v>
      </c>
      <c r="C101" s="153" t="s">
        <v>665</v>
      </c>
      <c r="D101" s="153" t="s">
        <v>666</v>
      </c>
    </row>
    <row r="102" spans="1:4" ht="24" customHeight="1">
      <c r="A102" s="181" t="s">
        <v>9</v>
      </c>
      <c r="B102" s="153" t="s">
        <v>664</v>
      </c>
      <c r="C102" s="153" t="s">
        <v>667</v>
      </c>
      <c r="D102" s="153" t="s">
        <v>668</v>
      </c>
    </row>
    <row r="103" spans="1:4" ht="24" customHeight="1">
      <c r="A103" s="181" t="s">
        <v>9</v>
      </c>
      <c r="B103" s="153" t="s">
        <v>664</v>
      </c>
      <c r="C103" s="153" t="s">
        <v>669</v>
      </c>
      <c r="D103" s="153" t="s">
        <v>670</v>
      </c>
    </row>
    <row r="104" spans="1:4" ht="24" customHeight="1">
      <c r="A104" s="181" t="s">
        <v>9</v>
      </c>
      <c r="B104" s="153" t="s">
        <v>664</v>
      </c>
      <c r="C104" s="153" t="s">
        <v>671</v>
      </c>
      <c r="D104" s="153" t="s">
        <v>672</v>
      </c>
    </row>
    <row r="105" spans="1:4" ht="24" customHeight="1">
      <c r="A105" s="181" t="s">
        <v>9</v>
      </c>
      <c r="B105" s="153" t="s">
        <v>673</v>
      </c>
      <c r="C105" s="153" t="s">
        <v>674</v>
      </c>
      <c r="D105" s="153" t="s">
        <v>675</v>
      </c>
    </row>
    <row r="106" spans="1:4" ht="24" customHeight="1">
      <c r="A106" s="181" t="s">
        <v>9</v>
      </c>
      <c r="B106" s="153" t="s">
        <v>673</v>
      </c>
      <c r="C106" s="153" t="s">
        <v>676</v>
      </c>
      <c r="D106" s="153" t="s">
        <v>677</v>
      </c>
    </row>
    <row r="107" spans="1:4" ht="24" customHeight="1">
      <c r="A107" s="181" t="s">
        <v>9</v>
      </c>
      <c r="B107" s="153" t="s">
        <v>673</v>
      </c>
      <c r="C107" s="153" t="s">
        <v>678</v>
      </c>
      <c r="D107" s="153" t="s">
        <v>679</v>
      </c>
    </row>
    <row r="108" spans="1:4" ht="24" customHeight="1">
      <c r="A108" s="181" t="s">
        <v>9</v>
      </c>
      <c r="B108" s="153" t="s">
        <v>673</v>
      </c>
      <c r="C108" s="153" t="s">
        <v>680</v>
      </c>
      <c r="D108" s="153" t="s">
        <v>681</v>
      </c>
    </row>
    <row r="109" spans="1:4" ht="24" customHeight="1">
      <c r="A109" s="181" t="s">
        <v>9</v>
      </c>
      <c r="B109" s="153" t="s">
        <v>673</v>
      </c>
      <c r="C109" s="153" t="s">
        <v>682</v>
      </c>
      <c r="D109" s="153" t="s">
        <v>683</v>
      </c>
    </row>
    <row r="110" spans="1:4" ht="24" customHeight="1">
      <c r="A110" s="181" t="s">
        <v>9</v>
      </c>
      <c r="B110" s="153" t="s">
        <v>673</v>
      </c>
      <c r="C110" s="153" t="s">
        <v>684</v>
      </c>
      <c r="D110" s="153" t="s">
        <v>685</v>
      </c>
    </row>
    <row r="111" spans="1:4" ht="24" customHeight="1">
      <c r="A111" s="181" t="s">
        <v>9</v>
      </c>
      <c r="B111" s="153" t="s">
        <v>673</v>
      </c>
      <c r="C111" s="153" t="s">
        <v>686</v>
      </c>
      <c r="D111" s="153" t="s">
        <v>687</v>
      </c>
    </row>
    <row r="112" spans="1:4" ht="24" customHeight="1">
      <c r="A112" s="181" t="s">
        <v>9</v>
      </c>
      <c r="B112" s="153" t="s">
        <v>673</v>
      </c>
      <c r="C112" s="153" t="s">
        <v>688</v>
      </c>
      <c r="D112" s="153" t="s">
        <v>689</v>
      </c>
    </row>
    <row r="113" spans="1:4" ht="24" customHeight="1">
      <c r="A113" s="182" t="s">
        <v>8</v>
      </c>
      <c r="B113" s="153" t="s">
        <v>690</v>
      </c>
      <c r="C113" s="153" t="s">
        <v>691</v>
      </c>
      <c r="D113" s="153" t="s">
        <v>692</v>
      </c>
    </row>
    <row r="114" spans="1:4" ht="24" customHeight="1">
      <c r="A114" s="182" t="s">
        <v>8</v>
      </c>
      <c r="B114" s="153" t="s">
        <v>690</v>
      </c>
      <c r="C114" s="153" t="s">
        <v>693</v>
      </c>
      <c r="D114" s="153" t="s">
        <v>694</v>
      </c>
    </row>
    <row r="115" spans="1:4" ht="24" customHeight="1">
      <c r="A115" s="182" t="s">
        <v>8</v>
      </c>
      <c r="B115" s="153" t="s">
        <v>690</v>
      </c>
      <c r="C115" s="153" t="s">
        <v>695</v>
      </c>
      <c r="D115" s="153" t="s">
        <v>696</v>
      </c>
    </row>
    <row r="116" spans="1:4" ht="24" customHeight="1">
      <c r="A116" s="182" t="s">
        <v>8</v>
      </c>
      <c r="B116" s="153" t="s">
        <v>690</v>
      </c>
      <c r="C116" s="153" t="s">
        <v>697</v>
      </c>
      <c r="D116" s="153" t="s">
        <v>698</v>
      </c>
    </row>
    <row r="117" spans="1:4" ht="24" customHeight="1">
      <c r="A117" s="182" t="s">
        <v>8</v>
      </c>
      <c r="B117" s="153" t="s">
        <v>699</v>
      </c>
      <c r="C117" s="153" t="s">
        <v>700</v>
      </c>
      <c r="D117" s="153" t="s">
        <v>701</v>
      </c>
    </row>
    <row r="118" spans="1:4" ht="24" customHeight="1">
      <c r="A118" s="182" t="s">
        <v>8</v>
      </c>
      <c r="B118" s="153" t="s">
        <v>699</v>
      </c>
      <c r="C118" s="153" t="s">
        <v>702</v>
      </c>
      <c r="D118" s="153" t="s">
        <v>703</v>
      </c>
    </row>
    <row r="119" spans="1:4" ht="24" customHeight="1">
      <c r="A119" s="182" t="s">
        <v>8</v>
      </c>
      <c r="B119" s="153" t="s">
        <v>699</v>
      </c>
      <c r="C119" s="153" t="s">
        <v>704</v>
      </c>
      <c r="D119" s="153" t="s">
        <v>705</v>
      </c>
    </row>
    <row r="120" spans="1:4" ht="24" customHeight="1">
      <c r="A120" s="182" t="s">
        <v>8</v>
      </c>
      <c r="B120" s="153" t="s">
        <v>699</v>
      </c>
      <c r="C120" s="153" t="s">
        <v>706</v>
      </c>
      <c r="D120" s="153" t="s">
        <v>707</v>
      </c>
    </row>
    <row r="121" spans="1:4" ht="24" customHeight="1">
      <c r="A121" s="182" t="s">
        <v>8</v>
      </c>
      <c r="B121" s="153" t="s">
        <v>708</v>
      </c>
      <c r="C121" s="153" t="s">
        <v>709</v>
      </c>
      <c r="D121" s="153" t="s">
        <v>710</v>
      </c>
    </row>
    <row r="122" spans="1:4" ht="24" customHeight="1">
      <c r="A122" s="182" t="s">
        <v>8</v>
      </c>
      <c r="B122" s="153" t="s">
        <v>708</v>
      </c>
      <c r="C122" s="153" t="s">
        <v>711</v>
      </c>
      <c r="D122" s="153" t="s">
        <v>712</v>
      </c>
    </row>
    <row r="123" spans="1:4" ht="24" customHeight="1">
      <c r="A123" s="182" t="s">
        <v>8</v>
      </c>
      <c r="B123" s="153" t="s">
        <v>708</v>
      </c>
      <c r="C123" s="153" t="s">
        <v>713</v>
      </c>
      <c r="D123" s="153" t="s">
        <v>714</v>
      </c>
    </row>
    <row r="124" spans="1:4" ht="24" customHeight="1">
      <c r="A124" s="182" t="s">
        <v>8</v>
      </c>
      <c r="B124" s="153" t="s">
        <v>708</v>
      </c>
      <c r="C124" s="153" t="s">
        <v>715</v>
      </c>
      <c r="D124" s="153" t="s">
        <v>716</v>
      </c>
    </row>
    <row r="125" spans="1:4" ht="24" customHeight="1">
      <c r="A125" s="182" t="s">
        <v>8</v>
      </c>
      <c r="B125" s="153" t="s">
        <v>717</v>
      </c>
      <c r="C125" s="153" t="s">
        <v>718</v>
      </c>
      <c r="D125" s="153" t="s">
        <v>719</v>
      </c>
    </row>
    <row r="126" spans="1:4" ht="24" customHeight="1">
      <c r="A126" s="182" t="s">
        <v>8</v>
      </c>
      <c r="B126" s="153" t="s">
        <v>717</v>
      </c>
      <c r="C126" s="153" t="s">
        <v>720</v>
      </c>
      <c r="D126" s="153" t="s">
        <v>721</v>
      </c>
    </row>
    <row r="127" spans="1:4" ht="24" customHeight="1">
      <c r="A127" s="182" t="s">
        <v>8</v>
      </c>
      <c r="B127" s="153" t="s">
        <v>717</v>
      </c>
      <c r="C127" s="153" t="s">
        <v>722</v>
      </c>
      <c r="D127" s="153" t="s">
        <v>723</v>
      </c>
    </row>
    <row r="128" spans="1:4" ht="24" customHeight="1">
      <c r="A128" s="182" t="s">
        <v>8</v>
      </c>
      <c r="B128" s="153" t="s">
        <v>717</v>
      </c>
      <c r="C128" s="153" t="s">
        <v>724</v>
      </c>
      <c r="D128" s="153" t="s">
        <v>725</v>
      </c>
    </row>
    <row r="129" spans="1:4" ht="24" customHeight="1">
      <c r="A129" s="182" t="s">
        <v>8</v>
      </c>
      <c r="B129" s="153" t="s">
        <v>726</v>
      </c>
      <c r="C129" s="153" t="s">
        <v>727</v>
      </c>
      <c r="D129" s="153" t="s">
        <v>728</v>
      </c>
    </row>
    <row r="130" spans="1:4" ht="24" customHeight="1">
      <c r="A130" s="182" t="s">
        <v>8</v>
      </c>
      <c r="B130" s="153" t="s">
        <v>726</v>
      </c>
      <c r="C130" s="153" t="s">
        <v>729</v>
      </c>
      <c r="D130" s="153" t="s">
        <v>730</v>
      </c>
    </row>
    <row r="131" spans="1:4" ht="24" customHeight="1">
      <c r="A131" s="182" t="s">
        <v>8</v>
      </c>
      <c r="B131" s="153" t="s">
        <v>726</v>
      </c>
      <c r="C131" s="153" t="s">
        <v>731</v>
      </c>
      <c r="D131" s="153" t="s">
        <v>732</v>
      </c>
    </row>
    <row r="132" spans="1:4" ht="24" customHeight="1">
      <c r="A132" s="182" t="s">
        <v>8</v>
      </c>
      <c r="B132" s="153" t="s">
        <v>726</v>
      </c>
      <c r="C132" s="153" t="s">
        <v>733</v>
      </c>
      <c r="D132" s="153" t="s">
        <v>734</v>
      </c>
    </row>
    <row r="133" spans="1:4" ht="24" customHeight="1">
      <c r="A133" s="183" t="s">
        <v>447</v>
      </c>
      <c r="B133" s="153" t="s">
        <v>735</v>
      </c>
      <c r="C133" s="153" t="s">
        <v>736</v>
      </c>
      <c r="D133" s="153" t="s">
        <v>737</v>
      </c>
    </row>
    <row r="134" spans="1:4" ht="24" customHeight="1">
      <c r="A134" s="183" t="s">
        <v>447</v>
      </c>
      <c r="B134" s="153" t="s">
        <v>735</v>
      </c>
      <c r="C134" s="153" t="s">
        <v>738</v>
      </c>
      <c r="D134" s="153" t="s">
        <v>739</v>
      </c>
    </row>
    <row r="135" spans="1:4" ht="24" customHeight="1">
      <c r="A135" s="183" t="s">
        <v>447</v>
      </c>
      <c r="B135" s="153" t="s">
        <v>735</v>
      </c>
      <c r="C135" s="153" t="s">
        <v>740</v>
      </c>
      <c r="D135" s="153" t="s">
        <v>741</v>
      </c>
    </row>
    <row r="136" spans="1:4" ht="24" customHeight="1">
      <c r="A136" s="183" t="s">
        <v>447</v>
      </c>
      <c r="B136" s="153" t="s">
        <v>742</v>
      </c>
      <c r="C136" s="153" t="s">
        <v>743</v>
      </c>
      <c r="D136" s="153" t="s">
        <v>744</v>
      </c>
    </row>
    <row r="137" spans="1:4" ht="24" customHeight="1">
      <c r="A137" s="183" t="s">
        <v>447</v>
      </c>
      <c r="B137" s="153" t="s">
        <v>742</v>
      </c>
      <c r="C137" s="153" t="s">
        <v>745</v>
      </c>
      <c r="D137" s="153" t="s">
        <v>746</v>
      </c>
    </row>
    <row r="138" spans="1:4" ht="24" customHeight="1">
      <c r="A138" s="183" t="s">
        <v>447</v>
      </c>
      <c r="B138" s="153" t="s">
        <v>742</v>
      </c>
      <c r="C138" s="153" t="s">
        <v>747</v>
      </c>
      <c r="D138" s="153" t="s">
        <v>748</v>
      </c>
    </row>
    <row r="139" spans="1:4" ht="24" customHeight="1">
      <c r="A139" s="183" t="s">
        <v>447</v>
      </c>
      <c r="B139" s="153" t="s">
        <v>742</v>
      </c>
      <c r="C139" s="153" t="s">
        <v>749</v>
      </c>
      <c r="D139" s="153" t="s">
        <v>750</v>
      </c>
    </row>
    <row r="140" spans="1:4" ht="24" customHeight="1">
      <c r="A140" s="183" t="s">
        <v>447</v>
      </c>
      <c r="B140" s="153" t="s">
        <v>742</v>
      </c>
      <c r="C140" s="153" t="s">
        <v>751</v>
      </c>
      <c r="D140" s="153" t="s">
        <v>752</v>
      </c>
    </row>
    <row r="141" spans="1:4" ht="24" customHeight="1">
      <c r="A141" s="183" t="s">
        <v>447</v>
      </c>
      <c r="B141" s="153" t="s">
        <v>753</v>
      </c>
      <c r="C141" s="153" t="s">
        <v>754</v>
      </c>
      <c r="D141" s="153" t="s">
        <v>755</v>
      </c>
    </row>
    <row r="142" spans="1:4" ht="24" customHeight="1">
      <c r="A142" s="183" t="s">
        <v>447</v>
      </c>
      <c r="B142" s="153" t="s">
        <v>753</v>
      </c>
      <c r="C142" s="153" t="s">
        <v>756</v>
      </c>
      <c r="D142" s="153" t="s">
        <v>757</v>
      </c>
    </row>
    <row r="143" spans="1:4" ht="24" customHeight="1">
      <c r="A143" s="183" t="s">
        <v>447</v>
      </c>
      <c r="B143" s="153" t="s">
        <v>753</v>
      </c>
      <c r="C143" s="153" t="s">
        <v>758</v>
      </c>
      <c r="D143" s="153" t="s">
        <v>759</v>
      </c>
    </row>
    <row r="144" spans="1:4" ht="24" customHeight="1">
      <c r="A144" s="183" t="s">
        <v>447</v>
      </c>
      <c r="B144" s="153" t="s">
        <v>753</v>
      </c>
      <c r="C144" s="153" t="s">
        <v>760</v>
      </c>
      <c r="D144" s="153" t="s">
        <v>761</v>
      </c>
    </row>
    <row r="145" spans="1:4" ht="24" customHeight="1">
      <c r="A145" s="183" t="s">
        <v>447</v>
      </c>
      <c r="B145" s="153" t="s">
        <v>753</v>
      </c>
      <c r="C145" s="153" t="s">
        <v>762</v>
      </c>
      <c r="D145" s="153" t="s">
        <v>763</v>
      </c>
    </row>
    <row r="146" spans="1:4" ht="24" customHeight="1">
      <c r="A146" s="183" t="s">
        <v>447</v>
      </c>
      <c r="B146" s="153" t="s">
        <v>764</v>
      </c>
      <c r="C146" s="153" t="s">
        <v>765</v>
      </c>
      <c r="D146" s="153" t="s">
        <v>766</v>
      </c>
    </row>
    <row r="147" spans="1:4" ht="24" customHeight="1">
      <c r="A147" s="183" t="s">
        <v>447</v>
      </c>
      <c r="B147" s="153" t="s">
        <v>764</v>
      </c>
      <c r="C147" s="153" t="s">
        <v>767</v>
      </c>
      <c r="D147" s="153" t="s">
        <v>768</v>
      </c>
    </row>
    <row r="148" spans="1:4" ht="24" customHeight="1">
      <c r="A148" s="183" t="s">
        <v>447</v>
      </c>
      <c r="B148" s="153" t="s">
        <v>764</v>
      </c>
      <c r="C148" s="153" t="s">
        <v>769</v>
      </c>
      <c r="D148" s="153" t="s">
        <v>770</v>
      </c>
    </row>
    <row r="149" spans="1:4" ht="24" customHeight="1">
      <c r="A149" s="183" t="s">
        <v>447</v>
      </c>
      <c r="B149" s="153" t="s">
        <v>764</v>
      </c>
      <c r="C149" s="153" t="s">
        <v>771</v>
      </c>
      <c r="D149" s="153" t="s">
        <v>772</v>
      </c>
    </row>
    <row r="150" spans="1:4" ht="24" customHeight="1">
      <c r="A150" s="183" t="s">
        <v>447</v>
      </c>
      <c r="B150" s="153" t="s">
        <v>764</v>
      </c>
      <c r="C150" s="153" t="s">
        <v>773</v>
      </c>
      <c r="D150" s="153" t="s">
        <v>774</v>
      </c>
    </row>
    <row r="151" spans="1:4" ht="24" customHeight="1">
      <c r="A151" s="183" t="s">
        <v>447</v>
      </c>
      <c r="B151" s="153" t="s">
        <v>764</v>
      </c>
      <c r="C151" s="153" t="s">
        <v>775</v>
      </c>
      <c r="D151" s="153" t="s">
        <v>776</v>
      </c>
    </row>
    <row r="152" spans="1:4" ht="24" customHeight="1">
      <c r="A152" s="183" t="s">
        <v>447</v>
      </c>
      <c r="B152" s="153" t="s">
        <v>764</v>
      </c>
      <c r="C152" s="153" t="s">
        <v>777</v>
      </c>
      <c r="D152" s="153" t="s">
        <v>778</v>
      </c>
    </row>
    <row r="153" spans="1:4" ht="24" customHeight="1">
      <c r="A153" s="183" t="s">
        <v>447</v>
      </c>
      <c r="B153" s="153" t="s">
        <v>764</v>
      </c>
      <c r="C153" s="153" t="s">
        <v>779</v>
      </c>
      <c r="D153" s="153" t="s">
        <v>780</v>
      </c>
    </row>
    <row r="154" spans="1:4" ht="24" customHeight="1">
      <c r="A154" s="183" t="s">
        <v>447</v>
      </c>
      <c r="B154" s="153" t="s">
        <v>781</v>
      </c>
      <c r="C154" s="153" t="s">
        <v>782</v>
      </c>
      <c r="D154" s="153" t="s">
        <v>783</v>
      </c>
    </row>
    <row r="155" spans="1:4" ht="24" customHeight="1">
      <c r="A155" s="183" t="s">
        <v>447</v>
      </c>
      <c r="B155" s="153" t="s">
        <v>781</v>
      </c>
      <c r="C155" s="153" t="s">
        <v>784</v>
      </c>
      <c r="D155" s="153" t="s">
        <v>785</v>
      </c>
    </row>
    <row r="156" spans="1:4" ht="24" customHeight="1">
      <c r="A156" s="183" t="s">
        <v>447</v>
      </c>
      <c r="B156" s="153" t="s">
        <v>781</v>
      </c>
      <c r="C156" s="153" t="s">
        <v>786</v>
      </c>
      <c r="D156" s="153" t="s">
        <v>787</v>
      </c>
    </row>
    <row r="157" spans="1:4" ht="24" customHeight="1">
      <c r="A157" s="183" t="s">
        <v>447</v>
      </c>
      <c r="B157" s="153" t="s">
        <v>781</v>
      </c>
      <c r="C157" s="153" t="s">
        <v>788</v>
      </c>
      <c r="D157" s="153" t="s">
        <v>789</v>
      </c>
    </row>
    <row r="158" spans="1:4" ht="24" customHeight="1">
      <c r="A158" s="183" t="s">
        <v>447</v>
      </c>
      <c r="B158" s="153" t="s">
        <v>790</v>
      </c>
      <c r="C158" s="153" t="s">
        <v>791</v>
      </c>
      <c r="D158" s="153" t="s">
        <v>792</v>
      </c>
    </row>
    <row r="159" spans="1:4" ht="24" customHeight="1">
      <c r="A159" s="183" t="s">
        <v>447</v>
      </c>
      <c r="B159" s="153" t="s">
        <v>790</v>
      </c>
      <c r="C159" s="153" t="s">
        <v>793</v>
      </c>
      <c r="D159" s="153" t="s">
        <v>794</v>
      </c>
    </row>
  </sheetData>
  <mergeCells count="1">
    <mergeCell ref="A1:D1"/>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CC4C0-5520-4A42-90AB-E8C578EBBA4C}">
  <sheetPr codeName="Sheet9">
    <tabColor rgb="FF866828"/>
  </sheetPr>
  <dimension ref="A1:F231"/>
  <sheetViews>
    <sheetView workbookViewId="0">
      <selection sqref="A1:F1"/>
    </sheetView>
  </sheetViews>
  <sheetFormatPr defaultRowHeight="14.4"/>
  <cols>
    <col min="1" max="1" width="10.77734375" style="9" customWidth="1"/>
    <col min="2" max="2" width="22.77734375" style="9" customWidth="1"/>
    <col min="3" max="3" width="18.77734375" style="9" customWidth="1"/>
    <col min="4" max="4" width="74.77734375" style="9" customWidth="1"/>
    <col min="5" max="5" width="12.77734375" style="9" customWidth="1"/>
    <col min="6" max="6" width="18.77734375" style="9" customWidth="1"/>
    <col min="7" max="16384" width="8.88671875" style="9"/>
  </cols>
  <sheetData>
    <row r="1" spans="1:6" ht="24" customHeight="1">
      <c r="A1" s="173" t="s">
        <v>795</v>
      </c>
      <c r="B1" s="173"/>
      <c r="C1" s="173"/>
      <c r="D1" s="173"/>
      <c r="E1" s="173"/>
      <c r="F1" s="173"/>
    </row>
    <row r="2" spans="1:6" ht="24" customHeight="1">
      <c r="A2" s="152" t="s">
        <v>451</v>
      </c>
      <c r="B2" s="152" t="s">
        <v>453</v>
      </c>
      <c r="C2" s="152" t="s">
        <v>73</v>
      </c>
      <c r="D2" s="152" t="s">
        <v>125</v>
      </c>
      <c r="E2" s="152" t="s">
        <v>126</v>
      </c>
      <c r="F2" s="152" t="s">
        <v>127</v>
      </c>
    </row>
    <row r="3" spans="1:6" ht="24" customHeight="1">
      <c r="A3" s="174" t="s">
        <v>455</v>
      </c>
      <c r="B3" s="153" t="s">
        <v>796</v>
      </c>
      <c r="C3" s="153" t="s">
        <v>797</v>
      </c>
      <c r="D3" s="153" t="s">
        <v>798</v>
      </c>
      <c r="E3" s="153" t="s">
        <v>799</v>
      </c>
      <c r="F3" s="153" t="s">
        <v>800</v>
      </c>
    </row>
    <row r="4" spans="1:6" ht="24" customHeight="1">
      <c r="A4" s="174" t="s">
        <v>455</v>
      </c>
      <c r="B4" s="153" t="s">
        <v>796</v>
      </c>
      <c r="C4" s="153" t="s">
        <v>801</v>
      </c>
      <c r="D4" s="153" t="s">
        <v>802</v>
      </c>
      <c r="E4" s="153" t="s">
        <v>799</v>
      </c>
      <c r="F4" s="153" t="s">
        <v>803</v>
      </c>
    </row>
    <row r="5" spans="1:6" ht="24" customHeight="1">
      <c r="A5" s="174" t="s">
        <v>455</v>
      </c>
      <c r="B5" s="153" t="s">
        <v>796</v>
      </c>
      <c r="C5" s="153" t="s">
        <v>804</v>
      </c>
      <c r="D5" s="153" t="s">
        <v>805</v>
      </c>
      <c r="E5" s="153" t="s">
        <v>799</v>
      </c>
      <c r="F5" s="153" t="s">
        <v>806</v>
      </c>
    </row>
    <row r="6" spans="1:6" ht="24" customHeight="1">
      <c r="A6" s="174" t="s">
        <v>455</v>
      </c>
      <c r="B6" s="153" t="s">
        <v>796</v>
      </c>
      <c r="C6" s="153" t="s">
        <v>807</v>
      </c>
      <c r="D6" s="153" t="s">
        <v>808</v>
      </c>
      <c r="E6" s="153" t="s">
        <v>799</v>
      </c>
      <c r="F6" s="153" t="s">
        <v>809</v>
      </c>
    </row>
    <row r="7" spans="1:6" ht="24" customHeight="1">
      <c r="A7" s="174" t="s">
        <v>455</v>
      </c>
      <c r="B7" s="153" t="s">
        <v>796</v>
      </c>
      <c r="C7" s="153" t="s">
        <v>810</v>
      </c>
      <c r="D7" s="153" t="s">
        <v>811</v>
      </c>
      <c r="E7" s="153" t="s">
        <v>799</v>
      </c>
      <c r="F7" s="153" t="s">
        <v>806</v>
      </c>
    </row>
    <row r="8" spans="1:6" ht="24" customHeight="1">
      <c r="A8" s="174" t="s">
        <v>455</v>
      </c>
      <c r="B8" s="153" t="s">
        <v>812</v>
      </c>
      <c r="C8" s="153" t="s">
        <v>813</v>
      </c>
      <c r="D8" s="153" t="s">
        <v>814</v>
      </c>
      <c r="E8" s="153" t="s">
        <v>815</v>
      </c>
      <c r="F8" s="153" t="s">
        <v>816</v>
      </c>
    </row>
    <row r="9" spans="1:6" ht="24" customHeight="1">
      <c r="A9" s="174" t="s">
        <v>455</v>
      </c>
      <c r="B9" s="153" t="s">
        <v>812</v>
      </c>
      <c r="C9" s="153" t="s">
        <v>817</v>
      </c>
      <c r="D9" s="153" t="s">
        <v>818</v>
      </c>
      <c r="E9" s="153" t="s">
        <v>819</v>
      </c>
      <c r="F9" s="153"/>
    </row>
    <row r="10" spans="1:6" ht="24" customHeight="1">
      <c r="A10" s="174" t="s">
        <v>455</v>
      </c>
      <c r="B10" s="153" t="s">
        <v>812</v>
      </c>
      <c r="C10" s="153" t="s">
        <v>820</v>
      </c>
      <c r="D10" s="153" t="s">
        <v>821</v>
      </c>
      <c r="E10" s="153" t="s">
        <v>819</v>
      </c>
      <c r="F10" s="153"/>
    </row>
    <row r="11" spans="1:6" ht="24" customHeight="1">
      <c r="A11" s="174" t="s">
        <v>455</v>
      </c>
      <c r="B11" s="153" t="s">
        <v>822</v>
      </c>
      <c r="C11" s="153" t="s">
        <v>823</v>
      </c>
      <c r="D11" s="153" t="s">
        <v>824</v>
      </c>
      <c r="E11" s="153" t="s">
        <v>825</v>
      </c>
      <c r="F11" s="153" t="s">
        <v>826</v>
      </c>
    </row>
    <row r="12" spans="1:6" ht="24" customHeight="1">
      <c r="A12" s="174" t="s">
        <v>455</v>
      </c>
      <c r="B12" s="153" t="s">
        <v>822</v>
      </c>
      <c r="C12" s="153" t="s">
        <v>827</v>
      </c>
      <c r="D12" s="153" t="s">
        <v>828</v>
      </c>
      <c r="E12" s="153" t="s">
        <v>825</v>
      </c>
      <c r="F12" s="153" t="s">
        <v>829</v>
      </c>
    </row>
    <row r="13" spans="1:6" ht="24" customHeight="1">
      <c r="A13" s="174" t="s">
        <v>455</v>
      </c>
      <c r="B13" s="153" t="s">
        <v>830</v>
      </c>
      <c r="C13" s="153" t="s">
        <v>831</v>
      </c>
      <c r="D13" s="153" t="s">
        <v>832</v>
      </c>
      <c r="E13" s="153" t="s">
        <v>825</v>
      </c>
      <c r="F13" s="153" t="s">
        <v>833</v>
      </c>
    </row>
    <row r="14" spans="1:6" ht="24" customHeight="1">
      <c r="A14" s="174" t="s">
        <v>455</v>
      </c>
      <c r="B14" s="153" t="s">
        <v>830</v>
      </c>
      <c r="C14" s="153" t="s">
        <v>834</v>
      </c>
      <c r="D14" s="153" t="s">
        <v>835</v>
      </c>
      <c r="E14" s="153" t="s">
        <v>836</v>
      </c>
      <c r="F14" s="153" t="s">
        <v>837</v>
      </c>
    </row>
    <row r="15" spans="1:6" ht="24" customHeight="1">
      <c r="A15" s="174" t="s">
        <v>455</v>
      </c>
      <c r="B15" s="153" t="s">
        <v>830</v>
      </c>
      <c r="C15" s="153" t="s">
        <v>838</v>
      </c>
      <c r="D15" s="153" t="s">
        <v>839</v>
      </c>
      <c r="E15" s="153" t="s">
        <v>836</v>
      </c>
      <c r="F15" s="153" t="s">
        <v>840</v>
      </c>
    </row>
    <row r="16" spans="1:6" ht="24" customHeight="1">
      <c r="A16" s="174" t="s">
        <v>455</v>
      </c>
      <c r="B16" s="153" t="s">
        <v>830</v>
      </c>
      <c r="C16" s="153" t="s">
        <v>841</v>
      </c>
      <c r="D16" s="153" t="s">
        <v>842</v>
      </c>
      <c r="E16" s="153" t="s">
        <v>819</v>
      </c>
      <c r="F16" s="153" t="s">
        <v>800</v>
      </c>
    </row>
    <row r="17" spans="1:6" ht="24" customHeight="1">
      <c r="A17" s="176" t="s">
        <v>7</v>
      </c>
      <c r="B17" s="153" t="s">
        <v>843</v>
      </c>
      <c r="C17" s="153" t="s">
        <v>844</v>
      </c>
      <c r="D17" s="153" t="s">
        <v>845</v>
      </c>
      <c r="E17" s="153"/>
      <c r="F17" s="153" t="s">
        <v>826</v>
      </c>
    </row>
    <row r="18" spans="1:6" ht="24" customHeight="1">
      <c r="A18" s="176" t="s">
        <v>7</v>
      </c>
      <c r="B18" s="153" t="s">
        <v>843</v>
      </c>
      <c r="C18" s="153" t="s">
        <v>846</v>
      </c>
      <c r="D18" s="153" t="s">
        <v>847</v>
      </c>
      <c r="E18" s="153"/>
      <c r="F18" s="153" t="s">
        <v>848</v>
      </c>
    </row>
    <row r="19" spans="1:6" ht="24" customHeight="1">
      <c r="A19" s="176" t="s">
        <v>7</v>
      </c>
      <c r="B19" s="153" t="s">
        <v>843</v>
      </c>
      <c r="C19" s="153" t="s">
        <v>849</v>
      </c>
      <c r="D19" s="153" t="s">
        <v>850</v>
      </c>
      <c r="E19" s="153"/>
      <c r="F19" s="153" t="s">
        <v>851</v>
      </c>
    </row>
    <row r="20" spans="1:6" ht="24" customHeight="1">
      <c r="A20" s="176" t="s">
        <v>7</v>
      </c>
      <c r="B20" s="153" t="s">
        <v>843</v>
      </c>
      <c r="C20" s="153" t="s">
        <v>852</v>
      </c>
      <c r="D20" s="153" t="s">
        <v>853</v>
      </c>
      <c r="E20" s="153"/>
      <c r="F20" s="153" t="s">
        <v>851</v>
      </c>
    </row>
    <row r="21" spans="1:6" ht="24" customHeight="1">
      <c r="A21" s="175" t="s">
        <v>3</v>
      </c>
      <c r="B21" s="153" t="s">
        <v>854</v>
      </c>
      <c r="C21" s="153" t="s">
        <v>855</v>
      </c>
      <c r="D21" s="153" t="s">
        <v>856</v>
      </c>
      <c r="E21" s="153" t="s">
        <v>857</v>
      </c>
      <c r="F21" s="153" t="s">
        <v>826</v>
      </c>
    </row>
    <row r="22" spans="1:6" ht="24" customHeight="1">
      <c r="A22" s="175" t="s">
        <v>3</v>
      </c>
      <c r="B22" s="153" t="s">
        <v>854</v>
      </c>
      <c r="C22" s="153" t="s">
        <v>858</v>
      </c>
      <c r="D22" s="153" t="s">
        <v>859</v>
      </c>
      <c r="E22" s="153" t="s">
        <v>857</v>
      </c>
      <c r="F22" s="153" t="s">
        <v>826</v>
      </c>
    </row>
    <row r="23" spans="1:6" ht="24" customHeight="1">
      <c r="A23" s="175" t="s">
        <v>3</v>
      </c>
      <c r="B23" s="153" t="s">
        <v>854</v>
      </c>
      <c r="C23" s="153" t="s">
        <v>860</v>
      </c>
      <c r="D23" s="153" t="s">
        <v>861</v>
      </c>
      <c r="E23" s="153" t="s">
        <v>799</v>
      </c>
      <c r="F23" s="153" t="s">
        <v>800</v>
      </c>
    </row>
    <row r="24" spans="1:6" ht="24" customHeight="1">
      <c r="A24" s="175" t="s">
        <v>3</v>
      </c>
      <c r="B24" s="153" t="s">
        <v>862</v>
      </c>
      <c r="C24" s="153" t="s">
        <v>863</v>
      </c>
      <c r="D24" s="153" t="s">
        <v>864</v>
      </c>
      <c r="E24" s="153" t="s">
        <v>836</v>
      </c>
      <c r="F24" s="153" t="s">
        <v>829</v>
      </c>
    </row>
    <row r="25" spans="1:6" ht="24" customHeight="1">
      <c r="A25" s="175" t="s">
        <v>3</v>
      </c>
      <c r="B25" s="153" t="s">
        <v>865</v>
      </c>
      <c r="C25" s="153" t="s">
        <v>866</v>
      </c>
      <c r="D25" s="153" t="s">
        <v>867</v>
      </c>
      <c r="E25" s="153" t="s">
        <v>868</v>
      </c>
      <c r="F25" s="153" t="s">
        <v>826</v>
      </c>
    </row>
    <row r="26" spans="1:6" ht="24" customHeight="1">
      <c r="A26" s="175" t="s">
        <v>3</v>
      </c>
      <c r="B26" s="153" t="s">
        <v>865</v>
      </c>
      <c r="C26" s="153" t="s">
        <v>869</v>
      </c>
      <c r="D26" s="153" t="s">
        <v>870</v>
      </c>
      <c r="E26" s="153" t="s">
        <v>871</v>
      </c>
      <c r="F26" s="153" t="s">
        <v>872</v>
      </c>
    </row>
    <row r="27" spans="1:6" ht="24" customHeight="1">
      <c r="A27" s="175" t="s">
        <v>3</v>
      </c>
      <c r="B27" s="153" t="s">
        <v>865</v>
      </c>
      <c r="C27" s="153" t="s">
        <v>873</v>
      </c>
      <c r="D27" s="153" t="s">
        <v>874</v>
      </c>
      <c r="E27" s="153" t="s">
        <v>875</v>
      </c>
      <c r="F27" s="153" t="s">
        <v>876</v>
      </c>
    </row>
    <row r="28" spans="1:6" ht="24" customHeight="1">
      <c r="A28" s="175" t="s">
        <v>3</v>
      </c>
      <c r="B28" s="153" t="s">
        <v>865</v>
      </c>
      <c r="C28" s="153" t="s">
        <v>877</v>
      </c>
      <c r="D28" s="153" t="s">
        <v>878</v>
      </c>
      <c r="E28" s="153" t="s">
        <v>857</v>
      </c>
      <c r="F28" s="153" t="s">
        <v>879</v>
      </c>
    </row>
    <row r="29" spans="1:6" ht="24" customHeight="1">
      <c r="A29" s="175" t="s">
        <v>3</v>
      </c>
      <c r="B29" s="153" t="s">
        <v>865</v>
      </c>
      <c r="C29" s="153" t="s">
        <v>880</v>
      </c>
      <c r="D29" s="153" t="s">
        <v>881</v>
      </c>
      <c r="E29" s="153" t="s">
        <v>815</v>
      </c>
      <c r="F29" s="153" t="s">
        <v>833</v>
      </c>
    </row>
    <row r="30" spans="1:6" ht="24" customHeight="1">
      <c r="A30" s="175" t="s">
        <v>3</v>
      </c>
      <c r="B30" s="153" t="s">
        <v>882</v>
      </c>
      <c r="C30" s="153" t="s">
        <v>883</v>
      </c>
      <c r="D30" s="153" t="s">
        <v>884</v>
      </c>
      <c r="E30" s="153" t="s">
        <v>799</v>
      </c>
      <c r="F30" s="153" t="s">
        <v>837</v>
      </c>
    </row>
    <row r="31" spans="1:6" ht="24" customHeight="1">
      <c r="A31" s="175" t="s">
        <v>3</v>
      </c>
      <c r="B31" s="153" t="s">
        <v>882</v>
      </c>
      <c r="C31" s="153" t="s">
        <v>885</v>
      </c>
      <c r="D31" s="153" t="s">
        <v>886</v>
      </c>
      <c r="E31" s="153"/>
      <c r="F31" s="153" t="s">
        <v>837</v>
      </c>
    </row>
    <row r="32" spans="1:6" ht="24" customHeight="1">
      <c r="A32" s="175" t="s">
        <v>3</v>
      </c>
      <c r="B32" s="153" t="s">
        <v>887</v>
      </c>
      <c r="C32" s="153" t="s">
        <v>888</v>
      </c>
      <c r="D32" s="153" t="s">
        <v>889</v>
      </c>
      <c r="E32" s="153" t="s">
        <v>799</v>
      </c>
      <c r="F32" s="153" t="s">
        <v>890</v>
      </c>
    </row>
    <row r="33" spans="1:6" ht="24" customHeight="1">
      <c r="A33" s="175" t="s">
        <v>3</v>
      </c>
      <c r="B33" s="153" t="s">
        <v>887</v>
      </c>
      <c r="C33" s="153" t="s">
        <v>891</v>
      </c>
      <c r="D33" s="153" t="s">
        <v>892</v>
      </c>
      <c r="E33" s="153" t="s">
        <v>836</v>
      </c>
      <c r="F33" s="153" t="s">
        <v>893</v>
      </c>
    </row>
    <row r="34" spans="1:6" ht="24" customHeight="1">
      <c r="A34" s="175" t="s">
        <v>3</v>
      </c>
      <c r="B34" s="153" t="s">
        <v>894</v>
      </c>
      <c r="C34" s="153" t="s">
        <v>895</v>
      </c>
      <c r="D34" s="153" t="s">
        <v>896</v>
      </c>
      <c r="E34" s="153" t="s">
        <v>815</v>
      </c>
      <c r="F34" s="153"/>
    </row>
    <row r="35" spans="1:6" ht="24" customHeight="1">
      <c r="A35" s="175" t="s">
        <v>3</v>
      </c>
      <c r="B35" s="153" t="s">
        <v>897</v>
      </c>
      <c r="C35" s="153" t="s">
        <v>898</v>
      </c>
      <c r="D35" s="153" t="s">
        <v>899</v>
      </c>
      <c r="E35" s="153" t="s">
        <v>836</v>
      </c>
      <c r="F35" s="153" t="s">
        <v>876</v>
      </c>
    </row>
    <row r="36" spans="1:6" ht="24" customHeight="1">
      <c r="A36" s="175" t="s">
        <v>3</v>
      </c>
      <c r="B36" s="153" t="s">
        <v>897</v>
      </c>
      <c r="C36" s="153" t="s">
        <v>900</v>
      </c>
      <c r="D36" s="153" t="s">
        <v>901</v>
      </c>
      <c r="E36" s="153" t="s">
        <v>799</v>
      </c>
      <c r="F36" s="153" t="s">
        <v>837</v>
      </c>
    </row>
    <row r="37" spans="1:6" ht="24" customHeight="1">
      <c r="A37" s="175" t="s">
        <v>3</v>
      </c>
      <c r="B37" s="153" t="s">
        <v>902</v>
      </c>
      <c r="C37" s="153" t="s">
        <v>903</v>
      </c>
      <c r="D37" s="153" t="s">
        <v>904</v>
      </c>
      <c r="E37" s="153"/>
      <c r="F37" s="153" t="s">
        <v>905</v>
      </c>
    </row>
    <row r="38" spans="1:6" ht="24" customHeight="1">
      <c r="A38" s="175" t="s">
        <v>3</v>
      </c>
      <c r="B38" s="153" t="s">
        <v>902</v>
      </c>
      <c r="C38" s="153" t="s">
        <v>906</v>
      </c>
      <c r="D38" s="153" t="s">
        <v>907</v>
      </c>
      <c r="E38" s="153"/>
      <c r="F38" s="153" t="s">
        <v>908</v>
      </c>
    </row>
    <row r="39" spans="1:6" ht="24" customHeight="1">
      <c r="A39" s="175" t="s">
        <v>3</v>
      </c>
      <c r="B39" s="153" t="s">
        <v>199</v>
      </c>
      <c r="C39" s="153" t="s">
        <v>909</v>
      </c>
      <c r="D39" s="153" t="s">
        <v>910</v>
      </c>
      <c r="E39" s="153"/>
      <c r="F39" s="153" t="s">
        <v>911</v>
      </c>
    </row>
    <row r="40" spans="1:6" ht="24" customHeight="1">
      <c r="A40" s="175" t="s">
        <v>3</v>
      </c>
      <c r="B40" s="153" t="s">
        <v>199</v>
      </c>
      <c r="C40" s="153" t="s">
        <v>912</v>
      </c>
      <c r="D40" s="153" t="s">
        <v>913</v>
      </c>
      <c r="E40" s="153"/>
      <c r="F40" s="153" t="s">
        <v>837</v>
      </c>
    </row>
    <row r="41" spans="1:6" ht="24" customHeight="1">
      <c r="A41" s="178" t="s">
        <v>5</v>
      </c>
      <c r="B41" s="153" t="s">
        <v>854</v>
      </c>
      <c r="C41" s="153" t="s">
        <v>914</v>
      </c>
      <c r="D41" s="153" t="s">
        <v>915</v>
      </c>
      <c r="E41" s="153" t="s">
        <v>836</v>
      </c>
      <c r="F41" s="153" t="s">
        <v>916</v>
      </c>
    </row>
    <row r="42" spans="1:6" ht="24" customHeight="1">
      <c r="A42" s="178" t="s">
        <v>5</v>
      </c>
      <c r="B42" s="153" t="s">
        <v>854</v>
      </c>
      <c r="C42" s="153" t="s">
        <v>917</v>
      </c>
      <c r="D42" s="153" t="s">
        <v>918</v>
      </c>
      <c r="E42" s="153" t="s">
        <v>836</v>
      </c>
      <c r="F42" s="153" t="s">
        <v>837</v>
      </c>
    </row>
    <row r="43" spans="1:6" ht="24" customHeight="1">
      <c r="A43" s="178" t="s">
        <v>5</v>
      </c>
      <c r="B43" s="153" t="s">
        <v>919</v>
      </c>
      <c r="C43" s="153" t="s">
        <v>920</v>
      </c>
      <c r="D43" s="153" t="s">
        <v>921</v>
      </c>
      <c r="E43" s="153"/>
      <c r="F43" s="153" t="s">
        <v>922</v>
      </c>
    </row>
    <row r="44" spans="1:6" ht="24" customHeight="1">
      <c r="A44" s="178" t="s">
        <v>5</v>
      </c>
      <c r="B44" s="153" t="s">
        <v>923</v>
      </c>
      <c r="C44" s="153" t="s">
        <v>924</v>
      </c>
      <c r="D44" s="153" t="s">
        <v>925</v>
      </c>
      <c r="E44" s="153" t="s">
        <v>836</v>
      </c>
      <c r="F44" s="153" t="s">
        <v>926</v>
      </c>
    </row>
    <row r="45" spans="1:6" ht="24" customHeight="1">
      <c r="A45" s="178" t="s">
        <v>5</v>
      </c>
      <c r="B45" s="153" t="s">
        <v>927</v>
      </c>
      <c r="C45" s="153" t="s">
        <v>928</v>
      </c>
      <c r="D45" s="153" t="s">
        <v>929</v>
      </c>
      <c r="E45" s="153" t="s">
        <v>836</v>
      </c>
      <c r="F45" s="153" t="s">
        <v>876</v>
      </c>
    </row>
    <row r="46" spans="1:6" ht="24" customHeight="1">
      <c r="A46" s="178" t="s">
        <v>5</v>
      </c>
      <c r="B46" s="153" t="s">
        <v>927</v>
      </c>
      <c r="C46" s="153" t="s">
        <v>930</v>
      </c>
      <c r="D46" s="153" t="s">
        <v>931</v>
      </c>
      <c r="E46" s="153" t="s">
        <v>836</v>
      </c>
      <c r="F46" s="153" t="s">
        <v>833</v>
      </c>
    </row>
    <row r="47" spans="1:6" ht="24" customHeight="1">
      <c r="A47" s="178" t="s">
        <v>5</v>
      </c>
      <c r="B47" s="153" t="s">
        <v>927</v>
      </c>
      <c r="C47" s="153" t="s">
        <v>932</v>
      </c>
      <c r="D47" s="153" t="s">
        <v>933</v>
      </c>
      <c r="E47" s="153" t="s">
        <v>836</v>
      </c>
      <c r="F47" s="153" t="s">
        <v>908</v>
      </c>
    </row>
    <row r="48" spans="1:6" ht="24" customHeight="1">
      <c r="A48" s="178" t="s">
        <v>5</v>
      </c>
      <c r="B48" s="153" t="s">
        <v>927</v>
      </c>
      <c r="C48" s="153" t="s">
        <v>934</v>
      </c>
      <c r="D48" s="153" t="s">
        <v>935</v>
      </c>
      <c r="E48" s="153" t="s">
        <v>819</v>
      </c>
      <c r="F48" s="153" t="s">
        <v>936</v>
      </c>
    </row>
    <row r="49" spans="1:6" ht="24" customHeight="1">
      <c r="A49" s="178" t="s">
        <v>5</v>
      </c>
      <c r="B49" s="153" t="s">
        <v>937</v>
      </c>
      <c r="C49" s="153" t="s">
        <v>938</v>
      </c>
      <c r="D49" s="153" t="s">
        <v>939</v>
      </c>
      <c r="E49" s="153" t="s">
        <v>868</v>
      </c>
      <c r="F49" s="153"/>
    </row>
    <row r="50" spans="1:6" ht="24" customHeight="1">
      <c r="A50" s="178" t="s">
        <v>5</v>
      </c>
      <c r="B50" s="153" t="s">
        <v>937</v>
      </c>
      <c r="C50" s="153" t="s">
        <v>940</v>
      </c>
      <c r="D50" s="153" t="s">
        <v>941</v>
      </c>
      <c r="E50" s="153" t="s">
        <v>799</v>
      </c>
      <c r="F50" s="153" t="s">
        <v>829</v>
      </c>
    </row>
    <row r="51" spans="1:6" ht="24" customHeight="1">
      <c r="A51" s="178" t="s">
        <v>5</v>
      </c>
      <c r="B51" s="153" t="s">
        <v>937</v>
      </c>
      <c r="C51" s="153" t="s">
        <v>942</v>
      </c>
      <c r="D51" s="153" t="s">
        <v>943</v>
      </c>
      <c r="E51" s="153" t="s">
        <v>799</v>
      </c>
      <c r="F51" s="153" t="s">
        <v>829</v>
      </c>
    </row>
    <row r="52" spans="1:6" ht="24" customHeight="1">
      <c r="A52" s="178" t="s">
        <v>5</v>
      </c>
      <c r="B52" s="153" t="s">
        <v>937</v>
      </c>
      <c r="C52" s="153" t="s">
        <v>944</v>
      </c>
      <c r="D52" s="153" t="s">
        <v>945</v>
      </c>
      <c r="E52" s="153" t="s">
        <v>815</v>
      </c>
      <c r="F52" s="153"/>
    </row>
    <row r="53" spans="1:6" ht="24" customHeight="1">
      <c r="A53" s="178" t="s">
        <v>5</v>
      </c>
      <c r="B53" s="153" t="s">
        <v>937</v>
      </c>
      <c r="C53" s="153" t="s">
        <v>946</v>
      </c>
      <c r="D53" s="153" t="s">
        <v>947</v>
      </c>
      <c r="E53" s="153"/>
      <c r="F53" s="153" t="s">
        <v>876</v>
      </c>
    </row>
    <row r="54" spans="1:6" ht="24" customHeight="1">
      <c r="A54" s="178" t="s">
        <v>5</v>
      </c>
      <c r="B54" s="153" t="s">
        <v>948</v>
      </c>
      <c r="C54" s="153" t="s">
        <v>949</v>
      </c>
      <c r="D54" s="153" t="s">
        <v>950</v>
      </c>
      <c r="E54" s="153" t="s">
        <v>799</v>
      </c>
      <c r="F54" s="153" t="s">
        <v>951</v>
      </c>
    </row>
    <row r="55" spans="1:6" ht="24" customHeight="1">
      <c r="A55" s="178" t="s">
        <v>5</v>
      </c>
      <c r="B55" s="153" t="s">
        <v>948</v>
      </c>
      <c r="C55" s="153" t="s">
        <v>952</v>
      </c>
      <c r="D55" s="153" t="s">
        <v>953</v>
      </c>
      <c r="E55" s="153" t="s">
        <v>836</v>
      </c>
      <c r="F55" s="153" t="s">
        <v>954</v>
      </c>
    </row>
    <row r="56" spans="1:6" ht="24" customHeight="1">
      <c r="A56" s="178" t="s">
        <v>5</v>
      </c>
      <c r="B56" s="153" t="s">
        <v>955</v>
      </c>
      <c r="C56" s="153" t="s">
        <v>956</v>
      </c>
      <c r="D56" s="153" t="s">
        <v>957</v>
      </c>
      <c r="E56" s="153" t="s">
        <v>836</v>
      </c>
      <c r="F56" s="153" t="s">
        <v>958</v>
      </c>
    </row>
    <row r="57" spans="1:6" ht="24" customHeight="1">
      <c r="A57" s="178" t="s">
        <v>5</v>
      </c>
      <c r="B57" s="153" t="s">
        <v>955</v>
      </c>
      <c r="C57" s="153" t="s">
        <v>959</v>
      </c>
      <c r="D57" s="153" t="s">
        <v>960</v>
      </c>
      <c r="E57" s="153" t="s">
        <v>836</v>
      </c>
      <c r="F57" s="153" t="s">
        <v>958</v>
      </c>
    </row>
    <row r="58" spans="1:6" ht="24" customHeight="1">
      <c r="A58" s="178" t="s">
        <v>5</v>
      </c>
      <c r="B58" s="153" t="s">
        <v>894</v>
      </c>
      <c r="C58" s="153" t="s">
        <v>961</v>
      </c>
      <c r="D58" s="153" t="s">
        <v>962</v>
      </c>
      <c r="E58" s="153" t="s">
        <v>825</v>
      </c>
      <c r="F58" s="153" t="s">
        <v>876</v>
      </c>
    </row>
    <row r="59" spans="1:6" ht="24" customHeight="1">
      <c r="A59" s="178" t="s">
        <v>5</v>
      </c>
      <c r="B59" s="153" t="s">
        <v>963</v>
      </c>
      <c r="C59" s="153" t="s">
        <v>964</v>
      </c>
      <c r="D59" s="153" t="s">
        <v>965</v>
      </c>
      <c r="E59" s="153" t="s">
        <v>799</v>
      </c>
      <c r="F59" s="153" t="s">
        <v>966</v>
      </c>
    </row>
    <row r="60" spans="1:6" ht="24" customHeight="1">
      <c r="A60" s="178" t="s">
        <v>5</v>
      </c>
      <c r="B60" s="153" t="s">
        <v>963</v>
      </c>
      <c r="C60" s="153" t="s">
        <v>967</v>
      </c>
      <c r="D60" s="153" t="s">
        <v>968</v>
      </c>
      <c r="E60" s="153" t="s">
        <v>868</v>
      </c>
      <c r="F60" s="153" t="s">
        <v>969</v>
      </c>
    </row>
    <row r="61" spans="1:6" ht="24" customHeight="1">
      <c r="A61" s="178" t="s">
        <v>5</v>
      </c>
      <c r="B61" s="153" t="s">
        <v>963</v>
      </c>
      <c r="C61" s="153" t="s">
        <v>970</v>
      </c>
      <c r="D61" s="153" t="s">
        <v>971</v>
      </c>
      <c r="E61" s="153" t="s">
        <v>799</v>
      </c>
      <c r="F61" s="153" t="s">
        <v>969</v>
      </c>
    </row>
    <row r="62" spans="1:6" ht="24" customHeight="1">
      <c r="A62" s="178" t="s">
        <v>5</v>
      </c>
      <c r="B62" s="153" t="s">
        <v>963</v>
      </c>
      <c r="C62" s="153" t="s">
        <v>972</v>
      </c>
      <c r="D62" s="153" t="s">
        <v>973</v>
      </c>
      <c r="E62" s="153" t="s">
        <v>799</v>
      </c>
      <c r="F62" s="153" t="s">
        <v>974</v>
      </c>
    </row>
    <row r="63" spans="1:6" ht="24" customHeight="1">
      <c r="A63" s="178" t="s">
        <v>5</v>
      </c>
      <c r="B63" s="153" t="s">
        <v>975</v>
      </c>
      <c r="C63" s="153" t="s">
        <v>976</v>
      </c>
      <c r="D63" s="153" t="s">
        <v>977</v>
      </c>
      <c r="E63" s="153" t="s">
        <v>836</v>
      </c>
      <c r="F63" s="153" t="s">
        <v>978</v>
      </c>
    </row>
    <row r="64" spans="1:6" ht="24" customHeight="1">
      <c r="A64" s="178" t="s">
        <v>5</v>
      </c>
      <c r="B64" s="153" t="s">
        <v>975</v>
      </c>
      <c r="C64" s="153" t="s">
        <v>979</v>
      </c>
      <c r="D64" s="153" t="s">
        <v>980</v>
      </c>
      <c r="E64" s="153" t="s">
        <v>836</v>
      </c>
      <c r="F64" s="153" t="s">
        <v>876</v>
      </c>
    </row>
    <row r="65" spans="1:6" ht="24" customHeight="1">
      <c r="A65" s="178" t="s">
        <v>5</v>
      </c>
      <c r="B65" s="153" t="s">
        <v>975</v>
      </c>
      <c r="C65" s="153" t="s">
        <v>981</v>
      </c>
      <c r="D65" s="153" t="s">
        <v>982</v>
      </c>
      <c r="E65" s="153" t="s">
        <v>836</v>
      </c>
      <c r="F65" s="153" t="s">
        <v>876</v>
      </c>
    </row>
    <row r="66" spans="1:6" ht="24" customHeight="1">
      <c r="A66" s="178" t="s">
        <v>5</v>
      </c>
      <c r="B66" s="153" t="s">
        <v>975</v>
      </c>
      <c r="C66" s="153" t="s">
        <v>983</v>
      </c>
      <c r="D66" s="153" t="s">
        <v>984</v>
      </c>
      <c r="E66" s="153"/>
      <c r="F66" s="153" t="s">
        <v>890</v>
      </c>
    </row>
    <row r="67" spans="1:6" ht="24" customHeight="1">
      <c r="A67" s="178" t="s">
        <v>5</v>
      </c>
      <c r="B67" s="153" t="s">
        <v>985</v>
      </c>
      <c r="C67" s="153" t="s">
        <v>986</v>
      </c>
      <c r="D67" s="153" t="s">
        <v>987</v>
      </c>
      <c r="E67" s="153" t="s">
        <v>799</v>
      </c>
      <c r="F67" s="153" t="s">
        <v>974</v>
      </c>
    </row>
    <row r="68" spans="1:6" ht="24" customHeight="1">
      <c r="A68" s="178" t="s">
        <v>5</v>
      </c>
      <c r="B68" s="153" t="s">
        <v>985</v>
      </c>
      <c r="C68" s="153" t="s">
        <v>988</v>
      </c>
      <c r="D68" s="153" t="s">
        <v>989</v>
      </c>
      <c r="E68" s="153" t="s">
        <v>799</v>
      </c>
      <c r="F68" s="153" t="s">
        <v>969</v>
      </c>
    </row>
    <row r="69" spans="1:6" ht="24" customHeight="1">
      <c r="A69" s="178" t="s">
        <v>5</v>
      </c>
      <c r="B69" s="153" t="s">
        <v>985</v>
      </c>
      <c r="C69" s="153" t="s">
        <v>990</v>
      </c>
      <c r="D69" s="153" t="s">
        <v>991</v>
      </c>
      <c r="E69" s="153" t="s">
        <v>836</v>
      </c>
      <c r="F69" s="153" t="s">
        <v>958</v>
      </c>
    </row>
    <row r="70" spans="1:6" ht="24" customHeight="1">
      <c r="A70" s="178" t="s">
        <v>5</v>
      </c>
      <c r="B70" s="153" t="s">
        <v>985</v>
      </c>
      <c r="C70" s="153" t="s">
        <v>992</v>
      </c>
      <c r="D70" s="153" t="s">
        <v>993</v>
      </c>
      <c r="E70" s="153" t="s">
        <v>836</v>
      </c>
      <c r="F70" s="153" t="s">
        <v>994</v>
      </c>
    </row>
    <row r="71" spans="1:6" ht="24" customHeight="1">
      <c r="A71" s="178" t="s">
        <v>5</v>
      </c>
      <c r="B71" s="153" t="s">
        <v>199</v>
      </c>
      <c r="C71" s="153" t="s">
        <v>995</v>
      </c>
      <c r="D71" s="153" t="s">
        <v>996</v>
      </c>
      <c r="E71" s="153" t="s">
        <v>836</v>
      </c>
      <c r="F71" s="153" t="s">
        <v>997</v>
      </c>
    </row>
    <row r="72" spans="1:6" ht="24" customHeight="1">
      <c r="A72" s="178" t="s">
        <v>5</v>
      </c>
      <c r="B72" s="153" t="s">
        <v>199</v>
      </c>
      <c r="C72" s="153" t="s">
        <v>998</v>
      </c>
      <c r="D72" s="153" t="s">
        <v>999</v>
      </c>
      <c r="E72" s="153"/>
      <c r="F72" s="153" t="s">
        <v>1000</v>
      </c>
    </row>
    <row r="73" spans="1:6" ht="24" customHeight="1">
      <c r="A73" s="179" t="s">
        <v>6</v>
      </c>
      <c r="B73" s="153" t="s">
        <v>854</v>
      </c>
      <c r="C73" s="153" t="s">
        <v>1001</v>
      </c>
      <c r="D73" s="153" t="s">
        <v>1002</v>
      </c>
      <c r="E73" s="153"/>
      <c r="F73" s="153" t="s">
        <v>1003</v>
      </c>
    </row>
    <row r="74" spans="1:6" ht="24" customHeight="1">
      <c r="A74" s="179" t="s">
        <v>6</v>
      </c>
      <c r="B74" s="153" t="s">
        <v>854</v>
      </c>
      <c r="C74" s="153" t="s">
        <v>1004</v>
      </c>
      <c r="D74" s="153" t="s">
        <v>1005</v>
      </c>
      <c r="E74" s="153"/>
      <c r="F74" s="153" t="s">
        <v>837</v>
      </c>
    </row>
    <row r="75" spans="1:6" ht="24" customHeight="1">
      <c r="A75" s="179" t="s">
        <v>6</v>
      </c>
      <c r="B75" s="153" t="s">
        <v>1006</v>
      </c>
      <c r="C75" s="153" t="s">
        <v>1007</v>
      </c>
      <c r="D75" s="153" t="s">
        <v>1008</v>
      </c>
      <c r="E75" s="153" t="s">
        <v>868</v>
      </c>
      <c r="F75" s="153" t="s">
        <v>1009</v>
      </c>
    </row>
    <row r="76" spans="1:6" ht="24" customHeight="1">
      <c r="A76" s="179" t="s">
        <v>6</v>
      </c>
      <c r="B76" s="153" t="s">
        <v>1006</v>
      </c>
      <c r="C76" s="153" t="s">
        <v>1010</v>
      </c>
      <c r="D76" s="153" t="s">
        <v>1011</v>
      </c>
      <c r="E76" s="153"/>
      <c r="F76" s="153" t="s">
        <v>1012</v>
      </c>
    </row>
    <row r="77" spans="1:6" ht="24" customHeight="1">
      <c r="A77" s="179" t="s">
        <v>6</v>
      </c>
      <c r="B77" s="153" t="s">
        <v>1013</v>
      </c>
      <c r="C77" s="153" t="s">
        <v>1014</v>
      </c>
      <c r="D77" s="153" t="s">
        <v>1015</v>
      </c>
      <c r="E77" s="153"/>
      <c r="F77" s="153" t="s">
        <v>1016</v>
      </c>
    </row>
    <row r="78" spans="1:6" ht="24" customHeight="1">
      <c r="A78" s="179" t="s">
        <v>6</v>
      </c>
      <c r="B78" s="153" t="s">
        <v>1013</v>
      </c>
      <c r="C78" s="153" t="s">
        <v>1017</v>
      </c>
      <c r="D78" s="153" t="s">
        <v>1018</v>
      </c>
      <c r="E78" s="153" t="s">
        <v>875</v>
      </c>
      <c r="F78" s="153" t="s">
        <v>1019</v>
      </c>
    </row>
    <row r="79" spans="1:6" ht="24" customHeight="1">
      <c r="A79" s="179" t="s">
        <v>6</v>
      </c>
      <c r="B79" s="153" t="s">
        <v>937</v>
      </c>
      <c r="C79" s="153" t="s">
        <v>1020</v>
      </c>
      <c r="D79" s="153" t="s">
        <v>1021</v>
      </c>
      <c r="E79" s="153" t="s">
        <v>825</v>
      </c>
      <c r="F79" s="153" t="s">
        <v>1022</v>
      </c>
    </row>
    <row r="80" spans="1:6" ht="24" customHeight="1">
      <c r="A80" s="179" t="s">
        <v>6</v>
      </c>
      <c r="B80" s="153" t="s">
        <v>937</v>
      </c>
      <c r="C80" s="153" t="s">
        <v>1023</v>
      </c>
      <c r="D80" s="153" t="s">
        <v>1024</v>
      </c>
      <c r="E80" s="153" t="s">
        <v>799</v>
      </c>
      <c r="F80" s="153" t="s">
        <v>1025</v>
      </c>
    </row>
    <row r="81" spans="1:6" ht="24" customHeight="1">
      <c r="A81" s="179" t="s">
        <v>6</v>
      </c>
      <c r="B81" s="153" t="s">
        <v>937</v>
      </c>
      <c r="C81" s="153" t="s">
        <v>1026</v>
      </c>
      <c r="D81" s="153" t="s">
        <v>1027</v>
      </c>
      <c r="E81" s="153" t="s">
        <v>825</v>
      </c>
      <c r="F81" s="153" t="s">
        <v>1019</v>
      </c>
    </row>
    <row r="82" spans="1:6" ht="24" customHeight="1">
      <c r="A82" s="179" t="s">
        <v>6</v>
      </c>
      <c r="B82" s="153" t="s">
        <v>937</v>
      </c>
      <c r="C82" s="153" t="s">
        <v>1028</v>
      </c>
      <c r="D82" s="153" t="s">
        <v>1029</v>
      </c>
      <c r="E82" s="153" t="s">
        <v>815</v>
      </c>
      <c r="F82" s="153" t="s">
        <v>1030</v>
      </c>
    </row>
    <row r="83" spans="1:6" ht="24" customHeight="1">
      <c r="A83" s="179" t="s">
        <v>6</v>
      </c>
      <c r="B83" s="153" t="s">
        <v>937</v>
      </c>
      <c r="C83" s="153" t="s">
        <v>1031</v>
      </c>
      <c r="D83" s="153" t="s">
        <v>1032</v>
      </c>
      <c r="E83" s="153" t="s">
        <v>868</v>
      </c>
      <c r="F83" s="153" t="s">
        <v>1033</v>
      </c>
    </row>
    <row r="84" spans="1:6" ht="24" customHeight="1">
      <c r="A84" s="179" t="s">
        <v>6</v>
      </c>
      <c r="B84" s="153" t="s">
        <v>1034</v>
      </c>
      <c r="C84" s="153" t="s">
        <v>1035</v>
      </c>
      <c r="D84" s="153" t="s">
        <v>1036</v>
      </c>
      <c r="E84" s="153" t="s">
        <v>836</v>
      </c>
      <c r="F84" s="153" t="s">
        <v>1037</v>
      </c>
    </row>
    <row r="85" spans="1:6" ht="24" customHeight="1">
      <c r="A85" s="179" t="s">
        <v>6</v>
      </c>
      <c r="B85" s="153" t="s">
        <v>1034</v>
      </c>
      <c r="C85" s="153" t="s">
        <v>1038</v>
      </c>
      <c r="D85" s="153" t="s">
        <v>1039</v>
      </c>
      <c r="E85" s="153" t="s">
        <v>836</v>
      </c>
      <c r="F85" s="153" t="s">
        <v>958</v>
      </c>
    </row>
    <row r="86" spans="1:6" ht="24" customHeight="1">
      <c r="A86" s="179" t="s">
        <v>6</v>
      </c>
      <c r="B86" s="153" t="s">
        <v>1034</v>
      </c>
      <c r="C86" s="153" t="s">
        <v>1040</v>
      </c>
      <c r="D86" s="153" t="s">
        <v>1041</v>
      </c>
      <c r="E86" s="153" t="s">
        <v>836</v>
      </c>
      <c r="F86" s="153" t="s">
        <v>908</v>
      </c>
    </row>
    <row r="87" spans="1:6" ht="24" customHeight="1">
      <c r="A87" s="179" t="s">
        <v>6</v>
      </c>
      <c r="B87" s="153" t="s">
        <v>1034</v>
      </c>
      <c r="C87" s="153" t="s">
        <v>1042</v>
      </c>
      <c r="D87" s="153" t="s">
        <v>1043</v>
      </c>
      <c r="E87" s="153"/>
      <c r="F87" s="153" t="s">
        <v>800</v>
      </c>
    </row>
    <row r="88" spans="1:6" ht="24" customHeight="1">
      <c r="A88" s="179" t="s">
        <v>6</v>
      </c>
      <c r="B88" s="153" t="s">
        <v>1044</v>
      </c>
      <c r="C88" s="153" t="s">
        <v>1045</v>
      </c>
      <c r="D88" s="153" t="s">
        <v>1046</v>
      </c>
      <c r="E88" s="153" t="s">
        <v>799</v>
      </c>
      <c r="F88" s="153" t="s">
        <v>1047</v>
      </c>
    </row>
    <row r="89" spans="1:6" ht="24" customHeight="1">
      <c r="A89" s="179" t="s">
        <v>6</v>
      </c>
      <c r="B89" s="153" t="s">
        <v>1044</v>
      </c>
      <c r="C89" s="153" t="s">
        <v>1048</v>
      </c>
      <c r="D89" s="153" t="s">
        <v>1049</v>
      </c>
      <c r="E89" s="153" t="s">
        <v>799</v>
      </c>
      <c r="F89" s="153" t="s">
        <v>1050</v>
      </c>
    </row>
    <row r="90" spans="1:6" ht="24" customHeight="1">
      <c r="A90" s="179" t="s">
        <v>6</v>
      </c>
      <c r="B90" s="153" t="s">
        <v>1044</v>
      </c>
      <c r="C90" s="153" t="s">
        <v>1051</v>
      </c>
      <c r="D90" s="153" t="s">
        <v>1052</v>
      </c>
      <c r="E90" s="153" t="s">
        <v>799</v>
      </c>
      <c r="F90" s="153" t="s">
        <v>1053</v>
      </c>
    </row>
    <row r="91" spans="1:6" ht="24" customHeight="1">
      <c r="A91" s="179" t="s">
        <v>6</v>
      </c>
      <c r="B91" s="153" t="s">
        <v>1044</v>
      </c>
      <c r="C91" s="153" t="s">
        <v>1054</v>
      </c>
      <c r="D91" s="153" t="s">
        <v>1055</v>
      </c>
      <c r="E91" s="153" t="s">
        <v>799</v>
      </c>
      <c r="F91" s="153" t="s">
        <v>1053</v>
      </c>
    </row>
    <row r="92" spans="1:6" ht="24" customHeight="1">
      <c r="A92" s="179" t="s">
        <v>6</v>
      </c>
      <c r="B92" s="153" t="s">
        <v>894</v>
      </c>
      <c r="C92" s="153" t="s">
        <v>1056</v>
      </c>
      <c r="D92" s="153" t="s">
        <v>1057</v>
      </c>
      <c r="E92" s="153" t="s">
        <v>825</v>
      </c>
      <c r="F92" s="153" t="s">
        <v>978</v>
      </c>
    </row>
    <row r="93" spans="1:6" ht="24" customHeight="1">
      <c r="A93" s="179" t="s">
        <v>6</v>
      </c>
      <c r="B93" s="153" t="s">
        <v>1058</v>
      </c>
      <c r="C93" s="153" t="s">
        <v>1059</v>
      </c>
      <c r="D93" s="153" t="s">
        <v>1060</v>
      </c>
      <c r="E93" s="153" t="s">
        <v>799</v>
      </c>
      <c r="F93" s="153" t="s">
        <v>1061</v>
      </c>
    </row>
    <row r="94" spans="1:6" ht="24" customHeight="1">
      <c r="A94" s="179" t="s">
        <v>6</v>
      </c>
      <c r="B94" s="153" t="s">
        <v>1058</v>
      </c>
      <c r="C94" s="153" t="s">
        <v>1062</v>
      </c>
      <c r="D94" s="153" t="s">
        <v>1063</v>
      </c>
      <c r="E94" s="153" t="s">
        <v>799</v>
      </c>
      <c r="F94" s="153" t="s">
        <v>1064</v>
      </c>
    </row>
    <row r="95" spans="1:6" ht="24" customHeight="1">
      <c r="A95" s="179" t="s">
        <v>6</v>
      </c>
      <c r="B95" s="153" t="s">
        <v>1065</v>
      </c>
      <c r="C95" s="153" t="s">
        <v>1066</v>
      </c>
      <c r="D95" s="153" t="s">
        <v>1067</v>
      </c>
      <c r="E95" s="153" t="s">
        <v>799</v>
      </c>
      <c r="F95" s="153" t="s">
        <v>1068</v>
      </c>
    </row>
    <row r="96" spans="1:6" ht="24" customHeight="1">
      <c r="A96" s="179" t="s">
        <v>6</v>
      </c>
      <c r="B96" s="153" t="s">
        <v>1065</v>
      </c>
      <c r="C96" s="153" t="s">
        <v>1069</v>
      </c>
      <c r="D96" s="153" t="s">
        <v>1070</v>
      </c>
      <c r="E96" s="153" t="s">
        <v>836</v>
      </c>
      <c r="F96" s="153" t="s">
        <v>876</v>
      </c>
    </row>
    <row r="97" spans="1:6" ht="24" customHeight="1">
      <c r="A97" s="179" t="s">
        <v>6</v>
      </c>
      <c r="B97" s="153" t="s">
        <v>199</v>
      </c>
      <c r="C97" s="153" t="s">
        <v>1071</v>
      </c>
      <c r="D97" s="153" t="s">
        <v>1072</v>
      </c>
      <c r="E97" s="153"/>
      <c r="F97" s="153" t="s">
        <v>1073</v>
      </c>
    </row>
    <row r="98" spans="1:6" ht="24" customHeight="1">
      <c r="A98" s="179" t="s">
        <v>6</v>
      </c>
      <c r="B98" s="153" t="s">
        <v>199</v>
      </c>
      <c r="C98" s="153" t="s">
        <v>1074</v>
      </c>
      <c r="D98" s="153" t="s">
        <v>1075</v>
      </c>
      <c r="E98" s="153"/>
      <c r="F98" s="153" t="s">
        <v>1076</v>
      </c>
    </row>
    <row r="99" spans="1:6" ht="24" customHeight="1">
      <c r="A99" s="177" t="s">
        <v>10</v>
      </c>
      <c r="B99" s="153" t="s">
        <v>854</v>
      </c>
      <c r="C99" s="153" t="s">
        <v>1077</v>
      </c>
      <c r="D99" s="153" t="s">
        <v>1078</v>
      </c>
      <c r="E99" s="153" t="s">
        <v>868</v>
      </c>
      <c r="F99" s="153"/>
    </row>
    <row r="100" spans="1:6" ht="24" customHeight="1">
      <c r="A100" s="177" t="s">
        <v>10</v>
      </c>
      <c r="B100" s="153" t="s">
        <v>854</v>
      </c>
      <c r="C100" s="153" t="s">
        <v>1079</v>
      </c>
      <c r="D100" s="153" t="s">
        <v>1080</v>
      </c>
      <c r="E100" s="153" t="s">
        <v>799</v>
      </c>
      <c r="F100" s="153" t="s">
        <v>833</v>
      </c>
    </row>
    <row r="101" spans="1:6" ht="24" customHeight="1">
      <c r="A101" s="177" t="s">
        <v>10</v>
      </c>
      <c r="B101" s="153" t="s">
        <v>1013</v>
      </c>
      <c r="C101" s="153" t="s">
        <v>1081</v>
      </c>
      <c r="D101" s="153" t="s">
        <v>1082</v>
      </c>
      <c r="E101" s="153" t="s">
        <v>819</v>
      </c>
      <c r="F101" s="153" t="s">
        <v>837</v>
      </c>
    </row>
    <row r="102" spans="1:6" ht="24" customHeight="1">
      <c r="A102" s="177" t="s">
        <v>10</v>
      </c>
      <c r="B102" s="153" t="s">
        <v>1013</v>
      </c>
      <c r="C102" s="153" t="s">
        <v>1083</v>
      </c>
      <c r="D102" s="153" t="s">
        <v>1084</v>
      </c>
      <c r="E102" s="153" t="s">
        <v>799</v>
      </c>
      <c r="F102" s="153" t="s">
        <v>829</v>
      </c>
    </row>
    <row r="103" spans="1:6" ht="24" customHeight="1">
      <c r="A103" s="177" t="s">
        <v>10</v>
      </c>
      <c r="B103" s="153" t="s">
        <v>1013</v>
      </c>
      <c r="C103" s="153" t="s">
        <v>1085</v>
      </c>
      <c r="D103" s="153" t="s">
        <v>1086</v>
      </c>
      <c r="E103" s="153" t="s">
        <v>799</v>
      </c>
      <c r="F103" s="153" t="s">
        <v>1087</v>
      </c>
    </row>
    <row r="104" spans="1:6" ht="24" customHeight="1">
      <c r="A104" s="177" t="s">
        <v>10</v>
      </c>
      <c r="B104" s="153" t="s">
        <v>1013</v>
      </c>
      <c r="C104" s="153" t="s">
        <v>1088</v>
      </c>
      <c r="D104" s="153" t="s">
        <v>1089</v>
      </c>
      <c r="E104" s="153" t="s">
        <v>875</v>
      </c>
      <c r="F104" s="153" t="s">
        <v>1090</v>
      </c>
    </row>
    <row r="105" spans="1:6" ht="24" customHeight="1">
      <c r="A105" s="177" t="s">
        <v>10</v>
      </c>
      <c r="B105" s="153" t="s">
        <v>1091</v>
      </c>
      <c r="C105" s="153" t="s">
        <v>1092</v>
      </c>
      <c r="D105" s="153" t="s">
        <v>1093</v>
      </c>
      <c r="E105" s="153" t="s">
        <v>868</v>
      </c>
      <c r="F105" s="153" t="s">
        <v>837</v>
      </c>
    </row>
    <row r="106" spans="1:6" ht="24" customHeight="1">
      <c r="A106" s="177" t="s">
        <v>10</v>
      </c>
      <c r="B106" s="153" t="s">
        <v>1091</v>
      </c>
      <c r="C106" s="153" t="s">
        <v>1094</v>
      </c>
      <c r="D106" s="153" t="s">
        <v>1095</v>
      </c>
      <c r="E106" s="153" t="s">
        <v>868</v>
      </c>
      <c r="F106" s="153" t="s">
        <v>829</v>
      </c>
    </row>
    <row r="107" spans="1:6" ht="24" customHeight="1">
      <c r="A107" s="177" t="s">
        <v>10</v>
      </c>
      <c r="B107" s="153" t="s">
        <v>1091</v>
      </c>
      <c r="C107" s="153" t="s">
        <v>1096</v>
      </c>
      <c r="D107" s="153" t="s">
        <v>1097</v>
      </c>
      <c r="E107" s="153" t="s">
        <v>868</v>
      </c>
      <c r="F107" s="153" t="s">
        <v>1025</v>
      </c>
    </row>
    <row r="108" spans="1:6" ht="24" customHeight="1">
      <c r="A108" s="177" t="s">
        <v>10</v>
      </c>
      <c r="B108" s="153" t="s">
        <v>1091</v>
      </c>
      <c r="C108" s="153" t="s">
        <v>1098</v>
      </c>
      <c r="D108" s="153" t="s">
        <v>1099</v>
      </c>
      <c r="E108" s="153" t="s">
        <v>868</v>
      </c>
      <c r="F108" s="153" t="s">
        <v>833</v>
      </c>
    </row>
    <row r="109" spans="1:6" ht="24" customHeight="1">
      <c r="A109" s="177" t="s">
        <v>10</v>
      </c>
      <c r="B109" s="153" t="s">
        <v>937</v>
      </c>
      <c r="C109" s="153" t="s">
        <v>1100</v>
      </c>
      <c r="D109" s="153" t="s">
        <v>1101</v>
      </c>
      <c r="E109" s="153" t="s">
        <v>799</v>
      </c>
      <c r="F109" s="153" t="s">
        <v>837</v>
      </c>
    </row>
    <row r="110" spans="1:6" ht="24" customHeight="1">
      <c r="A110" s="177" t="s">
        <v>10</v>
      </c>
      <c r="B110" s="153" t="s">
        <v>937</v>
      </c>
      <c r="C110" s="153" t="s">
        <v>1102</v>
      </c>
      <c r="D110" s="153" t="s">
        <v>1103</v>
      </c>
      <c r="E110" s="153"/>
      <c r="F110" s="153" t="s">
        <v>1104</v>
      </c>
    </row>
    <row r="111" spans="1:6" ht="24" customHeight="1">
      <c r="A111" s="177" t="s">
        <v>10</v>
      </c>
      <c r="B111" s="153" t="s">
        <v>937</v>
      </c>
      <c r="C111" s="153" t="s">
        <v>1105</v>
      </c>
      <c r="D111" s="153" t="s">
        <v>1106</v>
      </c>
      <c r="E111" s="153"/>
      <c r="F111" s="153" t="s">
        <v>1107</v>
      </c>
    </row>
    <row r="112" spans="1:6" ht="24" customHeight="1">
      <c r="A112" s="177" t="s">
        <v>10</v>
      </c>
      <c r="B112" s="153" t="s">
        <v>937</v>
      </c>
      <c r="C112" s="153" t="s">
        <v>1108</v>
      </c>
      <c r="D112" s="153" t="s">
        <v>1109</v>
      </c>
      <c r="E112" s="153" t="s">
        <v>836</v>
      </c>
      <c r="F112" s="153" t="s">
        <v>833</v>
      </c>
    </row>
    <row r="113" spans="1:6" ht="24" customHeight="1">
      <c r="A113" s="177" t="s">
        <v>10</v>
      </c>
      <c r="B113" s="153" t="s">
        <v>937</v>
      </c>
      <c r="C113" s="153" t="s">
        <v>1110</v>
      </c>
      <c r="D113" s="153" t="s">
        <v>1111</v>
      </c>
      <c r="E113" s="153" t="s">
        <v>836</v>
      </c>
      <c r="F113" s="153"/>
    </row>
    <row r="114" spans="1:6" ht="24" customHeight="1">
      <c r="A114" s="177" t="s">
        <v>10</v>
      </c>
      <c r="B114" s="153" t="s">
        <v>894</v>
      </c>
      <c r="C114" s="153" t="s">
        <v>1112</v>
      </c>
      <c r="D114" s="153" t="s">
        <v>1113</v>
      </c>
      <c r="E114" s="153" t="s">
        <v>825</v>
      </c>
      <c r="F114" s="153" t="s">
        <v>833</v>
      </c>
    </row>
    <row r="115" spans="1:6" ht="24" customHeight="1">
      <c r="A115" s="177" t="s">
        <v>10</v>
      </c>
      <c r="B115" s="153" t="s">
        <v>894</v>
      </c>
      <c r="C115" s="153" t="s">
        <v>1114</v>
      </c>
      <c r="D115" s="153" t="s">
        <v>1115</v>
      </c>
      <c r="E115" s="153" t="s">
        <v>836</v>
      </c>
      <c r="F115" s="153" t="s">
        <v>837</v>
      </c>
    </row>
    <row r="116" spans="1:6" ht="24" customHeight="1">
      <c r="A116" s="177" t="s">
        <v>10</v>
      </c>
      <c r="B116" s="153" t="s">
        <v>894</v>
      </c>
      <c r="C116" s="153" t="s">
        <v>1116</v>
      </c>
      <c r="D116" s="153" t="s">
        <v>1117</v>
      </c>
      <c r="E116" s="153" t="s">
        <v>836</v>
      </c>
      <c r="F116" s="153" t="s">
        <v>1118</v>
      </c>
    </row>
    <row r="117" spans="1:6" ht="24" customHeight="1">
      <c r="A117" s="177" t="s">
        <v>10</v>
      </c>
      <c r="B117" s="153" t="s">
        <v>894</v>
      </c>
      <c r="C117" s="153" t="s">
        <v>1119</v>
      </c>
      <c r="D117" s="153" t="s">
        <v>1120</v>
      </c>
      <c r="E117" s="153" t="s">
        <v>815</v>
      </c>
      <c r="F117" s="153"/>
    </row>
    <row r="118" spans="1:6" ht="24" customHeight="1">
      <c r="A118" s="177" t="s">
        <v>10</v>
      </c>
      <c r="B118" s="153" t="s">
        <v>894</v>
      </c>
      <c r="C118" s="153" t="s">
        <v>1121</v>
      </c>
      <c r="D118" s="153" t="s">
        <v>1122</v>
      </c>
      <c r="E118" s="153" t="s">
        <v>799</v>
      </c>
      <c r="F118" s="153" t="s">
        <v>1123</v>
      </c>
    </row>
    <row r="119" spans="1:6" ht="24" customHeight="1">
      <c r="A119" s="177" t="s">
        <v>10</v>
      </c>
      <c r="B119" s="153" t="s">
        <v>985</v>
      </c>
      <c r="C119" s="153" t="s">
        <v>1124</v>
      </c>
      <c r="D119" s="153" t="s">
        <v>1125</v>
      </c>
      <c r="E119" s="153" t="s">
        <v>836</v>
      </c>
      <c r="F119" s="153" t="s">
        <v>893</v>
      </c>
    </row>
    <row r="120" spans="1:6" ht="24" customHeight="1">
      <c r="A120" s="177" t="s">
        <v>10</v>
      </c>
      <c r="B120" s="153" t="s">
        <v>985</v>
      </c>
      <c r="C120" s="153" t="s">
        <v>1126</v>
      </c>
      <c r="D120" s="153" t="s">
        <v>1127</v>
      </c>
      <c r="E120" s="153" t="s">
        <v>799</v>
      </c>
      <c r="F120" s="153" t="s">
        <v>837</v>
      </c>
    </row>
    <row r="121" spans="1:6" ht="24" customHeight="1">
      <c r="A121" s="177" t="s">
        <v>10</v>
      </c>
      <c r="B121" s="153" t="s">
        <v>985</v>
      </c>
      <c r="C121" s="153" t="s">
        <v>1128</v>
      </c>
      <c r="D121" s="153" t="s">
        <v>1129</v>
      </c>
      <c r="E121" s="153" t="s">
        <v>836</v>
      </c>
      <c r="F121" s="153" t="s">
        <v>893</v>
      </c>
    </row>
    <row r="122" spans="1:6" ht="24" customHeight="1">
      <c r="A122" s="177" t="s">
        <v>10</v>
      </c>
      <c r="B122" s="153" t="s">
        <v>985</v>
      </c>
      <c r="C122" s="153" t="s">
        <v>1130</v>
      </c>
      <c r="D122" s="153" t="s">
        <v>1131</v>
      </c>
      <c r="E122" s="153" t="s">
        <v>836</v>
      </c>
      <c r="F122" s="153"/>
    </row>
    <row r="123" spans="1:6" ht="24" customHeight="1">
      <c r="A123" s="177" t="s">
        <v>10</v>
      </c>
      <c r="B123" s="153" t="s">
        <v>199</v>
      </c>
      <c r="C123" s="153" t="s">
        <v>1132</v>
      </c>
      <c r="D123" s="153" t="s">
        <v>1133</v>
      </c>
      <c r="E123" s="153"/>
      <c r="F123" s="153" t="s">
        <v>1134</v>
      </c>
    </row>
    <row r="124" spans="1:6" ht="24" customHeight="1">
      <c r="A124" s="177" t="s">
        <v>10</v>
      </c>
      <c r="B124" s="153" t="s">
        <v>199</v>
      </c>
      <c r="C124" s="153" t="s">
        <v>1135</v>
      </c>
      <c r="D124" s="153" t="s">
        <v>1136</v>
      </c>
      <c r="E124" s="153"/>
      <c r="F124" s="153" t="s">
        <v>1137</v>
      </c>
    </row>
    <row r="125" spans="1:6" ht="24" customHeight="1">
      <c r="A125" s="180" t="s">
        <v>4</v>
      </c>
      <c r="B125" s="153" t="s">
        <v>1138</v>
      </c>
      <c r="C125" s="153" t="s">
        <v>1139</v>
      </c>
      <c r="D125" s="153" t="s">
        <v>1140</v>
      </c>
      <c r="E125" s="153"/>
      <c r="F125" s="153"/>
    </row>
    <row r="126" spans="1:6" ht="24" customHeight="1">
      <c r="A126" s="180" t="s">
        <v>4</v>
      </c>
      <c r="B126" s="153" t="s">
        <v>1138</v>
      </c>
      <c r="C126" s="153" t="s">
        <v>1141</v>
      </c>
      <c r="D126" s="153" t="s">
        <v>1142</v>
      </c>
      <c r="E126" s="153"/>
      <c r="F126" s="153"/>
    </row>
    <row r="127" spans="1:6" ht="24" customHeight="1">
      <c r="A127" s="180" t="s">
        <v>4</v>
      </c>
      <c r="B127" s="153" t="s">
        <v>1143</v>
      </c>
      <c r="C127" s="153" t="s">
        <v>1144</v>
      </c>
      <c r="D127" s="153" t="s">
        <v>1145</v>
      </c>
      <c r="E127" s="153" t="s">
        <v>799</v>
      </c>
      <c r="F127" s="153"/>
    </row>
    <row r="128" spans="1:6" ht="24" customHeight="1">
      <c r="A128" s="180" t="s">
        <v>4</v>
      </c>
      <c r="B128" s="153" t="s">
        <v>1143</v>
      </c>
      <c r="C128" s="153" t="s">
        <v>1146</v>
      </c>
      <c r="D128" s="153" t="s">
        <v>1147</v>
      </c>
      <c r="E128" s="153" t="s">
        <v>799</v>
      </c>
      <c r="F128" s="153"/>
    </row>
    <row r="129" spans="1:6" ht="24" customHeight="1">
      <c r="A129" s="180" t="s">
        <v>4</v>
      </c>
      <c r="B129" s="153" t="s">
        <v>1148</v>
      </c>
      <c r="C129" s="153" t="s">
        <v>1149</v>
      </c>
      <c r="D129" s="153" t="s">
        <v>1150</v>
      </c>
      <c r="E129" s="153" t="s">
        <v>868</v>
      </c>
      <c r="F129" s="153"/>
    </row>
    <row r="130" spans="1:6" ht="24" customHeight="1">
      <c r="A130" s="180" t="s">
        <v>4</v>
      </c>
      <c r="B130" s="153" t="s">
        <v>1148</v>
      </c>
      <c r="C130" s="153" t="s">
        <v>1151</v>
      </c>
      <c r="D130" s="153" t="s">
        <v>1152</v>
      </c>
      <c r="E130" s="153" t="s">
        <v>868</v>
      </c>
      <c r="F130" s="153"/>
    </row>
    <row r="131" spans="1:6" ht="24" customHeight="1">
      <c r="A131" s="180" t="s">
        <v>4</v>
      </c>
      <c r="B131" s="153" t="s">
        <v>1153</v>
      </c>
      <c r="C131" s="153" t="s">
        <v>1154</v>
      </c>
      <c r="D131" s="153" t="s">
        <v>1155</v>
      </c>
      <c r="E131" s="153" t="s">
        <v>799</v>
      </c>
      <c r="F131" s="153"/>
    </row>
    <row r="132" spans="1:6" ht="24" customHeight="1">
      <c r="A132" s="180" t="s">
        <v>4</v>
      </c>
      <c r="B132" s="153" t="s">
        <v>1153</v>
      </c>
      <c r="C132" s="153" t="s">
        <v>1156</v>
      </c>
      <c r="D132" s="153" t="s">
        <v>1157</v>
      </c>
      <c r="E132" s="153" t="s">
        <v>799</v>
      </c>
      <c r="F132" s="153"/>
    </row>
    <row r="133" spans="1:6" ht="24" customHeight="1">
      <c r="A133" s="180" t="s">
        <v>4</v>
      </c>
      <c r="B133" s="153" t="s">
        <v>1153</v>
      </c>
      <c r="C133" s="153" t="s">
        <v>1158</v>
      </c>
      <c r="D133" s="153" t="s">
        <v>1159</v>
      </c>
      <c r="E133" s="153" t="s">
        <v>1160</v>
      </c>
      <c r="F133" s="153" t="s">
        <v>1161</v>
      </c>
    </row>
    <row r="134" spans="1:6" ht="24" customHeight="1">
      <c r="A134" s="180" t="s">
        <v>4</v>
      </c>
      <c r="B134" s="153" t="s">
        <v>1153</v>
      </c>
      <c r="C134" s="153" t="s">
        <v>1162</v>
      </c>
      <c r="D134" s="153" t="s">
        <v>1163</v>
      </c>
      <c r="E134" s="153" t="s">
        <v>868</v>
      </c>
      <c r="F134" s="153"/>
    </row>
    <row r="135" spans="1:6" ht="24" customHeight="1">
      <c r="A135" s="180" t="s">
        <v>4</v>
      </c>
      <c r="B135" s="153" t="s">
        <v>1164</v>
      </c>
      <c r="C135" s="153" t="s">
        <v>1165</v>
      </c>
      <c r="D135" s="153" t="s">
        <v>1166</v>
      </c>
      <c r="E135" s="153" t="s">
        <v>1160</v>
      </c>
      <c r="F135" s="153"/>
    </row>
    <row r="136" spans="1:6" ht="24" customHeight="1">
      <c r="A136" s="180" t="s">
        <v>4</v>
      </c>
      <c r="B136" s="153" t="s">
        <v>1164</v>
      </c>
      <c r="C136" s="153" t="s">
        <v>1167</v>
      </c>
      <c r="D136" s="153" t="s">
        <v>1168</v>
      </c>
      <c r="E136" s="153" t="s">
        <v>799</v>
      </c>
      <c r="F136" s="153"/>
    </row>
    <row r="137" spans="1:6" ht="24" customHeight="1">
      <c r="A137" s="180" t="s">
        <v>4</v>
      </c>
      <c r="B137" s="153" t="s">
        <v>1164</v>
      </c>
      <c r="C137" s="153" t="s">
        <v>1169</v>
      </c>
      <c r="D137" s="153" t="s">
        <v>1170</v>
      </c>
      <c r="E137" s="153" t="s">
        <v>815</v>
      </c>
      <c r="F137" s="153"/>
    </row>
    <row r="138" spans="1:6" ht="24" customHeight="1">
      <c r="A138" s="180" t="s">
        <v>4</v>
      </c>
      <c r="B138" s="153" t="s">
        <v>1164</v>
      </c>
      <c r="C138" s="153" t="s">
        <v>1171</v>
      </c>
      <c r="D138" s="153" t="s">
        <v>1172</v>
      </c>
      <c r="E138" s="153" t="s">
        <v>815</v>
      </c>
      <c r="F138" s="153"/>
    </row>
    <row r="139" spans="1:6" ht="24" customHeight="1">
      <c r="A139" s="180" t="s">
        <v>4</v>
      </c>
      <c r="B139" s="153" t="s">
        <v>1173</v>
      </c>
      <c r="C139" s="153" t="s">
        <v>1174</v>
      </c>
      <c r="D139" s="153" t="s">
        <v>1175</v>
      </c>
      <c r="E139" s="153" t="s">
        <v>815</v>
      </c>
      <c r="F139" s="153"/>
    </row>
    <row r="140" spans="1:6" ht="24" customHeight="1">
      <c r="A140" s="180" t="s">
        <v>4</v>
      </c>
      <c r="B140" s="153" t="s">
        <v>1173</v>
      </c>
      <c r="C140" s="153" t="s">
        <v>1176</v>
      </c>
      <c r="D140" s="153" t="s">
        <v>1177</v>
      </c>
      <c r="E140" s="153" t="s">
        <v>815</v>
      </c>
      <c r="F140" s="153"/>
    </row>
    <row r="141" spans="1:6" ht="24" customHeight="1">
      <c r="A141" s="180" t="s">
        <v>4</v>
      </c>
      <c r="B141" s="153" t="s">
        <v>1173</v>
      </c>
      <c r="C141" s="153" t="s">
        <v>1178</v>
      </c>
      <c r="D141" s="153" t="s">
        <v>1179</v>
      </c>
      <c r="E141" s="153" t="s">
        <v>815</v>
      </c>
      <c r="F141" s="153"/>
    </row>
    <row r="142" spans="1:6" ht="24" customHeight="1">
      <c r="A142" s="180" t="s">
        <v>4</v>
      </c>
      <c r="B142" s="153" t="s">
        <v>1180</v>
      </c>
      <c r="C142" s="153" t="s">
        <v>1181</v>
      </c>
      <c r="D142" s="153" t="s">
        <v>1182</v>
      </c>
      <c r="E142" s="153" t="s">
        <v>868</v>
      </c>
      <c r="F142" s="153"/>
    </row>
    <row r="143" spans="1:6" ht="24" customHeight="1">
      <c r="A143" s="180" t="s">
        <v>4</v>
      </c>
      <c r="B143" s="153" t="s">
        <v>1180</v>
      </c>
      <c r="C143" s="153" t="s">
        <v>1183</v>
      </c>
      <c r="D143" s="153" t="s">
        <v>1184</v>
      </c>
      <c r="E143" s="153" t="s">
        <v>815</v>
      </c>
      <c r="F143" s="153"/>
    </row>
    <row r="144" spans="1:6" ht="24" customHeight="1">
      <c r="A144" s="180" t="s">
        <v>4</v>
      </c>
      <c r="B144" s="153" t="s">
        <v>1180</v>
      </c>
      <c r="C144" s="153" t="s">
        <v>1185</v>
      </c>
      <c r="D144" s="153" t="s">
        <v>1186</v>
      </c>
      <c r="E144" s="153" t="s">
        <v>868</v>
      </c>
      <c r="F144" s="153"/>
    </row>
    <row r="145" spans="1:6" ht="24" customHeight="1">
      <c r="A145" s="180" t="s">
        <v>4</v>
      </c>
      <c r="B145" s="153" t="s">
        <v>1187</v>
      </c>
      <c r="C145" s="153" t="s">
        <v>1188</v>
      </c>
      <c r="D145" s="153" t="s">
        <v>1189</v>
      </c>
      <c r="E145" s="153"/>
      <c r="F145" s="153"/>
    </row>
    <row r="146" spans="1:6" ht="24" customHeight="1">
      <c r="A146" s="180" t="s">
        <v>4</v>
      </c>
      <c r="B146" s="153" t="s">
        <v>1187</v>
      </c>
      <c r="C146" s="153" t="s">
        <v>1190</v>
      </c>
      <c r="D146" s="153" t="s">
        <v>1191</v>
      </c>
      <c r="E146" s="153"/>
      <c r="F146" s="153"/>
    </row>
    <row r="147" spans="1:6" ht="24" customHeight="1">
      <c r="A147" s="181" t="s">
        <v>9</v>
      </c>
      <c r="B147" s="153" t="s">
        <v>1192</v>
      </c>
      <c r="C147" s="153" t="s">
        <v>1193</v>
      </c>
      <c r="D147" s="153" t="s">
        <v>1194</v>
      </c>
      <c r="E147" s="153"/>
      <c r="F147" s="153"/>
    </row>
    <row r="148" spans="1:6" ht="24" customHeight="1">
      <c r="A148" s="181" t="s">
        <v>9</v>
      </c>
      <c r="B148" s="153" t="s">
        <v>1192</v>
      </c>
      <c r="C148" s="153" t="s">
        <v>1195</v>
      </c>
      <c r="D148" s="153" t="s">
        <v>1196</v>
      </c>
      <c r="E148" s="153" t="s">
        <v>799</v>
      </c>
      <c r="F148" s="153" t="s">
        <v>800</v>
      </c>
    </row>
    <row r="149" spans="1:6" ht="24" customHeight="1">
      <c r="A149" s="181" t="s">
        <v>9</v>
      </c>
      <c r="B149" s="153" t="s">
        <v>1192</v>
      </c>
      <c r="C149" s="153" t="s">
        <v>1197</v>
      </c>
      <c r="D149" s="153" t="s">
        <v>1198</v>
      </c>
      <c r="E149" s="153" t="s">
        <v>799</v>
      </c>
      <c r="F149" s="153" t="s">
        <v>837</v>
      </c>
    </row>
    <row r="150" spans="1:6" ht="24" customHeight="1">
      <c r="A150" s="181" t="s">
        <v>9</v>
      </c>
      <c r="B150" s="153" t="s">
        <v>1192</v>
      </c>
      <c r="C150" s="153" t="s">
        <v>1199</v>
      </c>
      <c r="D150" s="153" t="s">
        <v>1200</v>
      </c>
      <c r="E150" s="153"/>
      <c r="F150" s="153" t="s">
        <v>1201</v>
      </c>
    </row>
    <row r="151" spans="1:6" ht="24" customHeight="1">
      <c r="A151" s="181" t="s">
        <v>9</v>
      </c>
      <c r="B151" s="153" t="s">
        <v>1202</v>
      </c>
      <c r="C151" s="153" t="s">
        <v>1203</v>
      </c>
      <c r="D151" s="153" t="s">
        <v>1204</v>
      </c>
      <c r="E151" s="153"/>
      <c r="F151" s="153"/>
    </row>
    <row r="152" spans="1:6" ht="24" customHeight="1">
      <c r="A152" s="181" t="s">
        <v>9</v>
      </c>
      <c r="B152" s="153" t="s">
        <v>1202</v>
      </c>
      <c r="C152" s="153" t="s">
        <v>1205</v>
      </c>
      <c r="D152" s="153" t="s">
        <v>1206</v>
      </c>
      <c r="E152" s="153"/>
      <c r="F152" s="153"/>
    </row>
    <row r="153" spans="1:6" ht="24" customHeight="1">
      <c r="A153" s="181" t="s">
        <v>9</v>
      </c>
      <c r="B153" s="153" t="s">
        <v>1202</v>
      </c>
      <c r="C153" s="153" t="s">
        <v>1207</v>
      </c>
      <c r="D153" s="153" t="s">
        <v>1208</v>
      </c>
      <c r="E153" s="153"/>
      <c r="F153" s="153"/>
    </row>
    <row r="154" spans="1:6" ht="24" customHeight="1">
      <c r="A154" s="181" t="s">
        <v>9</v>
      </c>
      <c r="B154" s="153" t="s">
        <v>1202</v>
      </c>
      <c r="C154" s="153" t="s">
        <v>1209</v>
      </c>
      <c r="D154" s="153" t="s">
        <v>1210</v>
      </c>
      <c r="E154" s="153"/>
      <c r="F154" s="153"/>
    </row>
    <row r="155" spans="1:6" ht="24" customHeight="1">
      <c r="A155" s="181" t="s">
        <v>9</v>
      </c>
      <c r="B155" s="153" t="s">
        <v>1211</v>
      </c>
      <c r="C155" s="153" t="s">
        <v>1212</v>
      </c>
      <c r="D155" s="153" t="s">
        <v>1213</v>
      </c>
      <c r="E155" s="153" t="s">
        <v>799</v>
      </c>
      <c r="F155" s="153" t="s">
        <v>800</v>
      </c>
    </row>
    <row r="156" spans="1:6" ht="24" customHeight="1">
      <c r="A156" s="181" t="s">
        <v>9</v>
      </c>
      <c r="B156" s="153" t="s">
        <v>1211</v>
      </c>
      <c r="C156" s="153" t="s">
        <v>1214</v>
      </c>
      <c r="D156" s="153" t="s">
        <v>1215</v>
      </c>
      <c r="E156" s="153" t="s">
        <v>799</v>
      </c>
      <c r="F156" s="153" t="s">
        <v>800</v>
      </c>
    </row>
    <row r="157" spans="1:6" ht="24" customHeight="1">
      <c r="A157" s="181" t="s">
        <v>9</v>
      </c>
      <c r="B157" s="153" t="s">
        <v>1211</v>
      </c>
      <c r="C157" s="153" t="s">
        <v>1216</v>
      </c>
      <c r="D157" s="153" t="s">
        <v>1217</v>
      </c>
      <c r="E157" s="153" t="s">
        <v>799</v>
      </c>
      <c r="F157" s="153" t="s">
        <v>800</v>
      </c>
    </row>
    <row r="158" spans="1:6" ht="24" customHeight="1">
      <c r="A158" s="181" t="s">
        <v>9</v>
      </c>
      <c r="B158" s="153" t="s">
        <v>1211</v>
      </c>
      <c r="C158" s="153" t="s">
        <v>1218</v>
      </c>
      <c r="D158" s="153" t="s">
        <v>1219</v>
      </c>
      <c r="E158" s="153" t="s">
        <v>799</v>
      </c>
      <c r="F158" s="153" t="s">
        <v>800</v>
      </c>
    </row>
    <row r="159" spans="1:6" ht="24" customHeight="1">
      <c r="A159" s="181" t="s">
        <v>9</v>
      </c>
      <c r="B159" s="153" t="s">
        <v>1220</v>
      </c>
      <c r="C159" s="153" t="s">
        <v>1221</v>
      </c>
      <c r="D159" s="153" t="s">
        <v>1222</v>
      </c>
      <c r="E159" s="153" t="s">
        <v>799</v>
      </c>
      <c r="F159" s="153" t="s">
        <v>837</v>
      </c>
    </row>
    <row r="160" spans="1:6" ht="24" customHeight="1">
      <c r="A160" s="181" t="s">
        <v>9</v>
      </c>
      <c r="B160" s="153" t="s">
        <v>1220</v>
      </c>
      <c r="C160" s="153" t="s">
        <v>1223</v>
      </c>
      <c r="D160" s="153" t="s">
        <v>1224</v>
      </c>
      <c r="E160" s="153"/>
      <c r="F160" s="153"/>
    </row>
    <row r="161" spans="1:6" ht="24" customHeight="1">
      <c r="A161" s="181" t="s">
        <v>9</v>
      </c>
      <c r="B161" s="153" t="s">
        <v>1220</v>
      </c>
      <c r="C161" s="153" t="s">
        <v>1225</v>
      </c>
      <c r="D161" s="153" t="s">
        <v>1226</v>
      </c>
      <c r="E161" s="153"/>
      <c r="F161" s="153"/>
    </row>
    <row r="162" spans="1:6" ht="24" customHeight="1">
      <c r="A162" s="181" t="s">
        <v>9</v>
      </c>
      <c r="B162" s="153" t="s">
        <v>1220</v>
      </c>
      <c r="C162" s="153" t="s">
        <v>1227</v>
      </c>
      <c r="D162" s="153" t="s">
        <v>1228</v>
      </c>
      <c r="E162" s="153"/>
      <c r="F162" s="153"/>
    </row>
    <row r="163" spans="1:6" ht="24" customHeight="1">
      <c r="A163" s="181" t="s">
        <v>9</v>
      </c>
      <c r="B163" s="153" t="s">
        <v>1229</v>
      </c>
      <c r="C163" s="153" t="s">
        <v>1230</v>
      </c>
      <c r="D163" s="153" t="s">
        <v>1231</v>
      </c>
      <c r="E163" s="153" t="s">
        <v>799</v>
      </c>
      <c r="F163" s="153" t="s">
        <v>800</v>
      </c>
    </row>
    <row r="164" spans="1:6" ht="24" customHeight="1">
      <c r="A164" s="181" t="s">
        <v>9</v>
      </c>
      <c r="B164" s="153" t="s">
        <v>1229</v>
      </c>
      <c r="C164" s="153" t="s">
        <v>1232</v>
      </c>
      <c r="D164" s="153" t="s">
        <v>1233</v>
      </c>
      <c r="E164" s="153" t="s">
        <v>836</v>
      </c>
      <c r="F164" s="153" t="s">
        <v>800</v>
      </c>
    </row>
    <row r="165" spans="1:6" ht="24" customHeight="1">
      <c r="A165" s="181" t="s">
        <v>9</v>
      </c>
      <c r="B165" s="153" t="s">
        <v>1229</v>
      </c>
      <c r="C165" s="153" t="s">
        <v>1234</v>
      </c>
      <c r="D165" s="153" t="s">
        <v>1235</v>
      </c>
      <c r="E165" s="153" t="s">
        <v>836</v>
      </c>
      <c r="F165" s="153" t="s">
        <v>800</v>
      </c>
    </row>
    <row r="166" spans="1:6" ht="24" customHeight="1">
      <c r="A166" s="181" t="s">
        <v>9</v>
      </c>
      <c r="B166" s="153" t="s">
        <v>1229</v>
      </c>
      <c r="C166" s="153" t="s">
        <v>1236</v>
      </c>
      <c r="D166" s="153" t="s">
        <v>1237</v>
      </c>
      <c r="E166" s="153"/>
      <c r="F166" s="153" t="s">
        <v>800</v>
      </c>
    </row>
    <row r="167" spans="1:6" ht="24" customHeight="1">
      <c r="A167" s="181" t="s">
        <v>9</v>
      </c>
      <c r="B167" s="153" t="s">
        <v>1229</v>
      </c>
      <c r="C167" s="153" t="s">
        <v>1238</v>
      </c>
      <c r="D167" s="153" t="s">
        <v>1239</v>
      </c>
      <c r="E167" s="153"/>
      <c r="F167" s="153" t="s">
        <v>800</v>
      </c>
    </row>
    <row r="168" spans="1:6" ht="24" customHeight="1">
      <c r="A168" s="181" t="s">
        <v>9</v>
      </c>
      <c r="B168" s="153" t="s">
        <v>1240</v>
      </c>
      <c r="C168" s="153" t="s">
        <v>1241</v>
      </c>
      <c r="D168" s="153" t="s">
        <v>1242</v>
      </c>
      <c r="E168" s="153"/>
      <c r="F168" s="153" t="s">
        <v>1201</v>
      </c>
    </row>
    <row r="169" spans="1:6" ht="24" customHeight="1">
      <c r="A169" s="181" t="s">
        <v>9</v>
      </c>
      <c r="B169" s="153" t="s">
        <v>1243</v>
      </c>
      <c r="C169" s="153" t="s">
        <v>1244</v>
      </c>
      <c r="D169" s="153" t="s">
        <v>1245</v>
      </c>
      <c r="E169" s="153"/>
      <c r="F169" s="153"/>
    </row>
    <row r="170" spans="1:6" ht="24" customHeight="1">
      <c r="A170" s="181" t="s">
        <v>9</v>
      </c>
      <c r="B170" s="153" t="s">
        <v>1243</v>
      </c>
      <c r="C170" s="153" t="s">
        <v>1246</v>
      </c>
      <c r="D170" s="153" t="s">
        <v>1247</v>
      </c>
      <c r="E170" s="153"/>
      <c r="F170" s="153"/>
    </row>
    <row r="171" spans="1:6" ht="24" customHeight="1">
      <c r="A171" s="181" t="s">
        <v>9</v>
      </c>
      <c r="B171" s="153" t="s">
        <v>1243</v>
      </c>
      <c r="C171" s="153" t="s">
        <v>1248</v>
      </c>
      <c r="D171" s="153" t="s">
        <v>1249</v>
      </c>
      <c r="E171" s="153"/>
      <c r="F171" s="153"/>
    </row>
    <row r="172" spans="1:6" ht="24" customHeight="1">
      <c r="A172" s="181" t="s">
        <v>9</v>
      </c>
      <c r="B172" s="153" t="s">
        <v>1243</v>
      </c>
      <c r="C172" s="153" t="s">
        <v>1250</v>
      </c>
      <c r="D172" s="153" t="s">
        <v>1251</v>
      </c>
      <c r="E172" s="153"/>
      <c r="F172" s="153"/>
    </row>
    <row r="173" spans="1:6" ht="24" customHeight="1">
      <c r="A173" s="181" t="s">
        <v>9</v>
      </c>
      <c r="B173" s="153" t="s">
        <v>1252</v>
      </c>
      <c r="C173" s="153" t="s">
        <v>1253</v>
      </c>
      <c r="D173" s="153" t="s">
        <v>1254</v>
      </c>
      <c r="E173" s="153"/>
      <c r="F173" s="153"/>
    </row>
    <row r="174" spans="1:6" ht="24" customHeight="1">
      <c r="A174" s="181" t="s">
        <v>9</v>
      </c>
      <c r="B174" s="153" t="s">
        <v>1252</v>
      </c>
      <c r="C174" s="153" t="s">
        <v>1255</v>
      </c>
      <c r="D174" s="153" t="s">
        <v>1256</v>
      </c>
      <c r="E174" s="153"/>
      <c r="F174" s="153"/>
    </row>
    <row r="175" spans="1:6" ht="24" customHeight="1">
      <c r="A175" s="181" t="s">
        <v>9</v>
      </c>
      <c r="B175" s="153" t="s">
        <v>1252</v>
      </c>
      <c r="C175" s="153" t="s">
        <v>1257</v>
      </c>
      <c r="D175" s="153" t="s">
        <v>1258</v>
      </c>
      <c r="E175" s="153"/>
      <c r="F175" s="153"/>
    </row>
    <row r="176" spans="1:6" ht="24" customHeight="1">
      <c r="A176" s="181" t="s">
        <v>9</v>
      </c>
      <c r="B176" s="153" t="s">
        <v>1252</v>
      </c>
      <c r="C176" s="153" t="s">
        <v>1259</v>
      </c>
      <c r="D176" s="153" t="s">
        <v>1260</v>
      </c>
      <c r="E176" s="153"/>
      <c r="F176" s="153"/>
    </row>
    <row r="177" spans="1:6" ht="24" customHeight="1">
      <c r="A177" s="181" t="s">
        <v>9</v>
      </c>
      <c r="B177" s="153" t="s">
        <v>1261</v>
      </c>
      <c r="C177" s="153" t="s">
        <v>1262</v>
      </c>
      <c r="D177" s="153" t="s">
        <v>1263</v>
      </c>
      <c r="E177" s="153" t="s">
        <v>799</v>
      </c>
      <c r="F177" s="153" t="s">
        <v>837</v>
      </c>
    </row>
    <row r="178" spans="1:6" ht="24" customHeight="1">
      <c r="A178" s="181" t="s">
        <v>9</v>
      </c>
      <c r="B178" s="153" t="s">
        <v>1261</v>
      </c>
      <c r="C178" s="153" t="s">
        <v>1264</v>
      </c>
      <c r="D178" s="153" t="s">
        <v>1265</v>
      </c>
      <c r="E178" s="153"/>
      <c r="F178" s="153"/>
    </row>
    <row r="179" spans="1:6" ht="24" customHeight="1">
      <c r="A179" s="181" t="s">
        <v>9</v>
      </c>
      <c r="B179" s="153" t="s">
        <v>1261</v>
      </c>
      <c r="C179" s="153" t="s">
        <v>1266</v>
      </c>
      <c r="D179" s="153" t="s">
        <v>1267</v>
      </c>
      <c r="E179" s="153"/>
      <c r="F179" s="153" t="s">
        <v>1268</v>
      </c>
    </row>
    <row r="180" spans="1:6" ht="24" customHeight="1">
      <c r="A180" s="181" t="s">
        <v>9</v>
      </c>
      <c r="B180" s="153" t="s">
        <v>1261</v>
      </c>
      <c r="C180" s="153" t="s">
        <v>1269</v>
      </c>
      <c r="D180" s="153" t="s">
        <v>1270</v>
      </c>
      <c r="E180" s="153"/>
      <c r="F180" s="153"/>
    </row>
    <row r="181" spans="1:6" ht="24" customHeight="1">
      <c r="A181" s="181" t="s">
        <v>9</v>
      </c>
      <c r="B181" s="153" t="s">
        <v>1271</v>
      </c>
      <c r="C181" s="153" t="s">
        <v>1272</v>
      </c>
      <c r="D181" s="153" t="s">
        <v>1273</v>
      </c>
      <c r="E181" s="153" t="s">
        <v>799</v>
      </c>
      <c r="F181" s="153" t="s">
        <v>837</v>
      </c>
    </row>
    <row r="182" spans="1:6" ht="24" customHeight="1">
      <c r="A182" s="181" t="s">
        <v>9</v>
      </c>
      <c r="B182" s="153" t="s">
        <v>1271</v>
      </c>
      <c r="C182" s="153" t="s">
        <v>1274</v>
      </c>
      <c r="D182" s="153" t="s">
        <v>1275</v>
      </c>
      <c r="E182" s="153" t="s">
        <v>836</v>
      </c>
      <c r="F182" s="153" t="s">
        <v>837</v>
      </c>
    </row>
    <row r="183" spans="1:6" ht="24" customHeight="1">
      <c r="A183" s="181" t="s">
        <v>9</v>
      </c>
      <c r="B183" s="153" t="s">
        <v>1271</v>
      </c>
      <c r="C183" s="153" t="s">
        <v>1276</v>
      </c>
      <c r="D183" s="153" t="s">
        <v>1277</v>
      </c>
      <c r="E183" s="153" t="s">
        <v>836</v>
      </c>
      <c r="F183" s="153" t="s">
        <v>837</v>
      </c>
    </row>
    <row r="184" spans="1:6" ht="24" customHeight="1">
      <c r="A184" s="181" t="s">
        <v>9</v>
      </c>
      <c r="B184" s="153" t="s">
        <v>1271</v>
      </c>
      <c r="C184" s="153" t="s">
        <v>1278</v>
      </c>
      <c r="D184" s="153" t="s">
        <v>1279</v>
      </c>
      <c r="E184" s="153"/>
      <c r="F184" s="153" t="s">
        <v>829</v>
      </c>
    </row>
    <row r="185" spans="1:6" ht="24" customHeight="1">
      <c r="A185" s="181" t="s">
        <v>9</v>
      </c>
      <c r="B185" s="153" t="s">
        <v>1271</v>
      </c>
      <c r="C185" s="153" t="s">
        <v>1280</v>
      </c>
      <c r="D185" s="153" t="s">
        <v>1281</v>
      </c>
      <c r="E185" s="153"/>
      <c r="F185" s="153" t="s">
        <v>829</v>
      </c>
    </row>
    <row r="186" spans="1:6" ht="24" customHeight="1">
      <c r="A186" s="181" t="s">
        <v>9</v>
      </c>
      <c r="B186" s="153" t="s">
        <v>1282</v>
      </c>
      <c r="C186" s="153" t="s">
        <v>1283</v>
      </c>
      <c r="D186" s="153" t="s">
        <v>1284</v>
      </c>
      <c r="E186" s="153"/>
      <c r="F186" s="153"/>
    </row>
    <row r="187" spans="1:6" ht="24" customHeight="1">
      <c r="A187" s="181" t="s">
        <v>9</v>
      </c>
      <c r="B187" s="153" t="s">
        <v>1282</v>
      </c>
      <c r="C187" s="153" t="s">
        <v>1285</v>
      </c>
      <c r="D187" s="153" t="s">
        <v>1286</v>
      </c>
      <c r="E187" s="153"/>
      <c r="F187" s="153"/>
    </row>
    <row r="188" spans="1:6" ht="24" customHeight="1">
      <c r="A188" s="181" t="s">
        <v>9</v>
      </c>
      <c r="B188" s="153" t="s">
        <v>1282</v>
      </c>
      <c r="C188" s="153" t="s">
        <v>1287</v>
      </c>
      <c r="D188" s="153" t="s">
        <v>1288</v>
      </c>
      <c r="E188" s="153"/>
      <c r="F188" s="153"/>
    </row>
    <row r="189" spans="1:6" ht="24" customHeight="1">
      <c r="A189" s="181" t="s">
        <v>9</v>
      </c>
      <c r="B189" s="153" t="s">
        <v>1282</v>
      </c>
      <c r="C189" s="153" t="s">
        <v>1289</v>
      </c>
      <c r="D189" s="153" t="s">
        <v>1290</v>
      </c>
      <c r="E189" s="153"/>
      <c r="F189" s="153"/>
    </row>
    <row r="190" spans="1:6" ht="24" customHeight="1">
      <c r="A190" s="181" t="s">
        <v>9</v>
      </c>
      <c r="B190" s="153" t="s">
        <v>1291</v>
      </c>
      <c r="C190" s="153" t="s">
        <v>1292</v>
      </c>
      <c r="D190" s="153" t="s">
        <v>1293</v>
      </c>
      <c r="E190" s="153"/>
      <c r="F190" s="153"/>
    </row>
    <row r="191" spans="1:6" ht="24" customHeight="1">
      <c r="A191" s="181" t="s">
        <v>9</v>
      </c>
      <c r="B191" s="153" t="s">
        <v>1291</v>
      </c>
      <c r="C191" s="153" t="s">
        <v>1294</v>
      </c>
      <c r="D191" s="153" t="s">
        <v>1295</v>
      </c>
      <c r="E191" s="153"/>
      <c r="F191" s="153"/>
    </row>
    <row r="192" spans="1:6" ht="24" customHeight="1">
      <c r="A192" s="181" t="s">
        <v>9</v>
      </c>
      <c r="B192" s="153" t="s">
        <v>1291</v>
      </c>
      <c r="C192" s="153" t="s">
        <v>1296</v>
      </c>
      <c r="D192" s="153" t="s">
        <v>1297</v>
      </c>
      <c r="E192" s="153"/>
      <c r="F192" s="153"/>
    </row>
    <row r="193" spans="1:6" ht="24" customHeight="1">
      <c r="A193" s="181" t="s">
        <v>9</v>
      </c>
      <c r="B193" s="153" t="s">
        <v>1291</v>
      </c>
      <c r="C193" s="153" t="s">
        <v>1298</v>
      </c>
      <c r="D193" s="153" t="s">
        <v>1299</v>
      </c>
      <c r="E193" s="153"/>
      <c r="F193" s="153"/>
    </row>
    <row r="194" spans="1:6" ht="24" customHeight="1">
      <c r="A194" s="181" t="s">
        <v>9</v>
      </c>
      <c r="B194" s="153" t="s">
        <v>1300</v>
      </c>
      <c r="C194" s="153" t="s">
        <v>1301</v>
      </c>
      <c r="D194" s="153" t="s">
        <v>1302</v>
      </c>
      <c r="E194" s="153" t="s">
        <v>799</v>
      </c>
      <c r="F194" s="153" t="s">
        <v>829</v>
      </c>
    </row>
    <row r="195" spans="1:6" ht="24" customHeight="1">
      <c r="A195" s="181" t="s">
        <v>9</v>
      </c>
      <c r="B195" s="153" t="s">
        <v>1300</v>
      </c>
      <c r="C195" s="153" t="s">
        <v>1303</v>
      </c>
      <c r="D195" s="153" t="s">
        <v>1304</v>
      </c>
      <c r="E195" s="153"/>
      <c r="F195" s="153" t="s">
        <v>829</v>
      </c>
    </row>
    <row r="196" spans="1:6" ht="24" customHeight="1">
      <c r="A196" s="181" t="s">
        <v>9</v>
      </c>
      <c r="B196" s="153" t="s">
        <v>1300</v>
      </c>
      <c r="C196" s="153" t="s">
        <v>1305</v>
      </c>
      <c r="D196" s="153" t="s">
        <v>1306</v>
      </c>
      <c r="E196" s="153"/>
      <c r="F196" s="153"/>
    </row>
    <row r="197" spans="1:6" ht="24" customHeight="1">
      <c r="A197" s="181" t="s">
        <v>9</v>
      </c>
      <c r="B197" s="153" t="s">
        <v>1300</v>
      </c>
      <c r="C197" s="153" t="s">
        <v>1307</v>
      </c>
      <c r="D197" s="153" t="s">
        <v>1308</v>
      </c>
      <c r="E197" s="153"/>
      <c r="F197" s="153" t="s">
        <v>1309</v>
      </c>
    </row>
    <row r="198" spans="1:6" ht="24" customHeight="1">
      <c r="A198" s="181" t="s">
        <v>9</v>
      </c>
      <c r="B198" s="153" t="s">
        <v>1300</v>
      </c>
      <c r="C198" s="153" t="s">
        <v>1310</v>
      </c>
      <c r="D198" s="153" t="s">
        <v>1311</v>
      </c>
      <c r="E198" s="153"/>
      <c r="F198" s="153"/>
    </row>
    <row r="199" spans="1:6" ht="24" customHeight="1">
      <c r="A199" s="181" t="s">
        <v>9</v>
      </c>
      <c r="B199" s="153" t="s">
        <v>1312</v>
      </c>
      <c r="C199" s="153" t="s">
        <v>1313</v>
      </c>
      <c r="D199" s="153" t="s">
        <v>1314</v>
      </c>
      <c r="E199" s="153" t="s">
        <v>799</v>
      </c>
      <c r="F199" s="153" t="s">
        <v>833</v>
      </c>
    </row>
    <row r="200" spans="1:6" ht="24" customHeight="1">
      <c r="A200" s="181" t="s">
        <v>9</v>
      </c>
      <c r="B200" s="153" t="s">
        <v>1312</v>
      </c>
      <c r="C200" s="153" t="s">
        <v>1315</v>
      </c>
      <c r="D200" s="153" t="s">
        <v>1316</v>
      </c>
      <c r="E200" s="153" t="s">
        <v>836</v>
      </c>
      <c r="F200" s="153" t="s">
        <v>833</v>
      </c>
    </row>
    <row r="201" spans="1:6" ht="24" customHeight="1">
      <c r="A201" s="181" t="s">
        <v>9</v>
      </c>
      <c r="B201" s="153" t="s">
        <v>1312</v>
      </c>
      <c r="C201" s="153" t="s">
        <v>1317</v>
      </c>
      <c r="D201" s="153" t="s">
        <v>1318</v>
      </c>
      <c r="E201" s="153"/>
      <c r="F201" s="153" t="s">
        <v>833</v>
      </c>
    </row>
    <row r="202" spans="1:6" ht="24" customHeight="1">
      <c r="A202" s="181" t="s">
        <v>9</v>
      </c>
      <c r="B202" s="153" t="s">
        <v>1312</v>
      </c>
      <c r="C202" s="153" t="s">
        <v>1319</v>
      </c>
      <c r="D202" s="153" t="s">
        <v>1320</v>
      </c>
      <c r="E202" s="153"/>
      <c r="F202" s="153" t="s">
        <v>1118</v>
      </c>
    </row>
    <row r="203" spans="1:6" ht="24" customHeight="1">
      <c r="A203" s="181" t="s">
        <v>9</v>
      </c>
      <c r="B203" s="153" t="s">
        <v>1312</v>
      </c>
      <c r="C203" s="153" t="s">
        <v>1321</v>
      </c>
      <c r="D203" s="153" t="s">
        <v>1322</v>
      </c>
      <c r="E203" s="153"/>
      <c r="F203" s="153" t="s">
        <v>978</v>
      </c>
    </row>
    <row r="204" spans="1:6" ht="24" customHeight="1">
      <c r="A204" s="183" t="s">
        <v>447</v>
      </c>
      <c r="B204" s="153" t="s">
        <v>1323</v>
      </c>
      <c r="C204" s="153" t="s">
        <v>1324</v>
      </c>
      <c r="D204" s="153" t="s">
        <v>1325</v>
      </c>
      <c r="E204" s="153" t="s">
        <v>875</v>
      </c>
      <c r="F204" s="153" t="s">
        <v>1326</v>
      </c>
    </row>
    <row r="205" spans="1:6" ht="24" customHeight="1">
      <c r="A205" s="183" t="s">
        <v>447</v>
      </c>
      <c r="B205" s="153" t="s">
        <v>1323</v>
      </c>
      <c r="C205" s="153" t="s">
        <v>1327</v>
      </c>
      <c r="D205" s="153" t="s">
        <v>1328</v>
      </c>
      <c r="E205" s="153" t="s">
        <v>857</v>
      </c>
      <c r="F205" s="153" t="s">
        <v>1326</v>
      </c>
    </row>
    <row r="206" spans="1:6" ht="24" customHeight="1">
      <c r="A206" s="183" t="s">
        <v>447</v>
      </c>
      <c r="B206" s="153" t="s">
        <v>1323</v>
      </c>
      <c r="C206" s="153" t="s">
        <v>1329</v>
      </c>
      <c r="D206" s="153" t="s">
        <v>1330</v>
      </c>
      <c r="E206" s="153" t="s">
        <v>799</v>
      </c>
      <c r="F206" s="153" t="s">
        <v>1326</v>
      </c>
    </row>
    <row r="207" spans="1:6" ht="24" customHeight="1">
      <c r="A207" s="183" t="s">
        <v>447</v>
      </c>
      <c r="B207" s="153" t="s">
        <v>1323</v>
      </c>
      <c r="C207" s="153" t="s">
        <v>1331</v>
      </c>
      <c r="D207" s="153" t="s">
        <v>1332</v>
      </c>
      <c r="E207" s="153" t="s">
        <v>836</v>
      </c>
      <c r="F207" s="153" t="s">
        <v>1326</v>
      </c>
    </row>
    <row r="208" spans="1:6" ht="24" customHeight="1">
      <c r="A208" s="183" t="s">
        <v>447</v>
      </c>
      <c r="B208" s="153" t="s">
        <v>1333</v>
      </c>
      <c r="C208" s="153" t="s">
        <v>1334</v>
      </c>
      <c r="D208" s="153" t="s">
        <v>1335</v>
      </c>
      <c r="E208" s="153" t="s">
        <v>799</v>
      </c>
      <c r="F208" s="153" t="s">
        <v>1326</v>
      </c>
    </row>
    <row r="209" spans="1:6" ht="24" customHeight="1">
      <c r="A209" s="183" t="s">
        <v>447</v>
      </c>
      <c r="B209" s="153" t="s">
        <v>1333</v>
      </c>
      <c r="C209" s="153" t="s">
        <v>1336</v>
      </c>
      <c r="D209" s="153" t="s">
        <v>1337</v>
      </c>
      <c r="E209" s="153" t="s">
        <v>1338</v>
      </c>
      <c r="F209" s="153" t="s">
        <v>1326</v>
      </c>
    </row>
    <row r="210" spans="1:6" ht="24" customHeight="1">
      <c r="A210" s="183" t="s">
        <v>447</v>
      </c>
      <c r="B210" s="153" t="s">
        <v>1333</v>
      </c>
      <c r="C210" s="153" t="s">
        <v>1339</v>
      </c>
      <c r="D210" s="153" t="s">
        <v>1340</v>
      </c>
      <c r="E210" s="153" t="s">
        <v>799</v>
      </c>
      <c r="F210" s="153" t="s">
        <v>1326</v>
      </c>
    </row>
    <row r="211" spans="1:6" ht="24" customHeight="1">
      <c r="A211" s="183" t="s">
        <v>447</v>
      </c>
      <c r="B211" s="153" t="s">
        <v>1333</v>
      </c>
      <c r="C211" s="153" t="s">
        <v>1341</v>
      </c>
      <c r="D211" s="153" t="s">
        <v>1342</v>
      </c>
      <c r="E211" s="153" t="s">
        <v>819</v>
      </c>
      <c r="F211" s="153" t="s">
        <v>1343</v>
      </c>
    </row>
    <row r="212" spans="1:6" ht="24" customHeight="1">
      <c r="A212" s="183" t="s">
        <v>447</v>
      </c>
      <c r="B212" s="153" t="s">
        <v>1344</v>
      </c>
      <c r="C212" s="153" t="s">
        <v>1345</v>
      </c>
      <c r="D212" s="153" t="s">
        <v>1346</v>
      </c>
      <c r="E212" s="153" t="s">
        <v>799</v>
      </c>
      <c r="F212" s="153" t="s">
        <v>1326</v>
      </c>
    </row>
    <row r="213" spans="1:6" ht="24" customHeight="1">
      <c r="A213" s="183" t="s">
        <v>447</v>
      </c>
      <c r="B213" s="153" t="s">
        <v>1344</v>
      </c>
      <c r="C213" s="153" t="s">
        <v>1347</v>
      </c>
      <c r="D213" s="153" t="s">
        <v>1348</v>
      </c>
      <c r="E213" s="153" t="s">
        <v>857</v>
      </c>
      <c r="F213" s="153" t="s">
        <v>1326</v>
      </c>
    </row>
    <row r="214" spans="1:6" ht="24" customHeight="1">
      <c r="A214" s="183" t="s">
        <v>447</v>
      </c>
      <c r="B214" s="153" t="s">
        <v>1344</v>
      </c>
      <c r="C214" s="153" t="s">
        <v>1349</v>
      </c>
      <c r="D214" s="153" t="s">
        <v>1350</v>
      </c>
      <c r="E214" s="153" t="s">
        <v>799</v>
      </c>
      <c r="F214" s="153" t="s">
        <v>1326</v>
      </c>
    </row>
    <row r="215" spans="1:6" ht="24" customHeight="1">
      <c r="A215" s="183" t="s">
        <v>447</v>
      </c>
      <c r="B215" s="153" t="s">
        <v>1344</v>
      </c>
      <c r="C215" s="153" t="s">
        <v>1351</v>
      </c>
      <c r="D215" s="153" t="s">
        <v>1352</v>
      </c>
      <c r="E215" s="153" t="s">
        <v>836</v>
      </c>
      <c r="F215" s="153" t="s">
        <v>1343</v>
      </c>
    </row>
    <row r="216" spans="1:6" ht="24" customHeight="1">
      <c r="A216" s="183" t="s">
        <v>447</v>
      </c>
      <c r="B216" s="153" t="s">
        <v>1353</v>
      </c>
      <c r="C216" s="153" t="s">
        <v>1354</v>
      </c>
      <c r="D216" s="153" t="s">
        <v>1355</v>
      </c>
      <c r="E216" s="153" t="s">
        <v>799</v>
      </c>
      <c r="F216" s="153" t="s">
        <v>1326</v>
      </c>
    </row>
    <row r="217" spans="1:6" ht="24" customHeight="1">
      <c r="A217" s="183" t="s">
        <v>447</v>
      </c>
      <c r="B217" s="153" t="s">
        <v>1353</v>
      </c>
      <c r="C217" s="153" t="s">
        <v>1356</v>
      </c>
      <c r="D217" s="153" t="s">
        <v>1357</v>
      </c>
      <c r="E217" s="153" t="s">
        <v>799</v>
      </c>
      <c r="F217" s="153" t="s">
        <v>1326</v>
      </c>
    </row>
    <row r="218" spans="1:6" ht="24" customHeight="1">
      <c r="A218" s="183" t="s">
        <v>447</v>
      </c>
      <c r="B218" s="153" t="s">
        <v>1353</v>
      </c>
      <c r="C218" s="153" t="s">
        <v>1358</v>
      </c>
      <c r="D218" s="153" t="s">
        <v>1359</v>
      </c>
      <c r="E218" s="153" t="s">
        <v>799</v>
      </c>
      <c r="F218" s="153" t="s">
        <v>1326</v>
      </c>
    </row>
    <row r="219" spans="1:6" ht="24" customHeight="1">
      <c r="A219" s="183" t="s">
        <v>447</v>
      </c>
      <c r="B219" s="153" t="s">
        <v>1353</v>
      </c>
      <c r="C219" s="153" t="s">
        <v>1360</v>
      </c>
      <c r="D219" s="153" t="s">
        <v>1352</v>
      </c>
      <c r="E219" s="153" t="s">
        <v>836</v>
      </c>
      <c r="F219" s="153" t="s">
        <v>1343</v>
      </c>
    </row>
    <row r="220" spans="1:6" ht="24" customHeight="1">
      <c r="A220" s="183" t="s">
        <v>447</v>
      </c>
      <c r="B220" s="153" t="s">
        <v>1361</v>
      </c>
      <c r="C220" s="153" t="s">
        <v>1362</v>
      </c>
      <c r="D220" s="153" t="s">
        <v>1363</v>
      </c>
      <c r="E220" s="153" t="s">
        <v>875</v>
      </c>
      <c r="F220" s="153" t="s">
        <v>1364</v>
      </c>
    </row>
    <row r="221" spans="1:6" ht="24" customHeight="1">
      <c r="A221" s="183" t="s">
        <v>447</v>
      </c>
      <c r="B221" s="153" t="s">
        <v>1361</v>
      </c>
      <c r="C221" s="153" t="s">
        <v>1365</v>
      </c>
      <c r="D221" s="153" t="s">
        <v>1366</v>
      </c>
      <c r="E221" s="153" t="s">
        <v>868</v>
      </c>
      <c r="F221" s="153" t="s">
        <v>1326</v>
      </c>
    </row>
    <row r="222" spans="1:6" ht="24" customHeight="1">
      <c r="A222" s="183" t="s">
        <v>447</v>
      </c>
      <c r="B222" s="153" t="s">
        <v>1361</v>
      </c>
      <c r="C222" s="153" t="s">
        <v>1367</v>
      </c>
      <c r="D222" s="153" t="s">
        <v>1368</v>
      </c>
      <c r="E222" s="153" t="s">
        <v>799</v>
      </c>
      <c r="F222" s="153" t="s">
        <v>1326</v>
      </c>
    </row>
    <row r="223" spans="1:6" ht="24" customHeight="1">
      <c r="A223" s="183" t="s">
        <v>447</v>
      </c>
      <c r="B223" s="153" t="s">
        <v>1361</v>
      </c>
      <c r="C223" s="153" t="s">
        <v>1369</v>
      </c>
      <c r="D223" s="153" t="s">
        <v>1370</v>
      </c>
      <c r="E223" s="153" t="s">
        <v>1371</v>
      </c>
      <c r="F223" s="153"/>
    </row>
    <row r="224" spans="1:6" ht="24" customHeight="1">
      <c r="A224" s="183" t="s">
        <v>447</v>
      </c>
      <c r="B224" s="153" t="s">
        <v>1361</v>
      </c>
      <c r="C224" s="153" t="s">
        <v>1372</v>
      </c>
      <c r="D224" s="153" t="s">
        <v>1373</v>
      </c>
      <c r="E224" s="153" t="s">
        <v>799</v>
      </c>
      <c r="F224" s="153" t="s">
        <v>1326</v>
      </c>
    </row>
    <row r="225" spans="1:6" ht="24" customHeight="1">
      <c r="A225" s="183" t="s">
        <v>447</v>
      </c>
      <c r="B225" s="153" t="s">
        <v>1361</v>
      </c>
      <c r="C225" s="153" t="s">
        <v>1374</v>
      </c>
      <c r="D225" s="153" t="s">
        <v>1375</v>
      </c>
      <c r="E225" s="153"/>
      <c r="F225" s="153" t="s">
        <v>1376</v>
      </c>
    </row>
    <row r="226" spans="1:6" ht="24" customHeight="1">
      <c r="A226" s="183" t="s">
        <v>447</v>
      </c>
      <c r="B226" s="153" t="s">
        <v>1377</v>
      </c>
      <c r="C226" s="153" t="s">
        <v>1378</v>
      </c>
      <c r="D226" s="153" t="s">
        <v>1379</v>
      </c>
      <c r="E226" s="153" t="s">
        <v>799</v>
      </c>
      <c r="F226" s="153" t="s">
        <v>1326</v>
      </c>
    </row>
    <row r="227" spans="1:6" ht="24" customHeight="1">
      <c r="A227" s="183" t="s">
        <v>447</v>
      </c>
      <c r="B227" s="153" t="s">
        <v>1377</v>
      </c>
      <c r="C227" s="153" t="s">
        <v>1380</v>
      </c>
      <c r="D227" s="153" t="s">
        <v>1381</v>
      </c>
      <c r="E227" s="153" t="s">
        <v>799</v>
      </c>
      <c r="F227" s="153" t="s">
        <v>1326</v>
      </c>
    </row>
    <row r="228" spans="1:6" ht="24" customHeight="1">
      <c r="A228" s="183" t="s">
        <v>447</v>
      </c>
      <c r="B228" s="153" t="s">
        <v>1377</v>
      </c>
      <c r="C228" s="153" t="s">
        <v>1382</v>
      </c>
      <c r="D228" s="153" t="s">
        <v>1383</v>
      </c>
      <c r="E228" s="153" t="s">
        <v>799</v>
      </c>
      <c r="F228" s="153" t="s">
        <v>1326</v>
      </c>
    </row>
    <row r="229" spans="1:6" ht="24" customHeight="1">
      <c r="A229" s="183" t="s">
        <v>447</v>
      </c>
      <c r="B229" s="153" t="s">
        <v>1377</v>
      </c>
      <c r="C229" s="153" t="s">
        <v>1384</v>
      </c>
      <c r="D229" s="153" t="s">
        <v>1385</v>
      </c>
      <c r="E229" s="153" t="s">
        <v>799</v>
      </c>
      <c r="F229" s="153" t="s">
        <v>1364</v>
      </c>
    </row>
    <row r="230" spans="1:6" ht="24" customHeight="1">
      <c r="A230" s="183" t="s">
        <v>447</v>
      </c>
      <c r="B230" s="153" t="s">
        <v>1377</v>
      </c>
      <c r="C230" s="153" t="s">
        <v>1386</v>
      </c>
      <c r="D230" s="153" t="s">
        <v>1387</v>
      </c>
      <c r="E230" s="153"/>
      <c r="F230" s="153" t="s">
        <v>1364</v>
      </c>
    </row>
    <row r="231" spans="1:6" ht="24" customHeight="1">
      <c r="A231" s="183" t="s">
        <v>447</v>
      </c>
      <c r="B231" s="153" t="s">
        <v>1377</v>
      </c>
      <c r="C231" s="153" t="s">
        <v>1388</v>
      </c>
      <c r="D231" s="153" t="s">
        <v>1389</v>
      </c>
      <c r="E231" s="153"/>
      <c r="F231" s="153" t="s">
        <v>1364</v>
      </c>
    </row>
  </sheetData>
  <mergeCells count="1">
    <mergeCell ref="A1:F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63950-C7EE-4598-A00E-D11E0012B9F9}">
  <sheetPr codeName="Sheet10">
    <tabColor rgb="FF866828"/>
  </sheetPr>
  <dimension ref="A1:Z343"/>
  <sheetViews>
    <sheetView topLeftCell="A323" workbookViewId="0">
      <selection activeCell="B5" sqref="B5"/>
    </sheetView>
  </sheetViews>
  <sheetFormatPr defaultRowHeight="14.4"/>
  <cols>
    <col min="1" max="1" width="10.77734375" style="9" customWidth="1"/>
    <col min="2" max="2" width="14.77734375" style="9" customWidth="1"/>
    <col min="3" max="3" width="18.77734375" style="9" customWidth="1"/>
    <col min="4" max="4" width="66.77734375" style="9" customWidth="1"/>
    <col min="5" max="5" width="10.77734375" style="9" customWidth="1"/>
    <col min="6" max="8" width="8.77734375" style="9" customWidth="1"/>
    <col min="9" max="9" width="16.77734375" style="9" customWidth="1"/>
    <col min="10" max="10" width="12.77734375" style="9" customWidth="1"/>
    <col min="11" max="11" width="20.77734375" style="9" customWidth="1"/>
    <col min="12" max="26" width="0" style="9" hidden="1" customWidth="1"/>
    <col min="27" max="16384" width="8.88671875" style="9"/>
  </cols>
  <sheetData>
    <row r="1" spans="1:26" ht="24" customHeight="1">
      <c r="A1" s="173" t="s">
        <v>1390</v>
      </c>
      <c r="B1" s="173"/>
      <c r="C1" s="173"/>
      <c r="D1" s="173"/>
      <c r="E1" s="173"/>
      <c r="F1" s="173"/>
      <c r="G1" s="173"/>
      <c r="H1" s="173"/>
      <c r="I1" s="173"/>
      <c r="J1" s="173"/>
      <c r="K1" s="173"/>
    </row>
    <row r="2" spans="1:26" ht="24" customHeight="1">
      <c r="A2" s="184" t="s">
        <v>1391</v>
      </c>
      <c r="B2" s="184"/>
      <c r="C2" s="184"/>
      <c r="D2" s="184"/>
      <c r="E2" s="184"/>
      <c r="F2" s="184"/>
      <c r="G2" s="184"/>
      <c r="H2" s="184"/>
      <c r="I2" s="184"/>
      <c r="J2" s="184"/>
      <c r="K2" s="184"/>
    </row>
    <row r="3" spans="1:26" ht="24" customHeight="1">
      <c r="A3" s="185"/>
      <c r="B3" s="185"/>
      <c r="C3" s="185"/>
      <c r="D3" s="185"/>
      <c r="E3" s="185"/>
      <c r="F3" s="185"/>
      <c r="G3" s="185"/>
      <c r="H3" s="185"/>
      <c r="I3" s="185"/>
      <c r="J3" s="185"/>
      <c r="K3" s="185"/>
    </row>
    <row r="4" spans="1:26" ht="24" customHeight="1">
      <c r="A4" s="152" t="s">
        <v>1392</v>
      </c>
      <c r="B4" s="152" t="s">
        <v>1393</v>
      </c>
      <c r="C4" s="152" t="s">
        <v>1394</v>
      </c>
      <c r="D4" s="152" t="s">
        <v>1395</v>
      </c>
      <c r="E4" s="152" t="s">
        <v>1396</v>
      </c>
      <c r="F4" s="152" t="s">
        <v>148</v>
      </c>
      <c r="G4" s="152" t="s">
        <v>1397</v>
      </c>
      <c r="H4" s="152" t="s">
        <v>1398</v>
      </c>
      <c r="I4" s="152" t="s">
        <v>1399</v>
      </c>
      <c r="J4" s="152" t="s">
        <v>1400</v>
      </c>
      <c r="K4" s="152" t="s">
        <v>136</v>
      </c>
      <c r="M4" s="9" t="s">
        <v>1394</v>
      </c>
      <c r="N4" s="9" t="s">
        <v>1395</v>
      </c>
      <c r="O4" s="9" t="s">
        <v>1396</v>
      </c>
      <c r="P4" s="9" t="s">
        <v>148</v>
      </c>
      <c r="Q4" s="9" t="s">
        <v>1397</v>
      </c>
      <c r="R4" s="9" t="s">
        <v>1398</v>
      </c>
      <c r="S4" s="9" t="s">
        <v>1399</v>
      </c>
      <c r="T4" s="9" t="s">
        <v>1400</v>
      </c>
      <c r="V4" s="9" t="s">
        <v>43</v>
      </c>
      <c r="W4" s="9" t="s">
        <v>49</v>
      </c>
      <c r="X4" s="9" t="s">
        <v>56</v>
      </c>
      <c r="Y4" s="9" t="s">
        <v>2165</v>
      </c>
      <c r="Z4" s="9" t="s">
        <v>2166</v>
      </c>
    </row>
    <row r="5" spans="1:26" ht="24" customHeight="1">
      <c r="A5" s="186" t="s">
        <v>1401</v>
      </c>
      <c r="B5" s="187" t="s">
        <v>1402</v>
      </c>
      <c r="C5" s="153" t="s">
        <v>1403</v>
      </c>
      <c r="D5" s="153" t="s">
        <v>1404</v>
      </c>
      <c r="E5" s="153">
        <v>30</v>
      </c>
      <c r="F5" s="153"/>
      <c r="G5" s="153"/>
      <c r="H5" s="153"/>
      <c r="I5" s="153"/>
      <c r="J5" s="153"/>
      <c r="K5" s="153"/>
      <c r="M5" s="9" t="s">
        <v>1403</v>
      </c>
      <c r="N5" s="9" t="s">
        <v>1404</v>
      </c>
      <c r="O5" s="9">
        <v>30</v>
      </c>
      <c r="V5" s="9" t="s">
        <v>248</v>
      </c>
      <c r="W5" s="9" t="s">
        <v>248</v>
      </c>
      <c r="X5" s="9" t="s">
        <v>248</v>
      </c>
      <c r="Y5" s="9" t="s">
        <v>248</v>
      </c>
      <c r="Z5" s="9" t="s">
        <v>248</v>
      </c>
    </row>
    <row r="6" spans="1:26" ht="24" customHeight="1">
      <c r="A6" s="186" t="s">
        <v>1401</v>
      </c>
      <c r="B6" s="187" t="s">
        <v>1402</v>
      </c>
      <c r="C6" s="153" t="s">
        <v>1405</v>
      </c>
      <c r="D6" s="153" t="s">
        <v>1406</v>
      </c>
      <c r="E6" s="153">
        <v>30</v>
      </c>
      <c r="F6" s="153"/>
      <c r="G6" s="153"/>
      <c r="H6" s="153"/>
      <c r="I6" s="153"/>
      <c r="J6" s="153"/>
      <c r="K6" s="153"/>
      <c r="M6" s="9" t="s">
        <v>1405</v>
      </c>
      <c r="N6" s="9" t="s">
        <v>1406</v>
      </c>
      <c r="O6" s="9">
        <v>30</v>
      </c>
      <c r="V6" s="9" t="s">
        <v>2167</v>
      </c>
      <c r="W6" s="9" t="s">
        <v>2187</v>
      </c>
      <c r="X6" s="9" t="s">
        <v>2227</v>
      </c>
      <c r="Y6" s="9" t="s">
        <v>2245</v>
      </c>
      <c r="Z6" s="9" t="s">
        <v>2316</v>
      </c>
    </row>
    <row r="7" spans="1:26" ht="24" customHeight="1">
      <c r="A7" s="186" t="s">
        <v>1401</v>
      </c>
      <c r="B7" s="187" t="s">
        <v>1402</v>
      </c>
      <c r="C7" s="153" t="s">
        <v>1407</v>
      </c>
      <c r="D7" s="153" t="s">
        <v>1408</v>
      </c>
      <c r="E7" s="153">
        <v>30</v>
      </c>
      <c r="F7" s="153"/>
      <c r="G7" s="153"/>
      <c r="H7" s="153"/>
      <c r="I7" s="153"/>
      <c r="J7" s="153"/>
      <c r="K7" s="153"/>
      <c r="M7" s="9" t="s">
        <v>1407</v>
      </c>
      <c r="N7" s="9" t="s">
        <v>1408</v>
      </c>
      <c r="O7" s="9">
        <v>30</v>
      </c>
      <c r="V7" s="9" t="s">
        <v>2168</v>
      </c>
      <c r="W7" s="9" t="s">
        <v>2188</v>
      </c>
      <c r="X7" s="9" t="s">
        <v>2228</v>
      </c>
      <c r="Y7" s="9" t="s">
        <v>2246</v>
      </c>
      <c r="Z7" s="9" t="s">
        <v>2317</v>
      </c>
    </row>
    <row r="8" spans="1:26" ht="24" customHeight="1">
      <c r="A8" s="186" t="s">
        <v>1401</v>
      </c>
      <c r="B8" s="187" t="s">
        <v>1402</v>
      </c>
      <c r="C8" s="153" t="s">
        <v>1409</v>
      </c>
      <c r="D8" s="153" t="s">
        <v>1410</v>
      </c>
      <c r="E8" s="153">
        <v>30</v>
      </c>
      <c r="F8" s="153"/>
      <c r="G8" s="153"/>
      <c r="H8" s="153"/>
      <c r="I8" s="153"/>
      <c r="J8" s="153"/>
      <c r="K8" s="153"/>
      <c r="M8" s="9" t="s">
        <v>1409</v>
      </c>
      <c r="N8" s="9" t="s">
        <v>1410</v>
      </c>
      <c r="O8" s="9">
        <v>30</v>
      </c>
      <c r="V8" s="9" t="s">
        <v>2169</v>
      </c>
      <c r="W8" s="9" t="s">
        <v>2189</v>
      </c>
      <c r="X8" s="9" t="s">
        <v>2229</v>
      </c>
      <c r="Y8" s="9" t="s">
        <v>2247</v>
      </c>
      <c r="Z8" s="9" t="s">
        <v>2318</v>
      </c>
    </row>
    <row r="9" spans="1:26" ht="24" customHeight="1">
      <c r="A9" s="186" t="s">
        <v>1401</v>
      </c>
      <c r="B9" s="187" t="s">
        <v>1402</v>
      </c>
      <c r="C9" s="153" t="s">
        <v>1411</v>
      </c>
      <c r="D9" s="153" t="s">
        <v>1412</v>
      </c>
      <c r="E9" s="153">
        <v>30</v>
      </c>
      <c r="F9" s="153"/>
      <c r="G9" s="153"/>
      <c r="H9" s="153"/>
      <c r="I9" s="153"/>
      <c r="J9" s="153"/>
      <c r="K9" s="153"/>
      <c r="M9" s="9" t="s">
        <v>1411</v>
      </c>
      <c r="N9" s="9" t="s">
        <v>1412</v>
      </c>
      <c r="O9" s="9">
        <v>30</v>
      </c>
      <c r="V9" s="9" t="s">
        <v>2170</v>
      </c>
      <c r="W9" s="9" t="s">
        <v>2190</v>
      </c>
      <c r="X9" s="9" t="s">
        <v>2230</v>
      </c>
      <c r="Y9" s="9" t="s">
        <v>2248</v>
      </c>
      <c r="Z9" s="9" t="s">
        <v>2319</v>
      </c>
    </row>
    <row r="10" spans="1:26" ht="24" customHeight="1">
      <c r="A10" s="186" t="s">
        <v>1401</v>
      </c>
      <c r="B10" s="187" t="s">
        <v>1402</v>
      </c>
      <c r="C10" s="153" t="s">
        <v>1413</v>
      </c>
      <c r="D10" s="153" t="s">
        <v>1414</v>
      </c>
      <c r="E10" s="153">
        <v>20</v>
      </c>
      <c r="F10" s="153"/>
      <c r="G10" s="153"/>
      <c r="H10" s="153"/>
      <c r="I10" s="153"/>
      <c r="J10" s="153"/>
      <c r="K10" s="153"/>
      <c r="M10" s="9" t="s">
        <v>1413</v>
      </c>
      <c r="N10" s="9" t="s">
        <v>1414</v>
      </c>
      <c r="O10" s="9">
        <v>20</v>
      </c>
      <c r="V10" s="9" t="s">
        <v>2171</v>
      </c>
      <c r="W10" s="9" t="s">
        <v>2191</v>
      </c>
      <c r="X10" s="9" t="s">
        <v>2231</v>
      </c>
      <c r="Y10" s="9" t="s">
        <v>2249</v>
      </c>
      <c r="Z10" s="9" t="s">
        <v>2320</v>
      </c>
    </row>
    <row r="11" spans="1:26" ht="24" customHeight="1">
      <c r="A11" s="186" t="s">
        <v>1401</v>
      </c>
      <c r="B11" s="187" t="s">
        <v>1402</v>
      </c>
      <c r="C11" s="153" t="s">
        <v>1415</v>
      </c>
      <c r="D11" s="153" t="s">
        <v>1416</v>
      </c>
      <c r="E11" s="153">
        <v>20</v>
      </c>
      <c r="F11" s="153"/>
      <c r="G11" s="153"/>
      <c r="H11" s="153"/>
      <c r="I11" s="153"/>
      <c r="J11" s="153"/>
      <c r="K11" s="153"/>
      <c r="M11" s="9" t="s">
        <v>1415</v>
      </c>
      <c r="N11" s="9" t="s">
        <v>1416</v>
      </c>
      <c r="O11" s="9">
        <v>20</v>
      </c>
      <c r="V11" s="9" t="s">
        <v>2172</v>
      </c>
      <c r="W11" s="9" t="s">
        <v>2192</v>
      </c>
      <c r="X11" s="9" t="s">
        <v>2232</v>
      </c>
      <c r="Y11" s="9" t="s">
        <v>2250</v>
      </c>
      <c r="Z11" s="9" t="s">
        <v>2321</v>
      </c>
    </row>
    <row r="12" spans="1:26" ht="24" customHeight="1">
      <c r="A12" s="186" t="s">
        <v>1401</v>
      </c>
      <c r="B12" s="187" t="s">
        <v>1402</v>
      </c>
      <c r="C12" s="153" t="s">
        <v>1417</v>
      </c>
      <c r="D12" s="153" t="s">
        <v>1418</v>
      </c>
      <c r="E12" s="153">
        <v>20</v>
      </c>
      <c r="F12" s="153"/>
      <c r="G12" s="153"/>
      <c r="H12" s="153"/>
      <c r="I12" s="153"/>
      <c r="J12" s="153"/>
      <c r="K12" s="153"/>
      <c r="M12" s="9" t="s">
        <v>1417</v>
      </c>
      <c r="N12" s="9" t="s">
        <v>1418</v>
      </c>
      <c r="O12" s="9">
        <v>20</v>
      </c>
      <c r="V12" s="9" t="s">
        <v>2173</v>
      </c>
      <c r="W12" s="9" t="s">
        <v>2193</v>
      </c>
      <c r="X12" s="9" t="s">
        <v>2233</v>
      </c>
      <c r="Y12" s="9" t="s">
        <v>2251</v>
      </c>
      <c r="Z12" s="9" t="s">
        <v>2322</v>
      </c>
    </row>
    <row r="13" spans="1:26" ht="24" customHeight="1">
      <c r="A13" s="186" t="s">
        <v>1401</v>
      </c>
      <c r="B13" s="187" t="s">
        <v>1402</v>
      </c>
      <c r="C13" s="153" t="s">
        <v>1419</v>
      </c>
      <c r="D13" s="153" t="s">
        <v>1420</v>
      </c>
      <c r="E13" s="153">
        <v>20</v>
      </c>
      <c r="F13" s="153"/>
      <c r="G13" s="153"/>
      <c r="H13" s="153"/>
      <c r="I13" s="153"/>
      <c r="J13" s="153"/>
      <c r="K13" s="153"/>
      <c r="M13" s="9" t="s">
        <v>1419</v>
      </c>
      <c r="N13" s="9" t="s">
        <v>1420</v>
      </c>
      <c r="O13" s="9">
        <v>20</v>
      </c>
      <c r="V13" s="9" t="s">
        <v>2174</v>
      </c>
      <c r="W13" s="9" t="s">
        <v>2194</v>
      </c>
      <c r="X13" s="9" t="s">
        <v>2234</v>
      </c>
      <c r="Y13" s="9" t="s">
        <v>2252</v>
      </c>
      <c r="Z13" s="9" t="s">
        <v>2323</v>
      </c>
    </row>
    <row r="14" spans="1:26" ht="24" customHeight="1">
      <c r="A14" s="186" t="s">
        <v>1401</v>
      </c>
      <c r="B14" s="187" t="s">
        <v>1402</v>
      </c>
      <c r="C14" s="153" t="s">
        <v>1421</v>
      </c>
      <c r="D14" s="153" t="s">
        <v>1422</v>
      </c>
      <c r="E14" s="153">
        <v>20</v>
      </c>
      <c r="F14" s="153"/>
      <c r="G14" s="153"/>
      <c r="H14" s="153"/>
      <c r="I14" s="153"/>
      <c r="J14" s="153"/>
      <c r="K14" s="153"/>
      <c r="M14" s="9" t="s">
        <v>1421</v>
      </c>
      <c r="N14" s="9" t="s">
        <v>1422</v>
      </c>
      <c r="O14" s="9">
        <v>20</v>
      </c>
      <c r="V14" s="9" t="s">
        <v>2175</v>
      </c>
      <c r="W14" s="9" t="s">
        <v>2195</v>
      </c>
      <c r="X14" s="9" t="s">
        <v>2235</v>
      </c>
      <c r="Y14" s="9" t="s">
        <v>2253</v>
      </c>
      <c r="Z14" s="9" t="s">
        <v>2324</v>
      </c>
    </row>
    <row r="15" spans="1:26" ht="24" customHeight="1">
      <c r="A15" s="186" t="s">
        <v>1401</v>
      </c>
      <c r="B15" s="187" t="s">
        <v>1402</v>
      </c>
      <c r="C15" s="153" t="s">
        <v>1423</v>
      </c>
      <c r="D15" s="153" t="s">
        <v>1424</v>
      </c>
      <c r="E15" s="153">
        <v>20</v>
      </c>
      <c r="F15" s="153"/>
      <c r="G15" s="153"/>
      <c r="H15" s="153"/>
      <c r="I15" s="153"/>
      <c r="J15" s="153"/>
      <c r="K15" s="153"/>
      <c r="M15" s="9" t="s">
        <v>1423</v>
      </c>
      <c r="N15" s="9" t="s">
        <v>1424</v>
      </c>
      <c r="O15" s="9">
        <v>20</v>
      </c>
      <c r="V15" s="9" t="s">
        <v>2176</v>
      </c>
      <c r="W15" s="9" t="s">
        <v>2196</v>
      </c>
      <c r="X15" s="9" t="s">
        <v>2236</v>
      </c>
      <c r="Y15" s="9" t="s">
        <v>2254</v>
      </c>
      <c r="Z15" s="9" t="s">
        <v>2325</v>
      </c>
    </row>
    <row r="16" spans="1:26" ht="24" customHeight="1">
      <c r="A16" s="186" t="s">
        <v>1401</v>
      </c>
      <c r="B16" s="187" t="s">
        <v>1402</v>
      </c>
      <c r="C16" s="153" t="s">
        <v>1425</v>
      </c>
      <c r="D16" s="153" t="s">
        <v>1426</v>
      </c>
      <c r="E16" s="153">
        <v>20</v>
      </c>
      <c r="F16" s="153"/>
      <c r="G16" s="153"/>
      <c r="H16" s="153"/>
      <c r="I16" s="153"/>
      <c r="J16" s="153"/>
      <c r="K16" s="153"/>
      <c r="M16" s="9" t="s">
        <v>1425</v>
      </c>
      <c r="N16" s="9" t="s">
        <v>1426</v>
      </c>
      <c r="O16" s="9">
        <v>20</v>
      </c>
      <c r="V16" s="9" t="s">
        <v>2177</v>
      </c>
      <c r="W16" s="9" t="s">
        <v>2197</v>
      </c>
      <c r="X16" s="9" t="s">
        <v>2237</v>
      </c>
      <c r="Y16" s="9" t="s">
        <v>2255</v>
      </c>
      <c r="Z16" s="9" t="s">
        <v>2326</v>
      </c>
    </row>
    <row r="17" spans="1:26" ht="24" customHeight="1">
      <c r="A17" s="186" t="s">
        <v>1401</v>
      </c>
      <c r="B17" s="187" t="s">
        <v>1402</v>
      </c>
      <c r="C17" s="153" t="s">
        <v>1427</v>
      </c>
      <c r="D17" s="153" t="s">
        <v>1428</v>
      </c>
      <c r="E17" s="153">
        <v>20</v>
      </c>
      <c r="F17" s="153"/>
      <c r="G17" s="153"/>
      <c r="H17" s="153"/>
      <c r="I17" s="153"/>
      <c r="J17" s="153"/>
      <c r="K17" s="153"/>
      <c r="M17" s="9" t="s">
        <v>1427</v>
      </c>
      <c r="N17" s="9" t="s">
        <v>1428</v>
      </c>
      <c r="O17" s="9">
        <v>20</v>
      </c>
      <c r="V17" s="9" t="s">
        <v>2178</v>
      </c>
      <c r="W17" s="9" t="s">
        <v>2198</v>
      </c>
      <c r="X17" s="9" t="s">
        <v>2238</v>
      </c>
      <c r="Y17" s="9" t="s">
        <v>2256</v>
      </c>
      <c r="Z17" s="9" t="s">
        <v>2327</v>
      </c>
    </row>
    <row r="18" spans="1:26" ht="24" customHeight="1">
      <c r="A18" s="186" t="s">
        <v>1401</v>
      </c>
      <c r="B18" s="187" t="s">
        <v>1402</v>
      </c>
      <c r="C18" s="153" t="s">
        <v>1429</v>
      </c>
      <c r="D18" s="153" t="s">
        <v>1430</v>
      </c>
      <c r="E18" s="153">
        <v>20</v>
      </c>
      <c r="F18" s="153"/>
      <c r="G18" s="153"/>
      <c r="H18" s="153"/>
      <c r="I18" s="153"/>
      <c r="J18" s="153"/>
      <c r="K18" s="153"/>
      <c r="M18" s="9" t="s">
        <v>1429</v>
      </c>
      <c r="N18" s="9" t="s">
        <v>1430</v>
      </c>
      <c r="O18" s="9">
        <v>20</v>
      </c>
      <c r="V18" s="9" t="s">
        <v>2179</v>
      </c>
      <c r="W18" s="9" t="s">
        <v>2199</v>
      </c>
      <c r="X18" s="9" t="s">
        <v>2239</v>
      </c>
      <c r="Y18" s="9" t="s">
        <v>2257</v>
      </c>
      <c r="Z18" s="9" t="s">
        <v>2328</v>
      </c>
    </row>
    <row r="19" spans="1:26" ht="24" customHeight="1">
      <c r="A19" s="186" t="s">
        <v>1401</v>
      </c>
      <c r="B19" s="187" t="s">
        <v>1402</v>
      </c>
      <c r="C19" s="153" t="s">
        <v>1431</v>
      </c>
      <c r="D19" s="153" t="s">
        <v>1432</v>
      </c>
      <c r="E19" s="153">
        <v>10</v>
      </c>
      <c r="F19" s="153"/>
      <c r="G19" s="153"/>
      <c r="H19" s="153"/>
      <c r="I19" s="153"/>
      <c r="J19" s="153"/>
      <c r="K19" s="153"/>
      <c r="M19" s="9" t="s">
        <v>1431</v>
      </c>
      <c r="N19" s="9" t="s">
        <v>1432</v>
      </c>
      <c r="O19" s="9">
        <v>10</v>
      </c>
      <c r="V19" s="9" t="s">
        <v>2180</v>
      </c>
      <c r="W19" s="9" t="s">
        <v>2200</v>
      </c>
      <c r="X19" s="9" t="s">
        <v>2240</v>
      </c>
      <c r="Y19" s="9" t="s">
        <v>2258</v>
      </c>
      <c r="Z19" s="9" t="s">
        <v>2329</v>
      </c>
    </row>
    <row r="20" spans="1:26" ht="24" customHeight="1">
      <c r="A20" s="186" t="s">
        <v>1401</v>
      </c>
      <c r="B20" s="187" t="s">
        <v>1402</v>
      </c>
      <c r="C20" s="153" t="s">
        <v>1433</v>
      </c>
      <c r="D20" s="153" t="s">
        <v>1434</v>
      </c>
      <c r="E20" s="153">
        <v>10</v>
      </c>
      <c r="F20" s="153"/>
      <c r="G20" s="153"/>
      <c r="H20" s="153"/>
      <c r="I20" s="153"/>
      <c r="J20" s="153"/>
      <c r="K20" s="153"/>
      <c r="M20" s="9" t="s">
        <v>1433</v>
      </c>
      <c r="N20" s="9" t="s">
        <v>1434</v>
      </c>
      <c r="O20" s="9">
        <v>10</v>
      </c>
      <c r="V20" s="9" t="s">
        <v>2181</v>
      </c>
      <c r="W20" s="9" t="s">
        <v>2201</v>
      </c>
      <c r="X20" s="9" t="s">
        <v>2241</v>
      </c>
      <c r="Y20" s="9" t="s">
        <v>2259</v>
      </c>
      <c r="Z20" s="9" t="s">
        <v>2330</v>
      </c>
    </row>
    <row r="21" spans="1:26" ht="24" customHeight="1">
      <c r="A21" s="186" t="s">
        <v>1401</v>
      </c>
      <c r="B21" s="187" t="s">
        <v>1402</v>
      </c>
      <c r="C21" s="153" t="s">
        <v>1435</v>
      </c>
      <c r="D21" s="153" t="s">
        <v>1436</v>
      </c>
      <c r="E21" s="153">
        <v>10</v>
      </c>
      <c r="F21" s="153"/>
      <c r="G21" s="153"/>
      <c r="H21" s="153"/>
      <c r="I21" s="153"/>
      <c r="J21" s="153"/>
      <c r="K21" s="153"/>
      <c r="M21" s="9" t="s">
        <v>1435</v>
      </c>
      <c r="N21" s="9" t="s">
        <v>1436</v>
      </c>
      <c r="O21" s="9">
        <v>10</v>
      </c>
      <c r="V21" s="9" t="s">
        <v>2182</v>
      </c>
      <c r="W21" s="9" t="s">
        <v>2202</v>
      </c>
      <c r="X21" s="9" t="s">
        <v>2242</v>
      </c>
      <c r="Y21" s="9" t="s">
        <v>2260</v>
      </c>
      <c r="Z21" s="9" t="s">
        <v>2331</v>
      </c>
    </row>
    <row r="22" spans="1:26" ht="24" customHeight="1">
      <c r="A22" s="186" t="s">
        <v>1401</v>
      </c>
      <c r="B22" s="187" t="s">
        <v>1402</v>
      </c>
      <c r="C22" s="153" t="s">
        <v>1437</v>
      </c>
      <c r="D22" s="153" t="s">
        <v>1438</v>
      </c>
      <c r="E22" s="153">
        <v>10</v>
      </c>
      <c r="F22" s="153"/>
      <c r="G22" s="153"/>
      <c r="H22" s="153"/>
      <c r="I22" s="153"/>
      <c r="J22" s="153"/>
      <c r="K22" s="153"/>
      <c r="M22" s="9" t="s">
        <v>1437</v>
      </c>
      <c r="N22" s="9" t="s">
        <v>1438</v>
      </c>
      <c r="O22" s="9">
        <v>10</v>
      </c>
      <c r="V22" s="9" t="s">
        <v>2183</v>
      </c>
      <c r="W22" s="9" t="s">
        <v>2203</v>
      </c>
      <c r="X22" s="9" t="s">
        <v>2243</v>
      </c>
      <c r="Y22" s="9" t="s">
        <v>2261</v>
      </c>
      <c r="Z22" s="9" t="s">
        <v>2332</v>
      </c>
    </row>
    <row r="23" spans="1:26" ht="24" customHeight="1">
      <c r="A23" s="186" t="s">
        <v>1401</v>
      </c>
      <c r="B23" s="187" t="s">
        <v>1402</v>
      </c>
      <c r="C23" s="153" t="s">
        <v>1439</v>
      </c>
      <c r="D23" s="153" t="s">
        <v>1440</v>
      </c>
      <c r="E23" s="153">
        <v>10</v>
      </c>
      <c r="F23" s="153"/>
      <c r="G23" s="153"/>
      <c r="H23" s="153"/>
      <c r="I23" s="153"/>
      <c r="J23" s="153"/>
      <c r="K23" s="153"/>
      <c r="M23" s="9" t="s">
        <v>1439</v>
      </c>
      <c r="N23" s="9" t="s">
        <v>1440</v>
      </c>
      <c r="O23" s="9">
        <v>10</v>
      </c>
      <c r="V23" s="9" t="s">
        <v>2184</v>
      </c>
      <c r="W23" s="9" t="s">
        <v>2204</v>
      </c>
      <c r="X23" s="9" t="s">
        <v>2244</v>
      </c>
      <c r="Y23" s="9" t="s">
        <v>2262</v>
      </c>
      <c r="Z23" s="9" t="s">
        <v>2333</v>
      </c>
    </row>
    <row r="24" spans="1:26" ht="24" customHeight="1">
      <c r="A24" s="186" t="s">
        <v>1401</v>
      </c>
      <c r="B24" s="187" t="s">
        <v>1402</v>
      </c>
      <c r="C24" s="153" t="s">
        <v>1441</v>
      </c>
      <c r="D24" s="153" t="s">
        <v>1442</v>
      </c>
      <c r="E24" s="153">
        <v>10</v>
      </c>
      <c r="F24" s="153"/>
      <c r="G24" s="153"/>
      <c r="H24" s="153"/>
      <c r="I24" s="153"/>
      <c r="J24" s="153"/>
      <c r="K24" s="153"/>
      <c r="M24" s="9" t="s">
        <v>1441</v>
      </c>
      <c r="N24" s="9" t="s">
        <v>1442</v>
      </c>
      <c r="O24" s="9">
        <v>10</v>
      </c>
      <c r="V24" s="9" t="s">
        <v>2185</v>
      </c>
      <c r="W24" s="9" t="s">
        <v>2205</v>
      </c>
      <c r="Y24" s="9" t="s">
        <v>2263</v>
      </c>
      <c r="Z24" s="9" t="s">
        <v>2334</v>
      </c>
    </row>
    <row r="25" spans="1:26" ht="24" customHeight="1">
      <c r="A25" s="186" t="s">
        <v>1401</v>
      </c>
      <c r="B25" s="187" t="s">
        <v>1402</v>
      </c>
      <c r="C25" s="153" t="s">
        <v>1443</v>
      </c>
      <c r="D25" s="153" t="s">
        <v>1444</v>
      </c>
      <c r="E25" s="153">
        <v>10</v>
      </c>
      <c r="F25" s="153"/>
      <c r="G25" s="153"/>
      <c r="H25" s="153"/>
      <c r="I25" s="153"/>
      <c r="J25" s="153"/>
      <c r="K25" s="153"/>
      <c r="M25" s="9" t="s">
        <v>1443</v>
      </c>
      <c r="N25" s="9" t="s">
        <v>1444</v>
      </c>
      <c r="O25" s="9">
        <v>10</v>
      </c>
      <c r="V25" s="9" t="s">
        <v>2186</v>
      </c>
      <c r="W25" s="9" t="s">
        <v>2206</v>
      </c>
      <c r="Y25" s="9" t="s">
        <v>2264</v>
      </c>
      <c r="Z25" s="9" t="s">
        <v>2335</v>
      </c>
    </row>
    <row r="26" spans="1:26" ht="24" customHeight="1">
      <c r="A26" s="186" t="s">
        <v>1401</v>
      </c>
      <c r="B26" s="187" t="s">
        <v>1402</v>
      </c>
      <c r="C26" s="153" t="s">
        <v>1445</v>
      </c>
      <c r="D26" s="153" t="s">
        <v>1446</v>
      </c>
      <c r="E26" s="153">
        <v>10</v>
      </c>
      <c r="F26" s="153"/>
      <c r="G26" s="153"/>
      <c r="H26" s="153"/>
      <c r="I26" s="153"/>
      <c r="J26" s="153"/>
      <c r="K26" s="153"/>
      <c r="M26" s="9" t="s">
        <v>1445</v>
      </c>
      <c r="N26" s="9" t="s">
        <v>1446</v>
      </c>
      <c r="O26" s="9">
        <v>10</v>
      </c>
      <c r="W26" s="9" t="s">
        <v>2207</v>
      </c>
      <c r="Y26" s="9" t="s">
        <v>2265</v>
      </c>
      <c r="Z26" s="9" t="s">
        <v>2336</v>
      </c>
    </row>
    <row r="27" spans="1:26" ht="24" customHeight="1">
      <c r="A27" s="186" t="s">
        <v>1401</v>
      </c>
      <c r="B27" s="187" t="s">
        <v>1402</v>
      </c>
      <c r="C27" s="153" t="s">
        <v>1447</v>
      </c>
      <c r="D27" s="153" t="s">
        <v>1448</v>
      </c>
      <c r="E27" s="153">
        <v>10</v>
      </c>
      <c r="F27" s="153"/>
      <c r="G27" s="153"/>
      <c r="H27" s="153"/>
      <c r="I27" s="153"/>
      <c r="J27" s="153"/>
      <c r="K27" s="153"/>
      <c r="M27" s="9" t="s">
        <v>1447</v>
      </c>
      <c r="N27" s="9" t="s">
        <v>1448</v>
      </c>
      <c r="O27" s="9">
        <v>10</v>
      </c>
      <c r="W27" s="9" t="s">
        <v>2208</v>
      </c>
      <c r="Y27" s="9" t="s">
        <v>2266</v>
      </c>
      <c r="Z27" s="9" t="s">
        <v>2337</v>
      </c>
    </row>
    <row r="28" spans="1:26" ht="24" customHeight="1">
      <c r="A28" s="186" t="s">
        <v>1401</v>
      </c>
      <c r="B28" s="187" t="s">
        <v>1402</v>
      </c>
      <c r="C28" s="153" t="s">
        <v>1449</v>
      </c>
      <c r="D28" s="153" t="s">
        <v>1450</v>
      </c>
      <c r="E28" s="153">
        <v>10</v>
      </c>
      <c r="F28" s="153"/>
      <c r="G28" s="153"/>
      <c r="H28" s="153"/>
      <c r="I28" s="153"/>
      <c r="J28" s="153"/>
      <c r="K28" s="153"/>
      <c r="M28" s="9" t="s">
        <v>1449</v>
      </c>
      <c r="N28" s="9" t="s">
        <v>1450</v>
      </c>
      <c r="O28" s="9">
        <v>10</v>
      </c>
      <c r="W28" s="9" t="s">
        <v>2209</v>
      </c>
      <c r="Y28" s="9" t="s">
        <v>2267</v>
      </c>
      <c r="Z28" s="9" t="s">
        <v>2338</v>
      </c>
    </row>
    <row r="29" spans="1:26" ht="24" customHeight="1">
      <c r="A29" s="186" t="s">
        <v>1401</v>
      </c>
      <c r="B29" s="187" t="s">
        <v>1402</v>
      </c>
      <c r="C29" s="153" t="s">
        <v>1451</v>
      </c>
      <c r="D29" s="153" t="s">
        <v>1452</v>
      </c>
      <c r="E29" s="153">
        <v>10</v>
      </c>
      <c r="F29" s="153"/>
      <c r="G29" s="153"/>
      <c r="H29" s="153"/>
      <c r="I29" s="153"/>
      <c r="J29" s="153"/>
      <c r="K29" s="153"/>
      <c r="M29" s="9" t="s">
        <v>1451</v>
      </c>
      <c r="N29" s="9" t="s">
        <v>1452</v>
      </c>
      <c r="O29" s="9">
        <v>10</v>
      </c>
      <c r="W29" s="9" t="s">
        <v>2210</v>
      </c>
      <c r="Y29" s="9" t="s">
        <v>2268</v>
      </c>
      <c r="Z29" s="9" t="s">
        <v>2339</v>
      </c>
    </row>
    <row r="30" spans="1:26" ht="24" customHeight="1">
      <c r="A30" s="186" t="s">
        <v>1401</v>
      </c>
      <c r="B30" s="187" t="s">
        <v>1402</v>
      </c>
      <c r="C30" s="153" t="s">
        <v>1453</v>
      </c>
      <c r="D30" s="153" t="s">
        <v>1454</v>
      </c>
      <c r="E30" s="153">
        <v>7</v>
      </c>
      <c r="F30" s="153"/>
      <c r="G30" s="153"/>
      <c r="H30" s="153"/>
      <c r="I30" s="153"/>
      <c r="J30" s="153"/>
      <c r="K30" s="153"/>
      <c r="M30" s="9" t="s">
        <v>1453</v>
      </c>
      <c r="N30" s="9" t="s">
        <v>1454</v>
      </c>
      <c r="O30" s="9">
        <v>7</v>
      </c>
      <c r="W30" s="9" t="s">
        <v>2211</v>
      </c>
      <c r="Y30" s="9" t="s">
        <v>2269</v>
      </c>
      <c r="Z30" s="9" t="s">
        <v>2340</v>
      </c>
    </row>
    <row r="31" spans="1:26" ht="24" customHeight="1">
      <c r="A31" s="186" t="s">
        <v>1401</v>
      </c>
      <c r="B31" s="187" t="s">
        <v>1402</v>
      </c>
      <c r="C31" s="153" t="s">
        <v>1455</v>
      </c>
      <c r="D31" s="153" t="s">
        <v>1456</v>
      </c>
      <c r="E31" s="153">
        <v>7</v>
      </c>
      <c r="F31" s="153"/>
      <c r="G31" s="153"/>
      <c r="H31" s="153"/>
      <c r="I31" s="153"/>
      <c r="J31" s="153"/>
      <c r="K31" s="153"/>
      <c r="M31" s="9" t="s">
        <v>1455</v>
      </c>
      <c r="N31" s="9" t="s">
        <v>1456</v>
      </c>
      <c r="O31" s="9">
        <v>7</v>
      </c>
      <c r="W31" s="9" t="s">
        <v>2212</v>
      </c>
      <c r="Y31" s="9" t="s">
        <v>2270</v>
      </c>
      <c r="Z31" s="9" t="s">
        <v>2341</v>
      </c>
    </row>
    <row r="32" spans="1:26" ht="24" customHeight="1">
      <c r="A32" s="186" t="s">
        <v>1401</v>
      </c>
      <c r="B32" s="187" t="s">
        <v>1402</v>
      </c>
      <c r="C32" s="153" t="s">
        <v>1457</v>
      </c>
      <c r="D32" s="153" t="s">
        <v>1458</v>
      </c>
      <c r="E32" s="153">
        <v>7</v>
      </c>
      <c r="F32" s="153"/>
      <c r="G32" s="153"/>
      <c r="H32" s="153"/>
      <c r="I32" s="153"/>
      <c r="J32" s="153"/>
      <c r="K32" s="153"/>
      <c r="M32" s="9" t="s">
        <v>1457</v>
      </c>
      <c r="N32" s="9" t="s">
        <v>1458</v>
      </c>
      <c r="O32" s="9">
        <v>7</v>
      </c>
      <c r="W32" s="9" t="s">
        <v>2213</v>
      </c>
      <c r="Y32" s="9" t="s">
        <v>2271</v>
      </c>
      <c r="Z32" s="9" t="s">
        <v>2342</v>
      </c>
    </row>
    <row r="33" spans="1:26" ht="24" customHeight="1">
      <c r="A33" s="186" t="s">
        <v>1401</v>
      </c>
      <c r="B33" s="187" t="s">
        <v>1402</v>
      </c>
      <c r="C33" s="153" t="s">
        <v>1459</v>
      </c>
      <c r="D33" s="153" t="s">
        <v>1460</v>
      </c>
      <c r="E33" s="153">
        <v>7</v>
      </c>
      <c r="F33" s="153"/>
      <c r="G33" s="153"/>
      <c r="H33" s="153"/>
      <c r="I33" s="153"/>
      <c r="J33" s="153"/>
      <c r="K33" s="153"/>
      <c r="M33" s="9" t="s">
        <v>1459</v>
      </c>
      <c r="N33" s="9" t="s">
        <v>1460</v>
      </c>
      <c r="O33" s="9">
        <v>7</v>
      </c>
      <c r="W33" s="9" t="s">
        <v>2214</v>
      </c>
      <c r="Y33" s="9" t="s">
        <v>2272</v>
      </c>
      <c r="Z33" s="9" t="s">
        <v>2343</v>
      </c>
    </row>
    <row r="34" spans="1:26" ht="24" customHeight="1">
      <c r="A34" s="186" t="s">
        <v>1401</v>
      </c>
      <c r="B34" s="187" t="s">
        <v>1402</v>
      </c>
      <c r="C34" s="153" t="s">
        <v>1461</v>
      </c>
      <c r="D34" s="153" t="s">
        <v>1462</v>
      </c>
      <c r="E34" s="153">
        <v>7</v>
      </c>
      <c r="F34" s="153"/>
      <c r="G34" s="153"/>
      <c r="H34" s="153"/>
      <c r="I34" s="153"/>
      <c r="J34" s="153"/>
      <c r="K34" s="153"/>
      <c r="M34" s="9" t="s">
        <v>1461</v>
      </c>
      <c r="N34" s="9" t="s">
        <v>1462</v>
      </c>
      <c r="O34" s="9">
        <v>7</v>
      </c>
      <c r="W34" s="9" t="s">
        <v>2215</v>
      </c>
      <c r="Y34" s="9" t="s">
        <v>2273</v>
      </c>
      <c r="Z34" s="9" t="s">
        <v>2344</v>
      </c>
    </row>
    <row r="35" spans="1:26" ht="24" customHeight="1">
      <c r="A35" s="186" t="s">
        <v>1401</v>
      </c>
      <c r="B35" s="187" t="s">
        <v>1402</v>
      </c>
      <c r="C35" s="153" t="s">
        <v>1463</v>
      </c>
      <c r="D35" s="153" t="s">
        <v>1464</v>
      </c>
      <c r="E35" s="153">
        <v>7</v>
      </c>
      <c r="F35" s="153"/>
      <c r="G35" s="153"/>
      <c r="H35" s="153"/>
      <c r="I35" s="153"/>
      <c r="J35" s="153"/>
      <c r="K35" s="153"/>
      <c r="M35" s="9" t="s">
        <v>1463</v>
      </c>
      <c r="N35" s="9" t="s">
        <v>1464</v>
      </c>
      <c r="O35" s="9">
        <v>7</v>
      </c>
      <c r="W35" s="9" t="s">
        <v>2216</v>
      </c>
      <c r="Y35" s="9" t="s">
        <v>2274</v>
      </c>
      <c r="Z35" s="9" t="s">
        <v>2345</v>
      </c>
    </row>
    <row r="36" spans="1:26" ht="24" customHeight="1">
      <c r="A36" s="186" t="s">
        <v>1401</v>
      </c>
      <c r="B36" s="187" t="s">
        <v>1402</v>
      </c>
      <c r="C36" s="153" t="s">
        <v>1465</v>
      </c>
      <c r="D36" s="153" t="s">
        <v>1466</v>
      </c>
      <c r="E36" s="153">
        <v>7</v>
      </c>
      <c r="F36" s="153"/>
      <c r="G36" s="153"/>
      <c r="H36" s="153"/>
      <c r="I36" s="153"/>
      <c r="J36" s="153"/>
      <c r="K36" s="153"/>
      <c r="M36" s="9" t="s">
        <v>1465</v>
      </c>
      <c r="N36" s="9" t="s">
        <v>1466</v>
      </c>
      <c r="O36" s="9">
        <v>7</v>
      </c>
      <c r="W36" s="9" t="s">
        <v>2217</v>
      </c>
      <c r="Y36" s="9" t="s">
        <v>2275</v>
      </c>
      <c r="Z36" s="9" t="s">
        <v>2346</v>
      </c>
    </row>
    <row r="37" spans="1:26" ht="24" customHeight="1">
      <c r="A37" s="186" t="s">
        <v>1401</v>
      </c>
      <c r="B37" s="187" t="s">
        <v>1402</v>
      </c>
      <c r="C37" s="153" t="s">
        <v>1467</v>
      </c>
      <c r="D37" s="153" t="s">
        <v>1468</v>
      </c>
      <c r="E37" s="153">
        <v>7</v>
      </c>
      <c r="F37" s="153"/>
      <c r="G37" s="153"/>
      <c r="H37" s="153"/>
      <c r="I37" s="153"/>
      <c r="J37" s="153"/>
      <c r="K37" s="153"/>
      <c r="M37" s="9" t="s">
        <v>1467</v>
      </c>
      <c r="N37" s="9" t="s">
        <v>1468</v>
      </c>
      <c r="O37" s="9">
        <v>7</v>
      </c>
      <c r="W37" s="9" t="s">
        <v>2218</v>
      </c>
      <c r="Y37" s="9" t="s">
        <v>2276</v>
      </c>
      <c r="Z37" s="9" t="s">
        <v>2347</v>
      </c>
    </row>
    <row r="38" spans="1:26" ht="24" customHeight="1">
      <c r="A38" s="186" t="s">
        <v>1401</v>
      </c>
      <c r="B38" s="187" t="s">
        <v>1402</v>
      </c>
      <c r="C38" s="153" t="s">
        <v>1469</v>
      </c>
      <c r="D38" s="153" t="s">
        <v>1470</v>
      </c>
      <c r="E38" s="153">
        <v>7</v>
      </c>
      <c r="F38" s="153"/>
      <c r="G38" s="153"/>
      <c r="H38" s="153"/>
      <c r="I38" s="153"/>
      <c r="J38" s="153"/>
      <c r="K38" s="153"/>
      <c r="M38" s="9" t="s">
        <v>1469</v>
      </c>
      <c r="N38" s="9" t="s">
        <v>1470</v>
      </c>
      <c r="O38" s="9">
        <v>7</v>
      </c>
      <c r="W38" s="9" t="s">
        <v>2219</v>
      </c>
      <c r="Y38" s="9" t="s">
        <v>2277</v>
      </c>
      <c r="Z38" s="9" t="s">
        <v>2348</v>
      </c>
    </row>
    <row r="39" spans="1:26" ht="24" customHeight="1">
      <c r="A39" s="186" t="s">
        <v>1401</v>
      </c>
      <c r="B39" s="187" t="s">
        <v>1402</v>
      </c>
      <c r="C39" s="153" t="s">
        <v>1471</v>
      </c>
      <c r="D39" s="153" t="s">
        <v>1472</v>
      </c>
      <c r="E39" s="153">
        <v>7</v>
      </c>
      <c r="F39" s="153"/>
      <c r="G39" s="153"/>
      <c r="H39" s="153"/>
      <c r="I39" s="153"/>
      <c r="J39" s="153"/>
      <c r="K39" s="153"/>
      <c r="M39" s="9" t="s">
        <v>1471</v>
      </c>
      <c r="N39" s="9" t="s">
        <v>1472</v>
      </c>
      <c r="O39" s="9">
        <v>7</v>
      </c>
      <c r="W39" s="9" t="s">
        <v>2220</v>
      </c>
      <c r="Y39" s="9" t="s">
        <v>2278</v>
      </c>
      <c r="Z39" s="9" t="s">
        <v>2349</v>
      </c>
    </row>
    <row r="40" spans="1:26" ht="24" customHeight="1">
      <c r="A40" s="186" t="s">
        <v>1401</v>
      </c>
      <c r="B40" s="187" t="s">
        <v>1402</v>
      </c>
      <c r="C40" s="153" t="s">
        <v>1473</v>
      </c>
      <c r="D40" s="153" t="s">
        <v>1474</v>
      </c>
      <c r="E40" s="153">
        <v>1</v>
      </c>
      <c r="F40" s="153"/>
      <c r="G40" s="153"/>
      <c r="H40" s="153"/>
      <c r="I40" s="153"/>
      <c r="J40" s="153"/>
      <c r="K40" s="153"/>
      <c r="M40" s="9" t="s">
        <v>1473</v>
      </c>
      <c r="N40" s="9" t="s">
        <v>1474</v>
      </c>
      <c r="O40" s="9">
        <v>1</v>
      </c>
      <c r="W40" s="9" t="s">
        <v>2221</v>
      </c>
      <c r="Y40" s="9" t="s">
        <v>2279</v>
      </c>
      <c r="Z40" s="9" t="s">
        <v>2350</v>
      </c>
    </row>
    <row r="41" spans="1:26" ht="24" customHeight="1">
      <c r="A41" s="186" t="s">
        <v>1401</v>
      </c>
      <c r="B41" s="187" t="s">
        <v>1402</v>
      </c>
      <c r="C41" s="153" t="s">
        <v>1475</v>
      </c>
      <c r="D41" s="153" t="s">
        <v>1476</v>
      </c>
      <c r="E41" s="153">
        <v>1</v>
      </c>
      <c r="F41" s="153"/>
      <c r="G41" s="153"/>
      <c r="H41" s="153"/>
      <c r="I41" s="153"/>
      <c r="J41" s="153"/>
      <c r="K41" s="153"/>
      <c r="M41" s="9" t="s">
        <v>1475</v>
      </c>
      <c r="N41" s="9" t="s">
        <v>1476</v>
      </c>
      <c r="O41" s="9">
        <v>1</v>
      </c>
      <c r="W41" s="9" t="s">
        <v>2222</v>
      </c>
      <c r="Y41" s="9" t="s">
        <v>2280</v>
      </c>
      <c r="Z41" s="9" t="s">
        <v>2351</v>
      </c>
    </row>
    <row r="42" spans="1:26" ht="24" customHeight="1">
      <c r="A42" s="186" t="s">
        <v>1401</v>
      </c>
      <c r="B42" s="187" t="s">
        <v>1402</v>
      </c>
      <c r="C42" s="153" t="s">
        <v>1477</v>
      </c>
      <c r="D42" s="153" t="s">
        <v>1478</v>
      </c>
      <c r="E42" s="153">
        <v>1</v>
      </c>
      <c r="F42" s="153"/>
      <c r="G42" s="153"/>
      <c r="H42" s="153"/>
      <c r="I42" s="153"/>
      <c r="J42" s="153"/>
      <c r="K42" s="153"/>
      <c r="M42" s="9" t="s">
        <v>1477</v>
      </c>
      <c r="N42" s="9" t="s">
        <v>1478</v>
      </c>
      <c r="O42" s="9">
        <v>1</v>
      </c>
      <c r="W42" s="9" t="s">
        <v>2223</v>
      </c>
      <c r="Y42" s="9" t="s">
        <v>2281</v>
      </c>
      <c r="Z42" s="9" t="s">
        <v>2352</v>
      </c>
    </row>
    <row r="43" spans="1:26" ht="24" customHeight="1">
      <c r="A43" s="186" t="s">
        <v>1401</v>
      </c>
      <c r="B43" s="187" t="s">
        <v>1402</v>
      </c>
      <c r="C43" s="153" t="s">
        <v>1479</v>
      </c>
      <c r="D43" s="153" t="s">
        <v>1480</v>
      </c>
      <c r="E43" s="153">
        <v>1</v>
      </c>
      <c r="F43" s="153"/>
      <c r="G43" s="153"/>
      <c r="H43" s="153"/>
      <c r="I43" s="153"/>
      <c r="J43" s="153"/>
      <c r="K43" s="153"/>
      <c r="M43" s="9" t="s">
        <v>1479</v>
      </c>
      <c r="N43" s="9" t="s">
        <v>1480</v>
      </c>
      <c r="O43" s="9">
        <v>1</v>
      </c>
      <c r="W43" s="9" t="s">
        <v>2224</v>
      </c>
      <c r="Y43" s="9" t="s">
        <v>2282</v>
      </c>
      <c r="Z43" s="9" t="s">
        <v>2353</v>
      </c>
    </row>
    <row r="44" spans="1:26" ht="24" customHeight="1">
      <c r="A44" s="186" t="s">
        <v>1401</v>
      </c>
      <c r="B44" s="187" t="s">
        <v>1402</v>
      </c>
      <c r="C44" s="153" t="s">
        <v>1481</v>
      </c>
      <c r="D44" s="153" t="s">
        <v>1482</v>
      </c>
      <c r="E44" s="153">
        <v>1</v>
      </c>
      <c r="F44" s="153"/>
      <c r="G44" s="153"/>
      <c r="H44" s="153"/>
      <c r="I44" s="153"/>
      <c r="J44" s="153"/>
      <c r="K44" s="153"/>
      <c r="M44" s="9" t="s">
        <v>1481</v>
      </c>
      <c r="N44" s="9" t="s">
        <v>1482</v>
      </c>
      <c r="O44" s="9">
        <v>1</v>
      </c>
      <c r="W44" s="9" t="s">
        <v>2225</v>
      </c>
      <c r="Y44" s="9" t="s">
        <v>2283</v>
      </c>
      <c r="Z44" s="9" t="s">
        <v>2354</v>
      </c>
    </row>
    <row r="45" spans="1:26" ht="24" customHeight="1">
      <c r="A45" s="186" t="s">
        <v>1401</v>
      </c>
      <c r="B45" s="187" t="s">
        <v>1402</v>
      </c>
      <c r="C45" s="153" t="s">
        <v>1483</v>
      </c>
      <c r="D45" s="153" t="s">
        <v>1484</v>
      </c>
      <c r="E45" s="153">
        <v>1</v>
      </c>
      <c r="F45" s="153"/>
      <c r="G45" s="153"/>
      <c r="H45" s="153"/>
      <c r="I45" s="153"/>
      <c r="J45" s="153"/>
      <c r="K45" s="153"/>
      <c r="M45" s="9" t="s">
        <v>1483</v>
      </c>
      <c r="N45" s="9" t="s">
        <v>1484</v>
      </c>
      <c r="O45" s="9">
        <v>1</v>
      </c>
      <c r="W45" s="9" t="s">
        <v>2226</v>
      </c>
      <c r="Y45" s="9" t="s">
        <v>2284</v>
      </c>
      <c r="Z45" s="9" t="s">
        <v>2355</v>
      </c>
    </row>
    <row r="46" spans="1:26" ht="24" customHeight="1">
      <c r="A46" s="186" t="s">
        <v>1485</v>
      </c>
      <c r="B46" s="187" t="s">
        <v>1486</v>
      </c>
      <c r="C46" s="153" t="s">
        <v>1487</v>
      </c>
      <c r="D46" s="153" t="s">
        <v>1488</v>
      </c>
      <c r="E46" s="153">
        <v>20</v>
      </c>
      <c r="F46" s="153">
        <v>7</v>
      </c>
      <c r="G46" s="153">
        <v>0</v>
      </c>
      <c r="H46" s="153">
        <v>50</v>
      </c>
      <c r="I46" s="153" t="s">
        <v>1489</v>
      </c>
      <c r="J46" s="153"/>
      <c r="K46" s="153"/>
      <c r="M46" s="9" t="s">
        <v>1487</v>
      </c>
      <c r="N46" s="9" t="s">
        <v>1488</v>
      </c>
      <c r="O46" s="9">
        <v>20</v>
      </c>
      <c r="P46" s="9">
        <v>7</v>
      </c>
      <c r="Q46" s="9">
        <v>0</v>
      </c>
      <c r="R46" s="9">
        <v>50</v>
      </c>
      <c r="S46" s="9" t="s">
        <v>1489</v>
      </c>
      <c r="Y46" s="9" t="s">
        <v>2285</v>
      </c>
      <c r="Z46" s="9" t="s">
        <v>2356</v>
      </c>
    </row>
    <row r="47" spans="1:26" ht="24" customHeight="1">
      <c r="A47" s="186" t="s">
        <v>1485</v>
      </c>
      <c r="B47" s="187" t="s">
        <v>1486</v>
      </c>
      <c r="C47" s="153" t="s">
        <v>1490</v>
      </c>
      <c r="D47" s="153" t="s">
        <v>1491</v>
      </c>
      <c r="E47" s="153">
        <v>50</v>
      </c>
      <c r="F47" s="153">
        <v>1</v>
      </c>
      <c r="G47" s="153">
        <v>1</v>
      </c>
      <c r="H47" s="153">
        <v>10</v>
      </c>
      <c r="I47" s="153" t="s">
        <v>1492</v>
      </c>
      <c r="J47" s="153"/>
      <c r="K47" s="153"/>
      <c r="M47" s="9" t="s">
        <v>1490</v>
      </c>
      <c r="N47" s="9" t="s">
        <v>1491</v>
      </c>
      <c r="O47" s="9">
        <v>50</v>
      </c>
      <c r="P47" s="9">
        <v>1</v>
      </c>
      <c r="Q47" s="9">
        <v>1</v>
      </c>
      <c r="R47" s="9">
        <v>10</v>
      </c>
      <c r="S47" s="9" t="s">
        <v>1492</v>
      </c>
      <c r="Y47" s="9" t="s">
        <v>2286</v>
      </c>
      <c r="Z47" s="9" t="s">
        <v>2357</v>
      </c>
    </row>
    <row r="48" spans="1:26" ht="24" customHeight="1">
      <c r="A48" s="186" t="s">
        <v>1485</v>
      </c>
      <c r="B48" s="187" t="s">
        <v>1486</v>
      </c>
      <c r="C48" s="153" t="s">
        <v>1493</v>
      </c>
      <c r="D48" s="153" t="s">
        <v>1494</v>
      </c>
      <c r="E48" s="153">
        <v>20</v>
      </c>
      <c r="F48" s="153">
        <v>5</v>
      </c>
      <c r="G48" s="153">
        <v>3</v>
      </c>
      <c r="H48" s="153">
        <v>30</v>
      </c>
      <c r="I48" s="153" t="s">
        <v>1495</v>
      </c>
      <c r="J48" s="153"/>
      <c r="K48" s="153"/>
      <c r="M48" s="9" t="s">
        <v>1493</v>
      </c>
      <c r="N48" s="9" t="s">
        <v>1494</v>
      </c>
      <c r="O48" s="9">
        <v>20</v>
      </c>
      <c r="P48" s="9">
        <v>5</v>
      </c>
      <c r="Q48" s="9">
        <v>3</v>
      </c>
      <c r="R48" s="9">
        <v>30</v>
      </c>
      <c r="S48" s="9" t="s">
        <v>1495</v>
      </c>
      <c r="Y48" s="9" t="s">
        <v>2287</v>
      </c>
      <c r="Z48" s="9" t="s">
        <v>2358</v>
      </c>
    </row>
    <row r="49" spans="1:26" ht="24" customHeight="1">
      <c r="A49" s="186" t="s">
        <v>1485</v>
      </c>
      <c r="B49" s="187" t="s">
        <v>1486</v>
      </c>
      <c r="C49" s="153" t="s">
        <v>1496</v>
      </c>
      <c r="D49" s="153" t="s">
        <v>1497</v>
      </c>
      <c r="E49" s="153">
        <v>15</v>
      </c>
      <c r="F49" s="153">
        <v>10</v>
      </c>
      <c r="G49" s="153">
        <v>0</v>
      </c>
      <c r="H49" s="153">
        <v>20</v>
      </c>
      <c r="I49" s="153" t="s">
        <v>1498</v>
      </c>
      <c r="J49" s="153"/>
      <c r="K49" s="153"/>
      <c r="M49" s="9" t="s">
        <v>1496</v>
      </c>
      <c r="N49" s="9" t="s">
        <v>1497</v>
      </c>
      <c r="O49" s="9">
        <v>15</v>
      </c>
      <c r="P49" s="9">
        <v>10</v>
      </c>
      <c r="Q49" s="9">
        <v>0</v>
      </c>
      <c r="R49" s="9">
        <v>20</v>
      </c>
      <c r="S49" s="9" t="s">
        <v>1498</v>
      </c>
      <c r="Y49" s="9" t="s">
        <v>2288</v>
      </c>
      <c r="Z49" s="9" t="s">
        <v>2359</v>
      </c>
    </row>
    <row r="50" spans="1:26" ht="24" customHeight="1">
      <c r="A50" s="186" t="s">
        <v>1485</v>
      </c>
      <c r="B50" s="187" t="s">
        <v>1486</v>
      </c>
      <c r="C50" s="153" t="s">
        <v>1499</v>
      </c>
      <c r="D50" s="153" t="s">
        <v>1500</v>
      </c>
      <c r="E50" s="153">
        <v>20</v>
      </c>
      <c r="F50" s="153">
        <v>3</v>
      </c>
      <c r="G50" s="153">
        <v>3</v>
      </c>
      <c r="H50" s="153">
        <v>20</v>
      </c>
      <c r="I50" s="153" t="s">
        <v>1501</v>
      </c>
      <c r="J50" s="153"/>
      <c r="K50" s="153"/>
      <c r="M50" s="9" t="s">
        <v>1499</v>
      </c>
      <c r="N50" s="9" t="s">
        <v>1500</v>
      </c>
      <c r="O50" s="9">
        <v>20</v>
      </c>
      <c r="P50" s="9">
        <v>3</v>
      </c>
      <c r="Q50" s="9">
        <v>3</v>
      </c>
      <c r="R50" s="9">
        <v>20</v>
      </c>
      <c r="S50" s="9" t="s">
        <v>1501</v>
      </c>
      <c r="Y50" s="9" t="s">
        <v>2289</v>
      </c>
      <c r="Z50" s="9" t="s">
        <v>2360</v>
      </c>
    </row>
    <row r="51" spans="1:26" ht="24" customHeight="1">
      <c r="A51" s="186" t="s">
        <v>1485</v>
      </c>
      <c r="B51" s="187" t="s">
        <v>1486</v>
      </c>
      <c r="C51" s="153" t="s">
        <v>1502</v>
      </c>
      <c r="D51" s="153" t="s">
        <v>1503</v>
      </c>
      <c r="E51" s="153">
        <v>40</v>
      </c>
      <c r="F51" s="153">
        <v>2</v>
      </c>
      <c r="G51" s="153">
        <v>5</v>
      </c>
      <c r="H51" s="153">
        <v>20</v>
      </c>
      <c r="I51" s="153" t="s">
        <v>1498</v>
      </c>
      <c r="J51" s="153"/>
      <c r="K51" s="153"/>
      <c r="M51" s="9" t="s">
        <v>1502</v>
      </c>
      <c r="N51" s="9" t="s">
        <v>1503</v>
      </c>
      <c r="O51" s="9">
        <v>40</v>
      </c>
      <c r="P51" s="9">
        <v>2</v>
      </c>
      <c r="Q51" s="9">
        <v>5</v>
      </c>
      <c r="R51" s="9">
        <v>20</v>
      </c>
      <c r="S51" s="9" t="s">
        <v>1498</v>
      </c>
      <c r="Y51" s="9" t="s">
        <v>2290</v>
      </c>
      <c r="Z51" s="9" t="s">
        <v>2361</v>
      </c>
    </row>
    <row r="52" spans="1:26" ht="24" customHeight="1">
      <c r="A52" s="186" t="s">
        <v>1485</v>
      </c>
      <c r="B52" s="187" t="s">
        <v>1486</v>
      </c>
      <c r="C52" s="153" t="s">
        <v>1504</v>
      </c>
      <c r="D52" s="153" t="s">
        <v>1505</v>
      </c>
      <c r="E52" s="153">
        <v>10</v>
      </c>
      <c r="F52" s="153">
        <v>0</v>
      </c>
      <c r="G52" s="153">
        <v>20</v>
      </c>
      <c r="H52" s="153">
        <v>50</v>
      </c>
      <c r="I52" s="153" t="s">
        <v>1495</v>
      </c>
      <c r="J52" s="153"/>
      <c r="K52" s="153"/>
      <c r="M52" s="9" t="s">
        <v>1504</v>
      </c>
      <c r="N52" s="9" t="s">
        <v>1505</v>
      </c>
      <c r="O52" s="9">
        <v>10</v>
      </c>
      <c r="P52" s="9">
        <v>0</v>
      </c>
      <c r="Q52" s="9">
        <v>20</v>
      </c>
      <c r="R52" s="9">
        <v>50</v>
      </c>
      <c r="S52" s="9" t="s">
        <v>1495</v>
      </c>
      <c r="Y52" s="9" t="s">
        <v>2291</v>
      </c>
      <c r="Z52" s="9" t="s">
        <v>2362</v>
      </c>
    </row>
    <row r="53" spans="1:26" ht="24" customHeight="1">
      <c r="A53" s="186" t="s">
        <v>1485</v>
      </c>
      <c r="B53" s="187" t="s">
        <v>1486</v>
      </c>
      <c r="C53" s="153" t="s">
        <v>1506</v>
      </c>
      <c r="D53" s="153" t="s">
        <v>1507</v>
      </c>
      <c r="E53" s="153">
        <v>25</v>
      </c>
      <c r="F53" s="153">
        <v>6</v>
      </c>
      <c r="G53" s="153">
        <v>6</v>
      </c>
      <c r="H53" s="153">
        <v>20</v>
      </c>
      <c r="I53" s="153" t="s">
        <v>1498</v>
      </c>
      <c r="J53" s="153"/>
      <c r="K53" s="153"/>
      <c r="M53" s="9" t="s">
        <v>1506</v>
      </c>
      <c r="N53" s="9" t="s">
        <v>1507</v>
      </c>
      <c r="O53" s="9">
        <v>25</v>
      </c>
      <c r="P53" s="9">
        <v>6</v>
      </c>
      <c r="Q53" s="9">
        <v>6</v>
      </c>
      <c r="R53" s="9">
        <v>20</v>
      </c>
      <c r="S53" s="9" t="s">
        <v>1498</v>
      </c>
      <c r="Y53" s="9" t="s">
        <v>2292</v>
      </c>
      <c r="Z53" s="9" t="s">
        <v>2363</v>
      </c>
    </row>
    <row r="54" spans="1:26" ht="24" customHeight="1">
      <c r="A54" s="186" t="s">
        <v>1485</v>
      </c>
      <c r="B54" s="187" t="s">
        <v>1486</v>
      </c>
      <c r="C54" s="153" t="s">
        <v>1508</v>
      </c>
      <c r="D54" s="153" t="s">
        <v>1509</v>
      </c>
      <c r="E54" s="153">
        <v>20</v>
      </c>
      <c r="F54" s="153">
        <v>7</v>
      </c>
      <c r="G54" s="153">
        <v>2</v>
      </c>
      <c r="H54" s="153">
        <v>30</v>
      </c>
      <c r="I54" s="153" t="s">
        <v>1510</v>
      </c>
      <c r="J54" s="153"/>
      <c r="K54" s="153"/>
      <c r="M54" s="9" t="s">
        <v>1508</v>
      </c>
      <c r="N54" s="9" t="s">
        <v>1509</v>
      </c>
      <c r="O54" s="9">
        <v>20</v>
      </c>
      <c r="P54" s="9">
        <v>7</v>
      </c>
      <c r="Q54" s="9">
        <v>2</v>
      </c>
      <c r="R54" s="9">
        <v>30</v>
      </c>
      <c r="S54" s="9" t="s">
        <v>1510</v>
      </c>
      <c r="Y54" s="9" t="s">
        <v>2293</v>
      </c>
      <c r="Z54" s="9" t="s">
        <v>2364</v>
      </c>
    </row>
    <row r="55" spans="1:26" ht="24" customHeight="1">
      <c r="A55" s="186" t="s">
        <v>1485</v>
      </c>
      <c r="B55" s="187" t="s">
        <v>1486</v>
      </c>
      <c r="C55" s="153" t="s">
        <v>1511</v>
      </c>
      <c r="D55" s="153" t="s">
        <v>1512</v>
      </c>
      <c r="E55" s="153">
        <v>20</v>
      </c>
      <c r="F55" s="153">
        <v>3</v>
      </c>
      <c r="G55" s="153">
        <v>15</v>
      </c>
      <c r="H55" s="153">
        <v>30</v>
      </c>
      <c r="I55" s="153" t="s">
        <v>1489</v>
      </c>
      <c r="J55" s="153"/>
      <c r="K55" s="153"/>
      <c r="M55" s="9" t="s">
        <v>1511</v>
      </c>
      <c r="N55" s="9" t="s">
        <v>1512</v>
      </c>
      <c r="O55" s="9">
        <v>20</v>
      </c>
      <c r="P55" s="9">
        <v>3</v>
      </c>
      <c r="Q55" s="9">
        <v>15</v>
      </c>
      <c r="R55" s="9">
        <v>30</v>
      </c>
      <c r="S55" s="9" t="s">
        <v>1489</v>
      </c>
      <c r="Y55" s="9" t="s">
        <v>2294</v>
      </c>
      <c r="Z55" s="9" t="s">
        <v>2365</v>
      </c>
    </row>
    <row r="56" spans="1:26" ht="24" customHeight="1">
      <c r="A56" s="186" t="s">
        <v>1485</v>
      </c>
      <c r="B56" s="187" t="s">
        <v>1486</v>
      </c>
      <c r="C56" s="153" t="s">
        <v>1513</v>
      </c>
      <c r="D56" s="153" t="s">
        <v>1514</v>
      </c>
      <c r="E56" s="153">
        <v>5</v>
      </c>
      <c r="F56" s="153">
        <v>0</v>
      </c>
      <c r="G56" s="153">
        <v>0</v>
      </c>
      <c r="H56" s="153">
        <v>10</v>
      </c>
      <c r="I56" s="153" t="s">
        <v>1515</v>
      </c>
      <c r="J56" s="153"/>
      <c r="K56" s="153"/>
      <c r="M56" s="9" t="s">
        <v>1513</v>
      </c>
      <c r="N56" s="9" t="s">
        <v>1514</v>
      </c>
      <c r="O56" s="9">
        <v>5</v>
      </c>
      <c r="P56" s="9">
        <v>0</v>
      </c>
      <c r="Q56" s="9">
        <v>0</v>
      </c>
      <c r="R56" s="9">
        <v>10</v>
      </c>
      <c r="S56" s="9" t="s">
        <v>1515</v>
      </c>
      <c r="Y56" s="9" t="s">
        <v>2295</v>
      </c>
      <c r="Z56" s="9" t="s">
        <v>2366</v>
      </c>
    </row>
    <row r="57" spans="1:26" ht="24" customHeight="1">
      <c r="A57" s="186" t="s">
        <v>1485</v>
      </c>
      <c r="B57" s="187" t="s">
        <v>1486</v>
      </c>
      <c r="C57" s="153" t="s">
        <v>1516</v>
      </c>
      <c r="D57" s="153" t="s">
        <v>1517</v>
      </c>
      <c r="E57" s="153">
        <v>10</v>
      </c>
      <c r="F57" s="153">
        <v>5</v>
      </c>
      <c r="G57" s="153">
        <v>8</v>
      </c>
      <c r="H57" s="153">
        <v>30</v>
      </c>
      <c r="I57" s="153" t="s">
        <v>1518</v>
      </c>
      <c r="J57" s="153"/>
      <c r="K57" s="153"/>
      <c r="M57" s="9" t="s">
        <v>1516</v>
      </c>
      <c r="N57" s="9" t="s">
        <v>1517</v>
      </c>
      <c r="O57" s="9">
        <v>10</v>
      </c>
      <c r="P57" s="9">
        <v>5</v>
      </c>
      <c r="Q57" s="9">
        <v>8</v>
      </c>
      <c r="R57" s="9">
        <v>30</v>
      </c>
      <c r="S57" s="9" t="s">
        <v>1518</v>
      </c>
      <c r="Y57" s="9" t="s">
        <v>2296</v>
      </c>
      <c r="Z57" s="9" t="s">
        <v>2367</v>
      </c>
    </row>
    <row r="58" spans="1:26" ht="24" customHeight="1">
      <c r="A58" s="186" t="s">
        <v>1485</v>
      </c>
      <c r="B58" s="187" t="s">
        <v>1486</v>
      </c>
      <c r="C58" s="153" t="s">
        <v>1519</v>
      </c>
      <c r="D58" s="153" t="s">
        <v>1520</v>
      </c>
      <c r="E58" s="153">
        <v>30</v>
      </c>
      <c r="F58" s="153">
        <v>0</v>
      </c>
      <c r="G58" s="153">
        <v>18</v>
      </c>
      <c r="H58" s="153">
        <v>40</v>
      </c>
      <c r="I58" s="153" t="s">
        <v>1521</v>
      </c>
      <c r="J58" s="153"/>
      <c r="K58" s="153"/>
      <c r="M58" s="9" t="s">
        <v>1519</v>
      </c>
      <c r="N58" s="9" t="s">
        <v>1520</v>
      </c>
      <c r="O58" s="9">
        <v>30</v>
      </c>
      <c r="P58" s="9">
        <v>0</v>
      </c>
      <c r="Q58" s="9">
        <v>18</v>
      </c>
      <c r="R58" s="9">
        <v>40</v>
      </c>
      <c r="S58" s="9" t="s">
        <v>1521</v>
      </c>
      <c r="Y58" s="9" t="s">
        <v>2297</v>
      </c>
      <c r="Z58" s="9" t="s">
        <v>2368</v>
      </c>
    </row>
    <row r="59" spans="1:26" ht="24" customHeight="1">
      <c r="A59" s="186" t="s">
        <v>1485</v>
      </c>
      <c r="B59" s="187" t="s">
        <v>1486</v>
      </c>
      <c r="C59" s="153" t="s">
        <v>1522</v>
      </c>
      <c r="D59" s="153" t="s">
        <v>1523</v>
      </c>
      <c r="E59" s="153">
        <v>20</v>
      </c>
      <c r="F59" s="153">
        <v>10</v>
      </c>
      <c r="G59" s="153">
        <v>2</v>
      </c>
      <c r="H59" s="153">
        <v>30</v>
      </c>
      <c r="I59" s="153" t="s">
        <v>1495</v>
      </c>
      <c r="J59" s="153"/>
      <c r="K59" s="153"/>
      <c r="M59" s="9" t="s">
        <v>1522</v>
      </c>
      <c r="N59" s="9" t="s">
        <v>1523</v>
      </c>
      <c r="O59" s="9">
        <v>20</v>
      </c>
      <c r="P59" s="9">
        <v>10</v>
      </c>
      <c r="Q59" s="9">
        <v>2</v>
      </c>
      <c r="R59" s="9">
        <v>30</v>
      </c>
      <c r="S59" s="9" t="s">
        <v>1495</v>
      </c>
      <c r="Y59" s="9" t="s">
        <v>2298</v>
      </c>
      <c r="Z59" s="9" t="s">
        <v>2369</v>
      </c>
    </row>
    <row r="60" spans="1:26" ht="24" customHeight="1">
      <c r="A60" s="186" t="s">
        <v>1485</v>
      </c>
      <c r="B60" s="187" t="s">
        <v>1486</v>
      </c>
      <c r="C60" s="153" t="s">
        <v>1524</v>
      </c>
      <c r="D60" s="153" t="s">
        <v>1525</v>
      </c>
      <c r="E60" s="153">
        <v>20</v>
      </c>
      <c r="F60" s="153">
        <v>3</v>
      </c>
      <c r="G60" s="153">
        <v>9</v>
      </c>
      <c r="H60" s="153">
        <v>30</v>
      </c>
      <c r="I60" s="153" t="s">
        <v>1526</v>
      </c>
      <c r="J60" s="153"/>
      <c r="K60" s="153"/>
      <c r="M60" s="9" t="s">
        <v>1524</v>
      </c>
      <c r="N60" s="9" t="s">
        <v>1525</v>
      </c>
      <c r="O60" s="9">
        <v>20</v>
      </c>
      <c r="P60" s="9">
        <v>3</v>
      </c>
      <c r="Q60" s="9">
        <v>9</v>
      </c>
      <c r="R60" s="9">
        <v>30</v>
      </c>
      <c r="S60" s="9" t="s">
        <v>1526</v>
      </c>
      <c r="Y60" s="9" t="s">
        <v>2299</v>
      </c>
      <c r="Z60" s="9" t="s">
        <v>2370</v>
      </c>
    </row>
    <row r="61" spans="1:26" ht="24" customHeight="1">
      <c r="A61" s="186" t="s">
        <v>1485</v>
      </c>
      <c r="B61" s="187" t="s">
        <v>1486</v>
      </c>
      <c r="C61" s="153" t="s">
        <v>1527</v>
      </c>
      <c r="D61" s="153" t="s">
        <v>1528</v>
      </c>
      <c r="E61" s="153">
        <v>30</v>
      </c>
      <c r="F61" s="153">
        <v>0</v>
      </c>
      <c r="G61" s="153">
        <v>20</v>
      </c>
      <c r="H61" s="153">
        <v>40</v>
      </c>
      <c r="I61" s="153" t="s">
        <v>1521</v>
      </c>
      <c r="J61" s="153"/>
      <c r="K61" s="153"/>
      <c r="M61" s="9" t="s">
        <v>1527</v>
      </c>
      <c r="N61" s="9" t="s">
        <v>1528</v>
      </c>
      <c r="O61" s="9">
        <v>30</v>
      </c>
      <c r="P61" s="9">
        <v>0</v>
      </c>
      <c r="Q61" s="9">
        <v>20</v>
      </c>
      <c r="R61" s="9">
        <v>40</v>
      </c>
      <c r="S61" s="9" t="s">
        <v>1521</v>
      </c>
      <c r="Y61" s="9" t="s">
        <v>2300</v>
      </c>
      <c r="Z61" s="9" t="s">
        <v>2371</v>
      </c>
    </row>
    <row r="62" spans="1:26" ht="24" customHeight="1">
      <c r="A62" s="186" t="s">
        <v>1485</v>
      </c>
      <c r="B62" s="187" t="s">
        <v>1486</v>
      </c>
      <c r="C62" s="153" t="s">
        <v>1529</v>
      </c>
      <c r="D62" s="153" t="s">
        <v>1530</v>
      </c>
      <c r="E62" s="153">
        <v>30</v>
      </c>
      <c r="F62" s="153">
        <v>10</v>
      </c>
      <c r="G62" s="153">
        <v>10</v>
      </c>
      <c r="H62" s="153">
        <v>40</v>
      </c>
      <c r="I62" s="153" t="s">
        <v>1531</v>
      </c>
      <c r="J62" s="153"/>
      <c r="K62" s="153"/>
      <c r="M62" s="9" t="s">
        <v>1529</v>
      </c>
      <c r="N62" s="9" t="s">
        <v>1530</v>
      </c>
      <c r="O62" s="9">
        <v>30</v>
      </c>
      <c r="P62" s="9">
        <v>10</v>
      </c>
      <c r="Q62" s="9">
        <v>10</v>
      </c>
      <c r="R62" s="9">
        <v>40</v>
      </c>
      <c r="S62" s="9" t="s">
        <v>1531</v>
      </c>
      <c r="Y62" s="9" t="s">
        <v>2301</v>
      </c>
      <c r="Z62" s="9" t="s">
        <v>2372</v>
      </c>
    </row>
    <row r="63" spans="1:26" ht="24" customHeight="1">
      <c r="A63" s="186" t="s">
        <v>1485</v>
      </c>
      <c r="B63" s="187" t="s">
        <v>1486</v>
      </c>
      <c r="C63" s="153" t="s">
        <v>1532</v>
      </c>
      <c r="D63" s="153" t="s">
        <v>1533</v>
      </c>
      <c r="E63" s="153">
        <v>25</v>
      </c>
      <c r="F63" s="153">
        <v>5</v>
      </c>
      <c r="G63" s="153">
        <v>5</v>
      </c>
      <c r="H63" s="153">
        <v>20</v>
      </c>
      <c r="I63" s="153" t="s">
        <v>1498</v>
      </c>
      <c r="J63" s="153"/>
      <c r="K63" s="153"/>
      <c r="M63" s="9" t="s">
        <v>1532</v>
      </c>
      <c r="N63" s="9" t="s">
        <v>1533</v>
      </c>
      <c r="O63" s="9">
        <v>25</v>
      </c>
      <c r="P63" s="9">
        <v>5</v>
      </c>
      <c r="Q63" s="9">
        <v>5</v>
      </c>
      <c r="R63" s="9">
        <v>20</v>
      </c>
      <c r="S63" s="9" t="s">
        <v>1498</v>
      </c>
      <c r="Y63" s="9" t="s">
        <v>2302</v>
      </c>
      <c r="Z63" s="9" t="s">
        <v>2373</v>
      </c>
    </row>
    <row r="64" spans="1:26" ht="24" customHeight="1">
      <c r="A64" s="186" t="s">
        <v>1485</v>
      </c>
      <c r="B64" s="187" t="s">
        <v>1486</v>
      </c>
      <c r="C64" s="153" t="s">
        <v>1534</v>
      </c>
      <c r="D64" s="153" t="s">
        <v>1535</v>
      </c>
      <c r="E64" s="153">
        <v>40</v>
      </c>
      <c r="F64" s="153">
        <v>15</v>
      </c>
      <c r="G64" s="153">
        <v>10</v>
      </c>
      <c r="H64" s="153">
        <v>50</v>
      </c>
      <c r="I64" s="153" t="s">
        <v>1489</v>
      </c>
      <c r="J64" s="153"/>
      <c r="K64" s="153"/>
      <c r="M64" s="9" t="s">
        <v>1534</v>
      </c>
      <c r="N64" s="9" t="s">
        <v>1535</v>
      </c>
      <c r="O64" s="9">
        <v>40</v>
      </c>
      <c r="P64" s="9">
        <v>15</v>
      </c>
      <c r="Q64" s="9">
        <v>10</v>
      </c>
      <c r="R64" s="9">
        <v>50</v>
      </c>
      <c r="S64" s="9" t="s">
        <v>1489</v>
      </c>
      <c r="Y64" s="9" t="s">
        <v>2303</v>
      </c>
      <c r="Z64" s="9" t="s">
        <v>2374</v>
      </c>
    </row>
    <row r="65" spans="1:26" ht="24" customHeight="1">
      <c r="A65" s="186" t="s">
        <v>1485</v>
      </c>
      <c r="B65" s="187" t="s">
        <v>1486</v>
      </c>
      <c r="C65" s="153" t="s">
        <v>1536</v>
      </c>
      <c r="D65" s="153" t="s">
        <v>1537</v>
      </c>
      <c r="E65" s="153">
        <v>30</v>
      </c>
      <c r="F65" s="153">
        <v>5</v>
      </c>
      <c r="G65" s="153">
        <v>10</v>
      </c>
      <c r="H65" s="153">
        <v>35</v>
      </c>
      <c r="I65" s="153" t="s">
        <v>1495</v>
      </c>
      <c r="J65" s="153"/>
      <c r="K65" s="153"/>
      <c r="M65" s="9" t="s">
        <v>1536</v>
      </c>
      <c r="N65" s="9" t="s">
        <v>1537</v>
      </c>
      <c r="O65" s="9">
        <v>30</v>
      </c>
      <c r="P65" s="9">
        <v>5</v>
      </c>
      <c r="Q65" s="9">
        <v>10</v>
      </c>
      <c r="R65" s="9">
        <v>35</v>
      </c>
      <c r="S65" s="9" t="s">
        <v>1495</v>
      </c>
      <c r="Y65" s="9" t="s">
        <v>2304</v>
      </c>
      <c r="Z65" s="9" t="s">
        <v>2375</v>
      </c>
    </row>
    <row r="66" spans="1:26" ht="24" customHeight="1">
      <c r="A66" s="186" t="s">
        <v>1485</v>
      </c>
      <c r="B66" s="187" t="s">
        <v>1538</v>
      </c>
      <c r="C66" s="153" t="s">
        <v>1539</v>
      </c>
      <c r="D66" s="153" t="s">
        <v>1540</v>
      </c>
      <c r="E66" s="153">
        <v>20</v>
      </c>
      <c r="F66" s="153">
        <v>20</v>
      </c>
      <c r="G66" s="153">
        <v>10</v>
      </c>
      <c r="H66" s="153">
        <v>50</v>
      </c>
      <c r="I66" s="153" t="s">
        <v>1541</v>
      </c>
      <c r="J66" s="153"/>
      <c r="K66" s="153"/>
      <c r="M66" s="9" t="s">
        <v>1539</v>
      </c>
      <c r="N66" s="9" t="s">
        <v>1540</v>
      </c>
      <c r="O66" s="9">
        <v>20</v>
      </c>
      <c r="P66" s="9">
        <v>20</v>
      </c>
      <c r="Q66" s="9">
        <v>10</v>
      </c>
      <c r="R66" s="9">
        <v>50</v>
      </c>
      <c r="S66" s="9" t="s">
        <v>1541</v>
      </c>
      <c r="Y66" s="9" t="s">
        <v>2305</v>
      </c>
      <c r="Z66" s="9" t="s">
        <v>2376</v>
      </c>
    </row>
    <row r="67" spans="1:26" ht="24" customHeight="1">
      <c r="A67" s="186" t="s">
        <v>1485</v>
      </c>
      <c r="B67" s="187" t="s">
        <v>1538</v>
      </c>
      <c r="C67" s="153" t="s">
        <v>1542</v>
      </c>
      <c r="D67" s="153" t="s">
        <v>1543</v>
      </c>
      <c r="E67" s="153">
        <v>15</v>
      </c>
      <c r="F67" s="153">
        <v>15</v>
      </c>
      <c r="G67" s="153">
        <v>15</v>
      </c>
      <c r="H67" s="153">
        <v>40</v>
      </c>
      <c r="I67" s="153" t="s">
        <v>1544</v>
      </c>
      <c r="J67" s="153"/>
      <c r="K67" s="153"/>
      <c r="M67" s="9" t="s">
        <v>1542</v>
      </c>
      <c r="N67" s="9" t="s">
        <v>1543</v>
      </c>
      <c r="O67" s="9">
        <v>15</v>
      </c>
      <c r="P67" s="9">
        <v>15</v>
      </c>
      <c r="Q67" s="9">
        <v>15</v>
      </c>
      <c r="R67" s="9">
        <v>40</v>
      </c>
      <c r="S67" s="9" t="s">
        <v>1544</v>
      </c>
      <c r="Y67" s="9" t="s">
        <v>2306</v>
      </c>
      <c r="Z67" s="9" t="s">
        <v>2377</v>
      </c>
    </row>
    <row r="68" spans="1:26" ht="24" customHeight="1">
      <c r="A68" s="186" t="s">
        <v>1485</v>
      </c>
      <c r="B68" s="187" t="s">
        <v>1538</v>
      </c>
      <c r="C68" s="153" t="s">
        <v>1545</v>
      </c>
      <c r="D68" s="153" t="s">
        <v>1546</v>
      </c>
      <c r="E68" s="153">
        <v>25</v>
      </c>
      <c r="F68" s="153">
        <v>15</v>
      </c>
      <c r="G68" s="153">
        <v>15</v>
      </c>
      <c r="H68" s="153">
        <v>40</v>
      </c>
      <c r="I68" s="153" t="s">
        <v>1547</v>
      </c>
      <c r="J68" s="153"/>
      <c r="K68" s="153"/>
      <c r="M68" s="9" t="s">
        <v>1545</v>
      </c>
      <c r="N68" s="9" t="s">
        <v>1546</v>
      </c>
      <c r="O68" s="9">
        <v>25</v>
      </c>
      <c r="P68" s="9">
        <v>15</v>
      </c>
      <c r="Q68" s="9">
        <v>15</v>
      </c>
      <c r="R68" s="9">
        <v>40</v>
      </c>
      <c r="S68" s="9" t="s">
        <v>1547</v>
      </c>
      <c r="Y68" s="9" t="s">
        <v>2307</v>
      </c>
      <c r="Z68" s="9" t="s">
        <v>2378</v>
      </c>
    </row>
    <row r="69" spans="1:26" ht="24" customHeight="1">
      <c r="A69" s="186" t="s">
        <v>1485</v>
      </c>
      <c r="B69" s="187" t="s">
        <v>1538</v>
      </c>
      <c r="C69" s="153" t="s">
        <v>1548</v>
      </c>
      <c r="D69" s="153" t="s">
        <v>1549</v>
      </c>
      <c r="E69" s="153">
        <v>35</v>
      </c>
      <c r="F69" s="153">
        <v>15</v>
      </c>
      <c r="G69" s="153">
        <v>15</v>
      </c>
      <c r="H69" s="153">
        <v>60</v>
      </c>
      <c r="I69" s="153" t="s">
        <v>1547</v>
      </c>
      <c r="J69" s="153"/>
      <c r="K69" s="153"/>
      <c r="M69" s="9" t="s">
        <v>1548</v>
      </c>
      <c r="N69" s="9" t="s">
        <v>1549</v>
      </c>
      <c r="O69" s="9">
        <v>35</v>
      </c>
      <c r="P69" s="9">
        <v>15</v>
      </c>
      <c r="Q69" s="9">
        <v>15</v>
      </c>
      <c r="R69" s="9">
        <v>60</v>
      </c>
      <c r="S69" s="9" t="s">
        <v>1547</v>
      </c>
      <c r="Y69" s="9" t="s">
        <v>2308</v>
      </c>
      <c r="Z69" s="9" t="s">
        <v>2379</v>
      </c>
    </row>
    <row r="70" spans="1:26" ht="24" customHeight="1">
      <c r="A70" s="186" t="s">
        <v>1485</v>
      </c>
      <c r="B70" s="187" t="s">
        <v>1538</v>
      </c>
      <c r="C70" s="153" t="s">
        <v>1550</v>
      </c>
      <c r="D70" s="153" t="s">
        <v>1551</v>
      </c>
      <c r="E70" s="153">
        <v>40</v>
      </c>
      <c r="F70" s="153">
        <v>25</v>
      </c>
      <c r="G70" s="153">
        <v>25</v>
      </c>
      <c r="H70" s="153">
        <v>100</v>
      </c>
      <c r="I70" s="153" t="s">
        <v>1544</v>
      </c>
      <c r="J70" s="153"/>
      <c r="K70" s="153"/>
      <c r="M70" s="9" t="s">
        <v>1550</v>
      </c>
      <c r="N70" s="9" t="s">
        <v>1551</v>
      </c>
      <c r="O70" s="9">
        <v>40</v>
      </c>
      <c r="P70" s="9">
        <v>25</v>
      </c>
      <c r="Q70" s="9">
        <v>25</v>
      </c>
      <c r="R70" s="9">
        <v>100</v>
      </c>
      <c r="S70" s="9" t="s">
        <v>1544</v>
      </c>
      <c r="Y70" s="9" t="s">
        <v>2309</v>
      </c>
      <c r="Z70" s="9" t="s">
        <v>2380</v>
      </c>
    </row>
    <row r="71" spans="1:26" ht="24" customHeight="1">
      <c r="A71" s="186" t="s">
        <v>1485</v>
      </c>
      <c r="B71" s="187" t="s">
        <v>1538</v>
      </c>
      <c r="C71" s="153" t="s">
        <v>1552</v>
      </c>
      <c r="D71" s="153" t="s">
        <v>1553</v>
      </c>
      <c r="E71" s="153">
        <v>35</v>
      </c>
      <c r="F71" s="153">
        <v>10</v>
      </c>
      <c r="G71" s="153">
        <v>15</v>
      </c>
      <c r="H71" s="153">
        <v>50</v>
      </c>
      <c r="I71" s="153" t="s">
        <v>1554</v>
      </c>
      <c r="J71" s="153"/>
      <c r="K71" s="153"/>
      <c r="M71" s="9" t="s">
        <v>1552</v>
      </c>
      <c r="N71" s="9" t="s">
        <v>1553</v>
      </c>
      <c r="O71" s="9">
        <v>35</v>
      </c>
      <c r="P71" s="9">
        <v>10</v>
      </c>
      <c r="Q71" s="9">
        <v>15</v>
      </c>
      <c r="R71" s="9">
        <v>50</v>
      </c>
      <c r="S71" s="9" t="s">
        <v>1554</v>
      </c>
      <c r="Y71" s="9" t="s">
        <v>2310</v>
      </c>
      <c r="Z71" s="9" t="s">
        <v>2381</v>
      </c>
    </row>
    <row r="72" spans="1:26" ht="24" customHeight="1">
      <c r="A72" s="186" t="s">
        <v>1485</v>
      </c>
      <c r="B72" s="187" t="s">
        <v>1538</v>
      </c>
      <c r="C72" s="153" t="s">
        <v>1555</v>
      </c>
      <c r="D72" s="153" t="s">
        <v>1556</v>
      </c>
      <c r="E72" s="153">
        <v>30</v>
      </c>
      <c r="F72" s="153">
        <v>10</v>
      </c>
      <c r="G72" s="153">
        <v>20</v>
      </c>
      <c r="H72" s="153">
        <v>40</v>
      </c>
      <c r="I72" s="153" t="s">
        <v>1554</v>
      </c>
      <c r="J72" s="153"/>
      <c r="K72" s="153"/>
      <c r="M72" s="9" t="s">
        <v>1555</v>
      </c>
      <c r="N72" s="9" t="s">
        <v>1556</v>
      </c>
      <c r="O72" s="9">
        <v>30</v>
      </c>
      <c r="P72" s="9">
        <v>10</v>
      </c>
      <c r="Q72" s="9">
        <v>20</v>
      </c>
      <c r="R72" s="9">
        <v>40</v>
      </c>
      <c r="S72" s="9" t="s">
        <v>1554</v>
      </c>
      <c r="Y72" s="9" t="s">
        <v>2311</v>
      </c>
      <c r="Z72" s="9" t="s">
        <v>2382</v>
      </c>
    </row>
    <row r="73" spans="1:26" ht="24" customHeight="1">
      <c r="A73" s="186" t="s">
        <v>1485</v>
      </c>
      <c r="B73" s="187" t="s">
        <v>1538</v>
      </c>
      <c r="C73" s="153" t="s">
        <v>1557</v>
      </c>
      <c r="D73" s="153" t="s">
        <v>1558</v>
      </c>
      <c r="E73" s="153">
        <v>30</v>
      </c>
      <c r="F73" s="153">
        <v>13</v>
      </c>
      <c r="G73" s="153">
        <v>12</v>
      </c>
      <c r="H73" s="153">
        <v>30</v>
      </c>
      <c r="I73" s="153" t="s">
        <v>1541</v>
      </c>
      <c r="J73" s="153"/>
      <c r="K73" s="153"/>
      <c r="M73" s="9" t="s">
        <v>1557</v>
      </c>
      <c r="N73" s="9" t="s">
        <v>1558</v>
      </c>
      <c r="O73" s="9">
        <v>30</v>
      </c>
      <c r="P73" s="9">
        <v>13</v>
      </c>
      <c r="Q73" s="9">
        <v>12</v>
      </c>
      <c r="R73" s="9">
        <v>30</v>
      </c>
      <c r="S73" s="9" t="s">
        <v>1541</v>
      </c>
      <c r="Y73" s="9" t="s">
        <v>2312</v>
      </c>
      <c r="Z73" s="9" t="s">
        <v>2383</v>
      </c>
    </row>
    <row r="74" spans="1:26" ht="24" customHeight="1">
      <c r="A74" s="186" t="s">
        <v>1485</v>
      </c>
      <c r="B74" s="187" t="s">
        <v>1538</v>
      </c>
      <c r="C74" s="153" t="s">
        <v>1559</v>
      </c>
      <c r="D74" s="153" t="s">
        <v>1560</v>
      </c>
      <c r="E74" s="153">
        <v>25</v>
      </c>
      <c r="F74" s="153">
        <v>15</v>
      </c>
      <c r="G74" s="153">
        <v>15</v>
      </c>
      <c r="H74" s="153">
        <v>40</v>
      </c>
      <c r="I74" s="153" t="s">
        <v>1561</v>
      </c>
      <c r="J74" s="153"/>
      <c r="K74" s="153"/>
      <c r="M74" s="9" t="s">
        <v>1559</v>
      </c>
      <c r="N74" s="9" t="s">
        <v>1560</v>
      </c>
      <c r="O74" s="9">
        <v>25</v>
      </c>
      <c r="P74" s="9">
        <v>15</v>
      </c>
      <c r="Q74" s="9">
        <v>15</v>
      </c>
      <c r="R74" s="9">
        <v>40</v>
      </c>
      <c r="S74" s="9" t="s">
        <v>1561</v>
      </c>
      <c r="Y74" s="9" t="s">
        <v>2313</v>
      </c>
      <c r="Z74" s="9" t="s">
        <v>2384</v>
      </c>
    </row>
    <row r="75" spans="1:26" ht="24" customHeight="1">
      <c r="A75" s="186" t="s">
        <v>1485</v>
      </c>
      <c r="B75" s="187" t="s">
        <v>1538</v>
      </c>
      <c r="C75" s="153" t="s">
        <v>1562</v>
      </c>
      <c r="D75" s="153" t="s">
        <v>1563</v>
      </c>
      <c r="E75" s="153">
        <v>25</v>
      </c>
      <c r="F75" s="153">
        <v>30</v>
      </c>
      <c r="G75" s="153">
        <v>10</v>
      </c>
      <c r="H75" s="153">
        <v>70</v>
      </c>
      <c r="I75" s="153" t="s">
        <v>1564</v>
      </c>
      <c r="J75" s="153"/>
      <c r="K75" s="153"/>
      <c r="M75" s="9" t="s">
        <v>1562</v>
      </c>
      <c r="N75" s="9" t="s">
        <v>1563</v>
      </c>
      <c r="O75" s="9">
        <v>25</v>
      </c>
      <c r="P75" s="9">
        <v>30</v>
      </c>
      <c r="Q75" s="9">
        <v>10</v>
      </c>
      <c r="R75" s="9">
        <v>70</v>
      </c>
      <c r="S75" s="9" t="s">
        <v>1564</v>
      </c>
      <c r="Y75" s="9" t="s">
        <v>2314</v>
      </c>
      <c r="Z75" s="9" t="s">
        <v>2385</v>
      </c>
    </row>
    <row r="76" spans="1:26" ht="24" customHeight="1">
      <c r="A76" s="186" t="s">
        <v>1485</v>
      </c>
      <c r="B76" s="187" t="s">
        <v>1538</v>
      </c>
      <c r="C76" s="153" t="s">
        <v>1565</v>
      </c>
      <c r="D76" s="153" t="s">
        <v>1566</v>
      </c>
      <c r="E76" s="153">
        <v>20</v>
      </c>
      <c r="F76" s="153">
        <v>25</v>
      </c>
      <c r="G76" s="153">
        <v>15</v>
      </c>
      <c r="H76" s="153">
        <v>60</v>
      </c>
      <c r="I76" s="153" t="s">
        <v>1561</v>
      </c>
      <c r="J76" s="153"/>
      <c r="K76" s="153"/>
      <c r="M76" s="9" t="s">
        <v>1565</v>
      </c>
      <c r="N76" s="9" t="s">
        <v>1566</v>
      </c>
      <c r="O76" s="9">
        <v>20</v>
      </c>
      <c r="P76" s="9">
        <v>25</v>
      </c>
      <c r="Q76" s="9">
        <v>15</v>
      </c>
      <c r="R76" s="9">
        <v>60</v>
      </c>
      <c r="S76" s="9" t="s">
        <v>1561</v>
      </c>
      <c r="Y76" s="9" t="s">
        <v>2315</v>
      </c>
      <c r="Z76" s="9" t="s">
        <v>2386</v>
      </c>
    </row>
    <row r="77" spans="1:26" ht="24" customHeight="1">
      <c r="A77" s="186" t="s">
        <v>1485</v>
      </c>
      <c r="B77" s="187" t="s">
        <v>1538</v>
      </c>
      <c r="C77" s="153" t="s">
        <v>1567</v>
      </c>
      <c r="D77" s="153" t="s">
        <v>1568</v>
      </c>
      <c r="E77" s="153">
        <v>45</v>
      </c>
      <c r="F77" s="153">
        <v>10</v>
      </c>
      <c r="G77" s="153">
        <v>10</v>
      </c>
      <c r="H77" s="153">
        <v>10</v>
      </c>
      <c r="I77" s="153" t="s">
        <v>1569</v>
      </c>
      <c r="J77" s="153"/>
      <c r="K77" s="153"/>
      <c r="M77" s="9" t="s">
        <v>1567</v>
      </c>
      <c r="N77" s="9" t="s">
        <v>1568</v>
      </c>
      <c r="O77" s="9">
        <v>45</v>
      </c>
      <c r="P77" s="9">
        <v>10</v>
      </c>
      <c r="Q77" s="9">
        <v>10</v>
      </c>
      <c r="R77" s="9">
        <v>10</v>
      </c>
      <c r="S77" s="9" t="s">
        <v>1569</v>
      </c>
      <c r="Z77" s="9" t="s">
        <v>2387</v>
      </c>
    </row>
    <row r="78" spans="1:26" ht="24" customHeight="1">
      <c r="A78" s="186" t="s">
        <v>1485</v>
      </c>
      <c r="B78" s="187" t="s">
        <v>1538</v>
      </c>
      <c r="C78" s="153" t="s">
        <v>1570</v>
      </c>
      <c r="D78" s="153" t="s">
        <v>1571</v>
      </c>
      <c r="E78" s="153">
        <v>50</v>
      </c>
      <c r="F78" s="153">
        <v>99</v>
      </c>
      <c r="G78" s="153">
        <v>99</v>
      </c>
      <c r="H78" s="153">
        <v>200</v>
      </c>
      <c r="I78" s="153" t="s">
        <v>1572</v>
      </c>
      <c r="J78" s="153"/>
      <c r="K78" s="153"/>
      <c r="M78" s="9" t="s">
        <v>1570</v>
      </c>
      <c r="N78" s="9" t="s">
        <v>1571</v>
      </c>
      <c r="O78" s="9">
        <v>50</v>
      </c>
      <c r="P78" s="9">
        <v>99</v>
      </c>
      <c r="Q78" s="9">
        <v>99</v>
      </c>
      <c r="R78" s="9">
        <v>200</v>
      </c>
      <c r="S78" s="9" t="s">
        <v>1572</v>
      </c>
      <c r="Z78" s="9" t="s">
        <v>2388</v>
      </c>
    </row>
    <row r="79" spans="1:26" ht="24" customHeight="1">
      <c r="A79" s="186" t="s">
        <v>1485</v>
      </c>
      <c r="B79" s="187" t="s">
        <v>1538</v>
      </c>
      <c r="C79" s="153" t="s">
        <v>1573</v>
      </c>
      <c r="D79" s="153" t="s">
        <v>1574</v>
      </c>
      <c r="E79" s="153">
        <v>25</v>
      </c>
      <c r="F79" s="153">
        <v>15</v>
      </c>
      <c r="G79" s="153">
        <v>20</v>
      </c>
      <c r="H79" s="153">
        <v>35</v>
      </c>
      <c r="I79" s="153" t="s">
        <v>1575</v>
      </c>
      <c r="J79" s="153"/>
      <c r="K79" s="153"/>
      <c r="M79" s="9" t="s">
        <v>1573</v>
      </c>
      <c r="N79" s="9" t="s">
        <v>1574</v>
      </c>
      <c r="O79" s="9">
        <v>25</v>
      </c>
      <c r="P79" s="9">
        <v>15</v>
      </c>
      <c r="Q79" s="9">
        <v>20</v>
      </c>
      <c r="R79" s="9">
        <v>35</v>
      </c>
      <c r="S79" s="9" t="s">
        <v>1575</v>
      </c>
      <c r="Z79" s="9" t="s">
        <v>2389</v>
      </c>
    </row>
    <row r="80" spans="1:26" ht="24" customHeight="1">
      <c r="A80" s="186" t="s">
        <v>1485</v>
      </c>
      <c r="B80" s="187" t="s">
        <v>1538</v>
      </c>
      <c r="C80" s="153" t="s">
        <v>1576</v>
      </c>
      <c r="D80" s="153" t="s">
        <v>1577</v>
      </c>
      <c r="E80" s="153">
        <v>25</v>
      </c>
      <c r="F80" s="153">
        <v>15</v>
      </c>
      <c r="G80" s="153">
        <v>15</v>
      </c>
      <c r="H80" s="153">
        <v>35</v>
      </c>
      <c r="I80" s="153" t="s">
        <v>1578</v>
      </c>
      <c r="J80" s="153"/>
      <c r="K80" s="153"/>
      <c r="M80" s="9" t="s">
        <v>1576</v>
      </c>
      <c r="N80" s="9" t="s">
        <v>1577</v>
      </c>
      <c r="O80" s="9">
        <v>25</v>
      </c>
      <c r="P80" s="9">
        <v>15</v>
      </c>
      <c r="Q80" s="9">
        <v>15</v>
      </c>
      <c r="R80" s="9">
        <v>35</v>
      </c>
      <c r="S80" s="9" t="s">
        <v>1578</v>
      </c>
      <c r="Z80" s="9" t="s">
        <v>2390</v>
      </c>
    </row>
    <row r="81" spans="1:26" ht="24" customHeight="1">
      <c r="A81" s="186" t="s">
        <v>1485</v>
      </c>
      <c r="B81" s="187" t="s">
        <v>1538</v>
      </c>
      <c r="C81" s="153" t="s">
        <v>1579</v>
      </c>
      <c r="D81" s="153" t="s">
        <v>1580</v>
      </c>
      <c r="E81" s="153">
        <v>30</v>
      </c>
      <c r="F81" s="153">
        <v>20</v>
      </c>
      <c r="G81" s="153">
        <v>10</v>
      </c>
      <c r="H81" s="153">
        <v>35</v>
      </c>
      <c r="I81" s="153" t="s">
        <v>1547</v>
      </c>
      <c r="J81" s="153"/>
      <c r="K81" s="153"/>
      <c r="M81" s="9" t="s">
        <v>1579</v>
      </c>
      <c r="N81" s="9" t="s">
        <v>1580</v>
      </c>
      <c r="O81" s="9">
        <v>30</v>
      </c>
      <c r="P81" s="9">
        <v>20</v>
      </c>
      <c r="Q81" s="9">
        <v>10</v>
      </c>
      <c r="R81" s="9">
        <v>35</v>
      </c>
      <c r="S81" s="9" t="s">
        <v>1547</v>
      </c>
      <c r="Z81" s="9" t="s">
        <v>2391</v>
      </c>
    </row>
    <row r="82" spans="1:26" ht="24" customHeight="1">
      <c r="A82" s="186" t="s">
        <v>1485</v>
      </c>
      <c r="B82" s="187" t="s">
        <v>1538</v>
      </c>
      <c r="C82" s="153" t="s">
        <v>1581</v>
      </c>
      <c r="D82" s="153" t="s">
        <v>1582</v>
      </c>
      <c r="E82" s="153">
        <v>20</v>
      </c>
      <c r="F82" s="153">
        <v>15</v>
      </c>
      <c r="G82" s="153">
        <v>15</v>
      </c>
      <c r="H82" s="153">
        <v>35</v>
      </c>
      <c r="I82" s="153" t="s">
        <v>1547</v>
      </c>
      <c r="J82" s="153"/>
      <c r="K82" s="153"/>
      <c r="M82" s="9" t="s">
        <v>1581</v>
      </c>
      <c r="N82" s="9" t="s">
        <v>1582</v>
      </c>
      <c r="O82" s="9">
        <v>20</v>
      </c>
      <c r="P82" s="9">
        <v>15</v>
      </c>
      <c r="Q82" s="9">
        <v>15</v>
      </c>
      <c r="R82" s="9">
        <v>35</v>
      </c>
      <c r="S82" s="9" t="s">
        <v>1547</v>
      </c>
      <c r="Z82" s="9" t="s">
        <v>2392</v>
      </c>
    </row>
    <row r="83" spans="1:26" ht="24" customHeight="1">
      <c r="A83" s="186" t="s">
        <v>1485</v>
      </c>
      <c r="B83" s="187" t="s">
        <v>1538</v>
      </c>
      <c r="C83" s="153" t="s">
        <v>1583</v>
      </c>
      <c r="D83" s="153" t="s">
        <v>1584</v>
      </c>
      <c r="E83" s="153">
        <v>20</v>
      </c>
      <c r="F83" s="153">
        <v>30</v>
      </c>
      <c r="G83" s="153">
        <v>10</v>
      </c>
      <c r="H83" s="153">
        <v>80</v>
      </c>
      <c r="I83" s="153" t="s">
        <v>1564</v>
      </c>
      <c r="J83" s="153"/>
      <c r="K83" s="153"/>
      <c r="M83" s="9" t="s">
        <v>1583</v>
      </c>
      <c r="N83" s="9" t="s">
        <v>1584</v>
      </c>
      <c r="O83" s="9">
        <v>20</v>
      </c>
      <c r="P83" s="9">
        <v>30</v>
      </c>
      <c r="Q83" s="9">
        <v>10</v>
      </c>
      <c r="R83" s="9">
        <v>80</v>
      </c>
      <c r="S83" s="9" t="s">
        <v>1564</v>
      </c>
      <c r="Z83" s="9" t="s">
        <v>2393</v>
      </c>
    </row>
    <row r="84" spans="1:26" ht="24" customHeight="1">
      <c r="A84" s="186" t="s">
        <v>1485</v>
      </c>
      <c r="B84" s="187" t="s">
        <v>1538</v>
      </c>
      <c r="C84" s="153" t="s">
        <v>1585</v>
      </c>
      <c r="D84" s="153" t="s">
        <v>1586</v>
      </c>
      <c r="E84" s="153">
        <v>20</v>
      </c>
      <c r="F84" s="153">
        <v>10</v>
      </c>
      <c r="G84" s="153">
        <v>15</v>
      </c>
      <c r="H84" s="153">
        <v>60</v>
      </c>
      <c r="I84" s="153" t="s">
        <v>1541</v>
      </c>
      <c r="J84" s="153"/>
      <c r="K84" s="153"/>
      <c r="M84" s="9" t="s">
        <v>1585</v>
      </c>
      <c r="N84" s="9" t="s">
        <v>1586</v>
      </c>
      <c r="O84" s="9">
        <v>20</v>
      </c>
      <c r="P84" s="9">
        <v>10</v>
      </c>
      <c r="Q84" s="9">
        <v>15</v>
      </c>
      <c r="R84" s="9">
        <v>60</v>
      </c>
      <c r="S84" s="9" t="s">
        <v>1541</v>
      </c>
      <c r="Z84" s="9" t="s">
        <v>2394</v>
      </c>
    </row>
    <row r="85" spans="1:26" ht="24" customHeight="1">
      <c r="A85" s="186" t="s">
        <v>1485</v>
      </c>
      <c r="B85" s="187" t="s">
        <v>1538</v>
      </c>
      <c r="C85" s="153" t="s">
        <v>1587</v>
      </c>
      <c r="D85" s="153" t="s">
        <v>1588</v>
      </c>
      <c r="E85" s="153">
        <v>50</v>
      </c>
      <c r="F85" s="153">
        <v>15</v>
      </c>
      <c r="G85" s="153">
        <v>15</v>
      </c>
      <c r="H85" s="153">
        <v>50</v>
      </c>
      <c r="I85" s="153" t="s">
        <v>1589</v>
      </c>
      <c r="J85" s="153"/>
      <c r="K85" s="153"/>
      <c r="M85" s="9" t="s">
        <v>1587</v>
      </c>
      <c r="N85" s="9" t="s">
        <v>1588</v>
      </c>
      <c r="O85" s="9">
        <v>50</v>
      </c>
      <c r="P85" s="9">
        <v>15</v>
      </c>
      <c r="Q85" s="9">
        <v>15</v>
      </c>
      <c r="R85" s="9">
        <v>50</v>
      </c>
      <c r="S85" s="9" t="s">
        <v>1589</v>
      </c>
      <c r="Z85" s="9" t="s">
        <v>2395</v>
      </c>
    </row>
    <row r="86" spans="1:26" ht="24" customHeight="1">
      <c r="A86" s="186" t="s">
        <v>1485</v>
      </c>
      <c r="B86" s="187" t="s">
        <v>1590</v>
      </c>
      <c r="C86" s="153" t="s">
        <v>1591</v>
      </c>
      <c r="D86" s="153" t="s">
        <v>1592</v>
      </c>
      <c r="E86" s="153">
        <v>20</v>
      </c>
      <c r="F86" s="153">
        <v>0</v>
      </c>
      <c r="G86" s="153">
        <v>10</v>
      </c>
      <c r="H86" s="153">
        <v>30</v>
      </c>
      <c r="I86" s="153" t="s">
        <v>1593</v>
      </c>
      <c r="J86" s="153"/>
      <c r="K86" s="153"/>
      <c r="M86" s="9" t="s">
        <v>1591</v>
      </c>
      <c r="N86" s="9" t="s">
        <v>1592</v>
      </c>
      <c r="O86" s="9">
        <v>20</v>
      </c>
      <c r="P86" s="9">
        <v>0</v>
      </c>
      <c r="Q86" s="9">
        <v>10</v>
      </c>
      <c r="R86" s="9">
        <v>30</v>
      </c>
      <c r="S86" s="9" t="s">
        <v>1593</v>
      </c>
    </row>
    <row r="87" spans="1:26" ht="24" customHeight="1">
      <c r="A87" s="186" t="s">
        <v>1485</v>
      </c>
      <c r="B87" s="187" t="s">
        <v>1590</v>
      </c>
      <c r="C87" s="153" t="s">
        <v>1594</v>
      </c>
      <c r="D87" s="153" t="s">
        <v>1595</v>
      </c>
      <c r="E87" s="153">
        <v>40</v>
      </c>
      <c r="F87" s="153">
        <v>0</v>
      </c>
      <c r="G87" s="153">
        <v>10</v>
      </c>
      <c r="H87" s="153">
        <v>30</v>
      </c>
      <c r="I87" s="153" t="s">
        <v>1596</v>
      </c>
      <c r="J87" s="153"/>
      <c r="K87" s="153"/>
      <c r="M87" s="9" t="s">
        <v>1594</v>
      </c>
      <c r="N87" s="9" t="s">
        <v>1595</v>
      </c>
      <c r="O87" s="9">
        <v>40</v>
      </c>
      <c r="P87" s="9">
        <v>0</v>
      </c>
      <c r="Q87" s="9">
        <v>10</v>
      </c>
      <c r="R87" s="9">
        <v>30</v>
      </c>
      <c r="S87" s="9" t="s">
        <v>1596</v>
      </c>
    </row>
    <row r="88" spans="1:26" ht="24" customHeight="1">
      <c r="A88" s="186" t="s">
        <v>1485</v>
      </c>
      <c r="B88" s="187" t="s">
        <v>1590</v>
      </c>
      <c r="C88" s="153" t="s">
        <v>1597</v>
      </c>
      <c r="D88" s="153" t="s">
        <v>1598</v>
      </c>
      <c r="E88" s="153">
        <v>30</v>
      </c>
      <c r="F88" s="153">
        <v>0</v>
      </c>
      <c r="G88" s="153">
        <v>15</v>
      </c>
      <c r="H88" s="153">
        <v>30</v>
      </c>
      <c r="I88" s="153" t="s">
        <v>1599</v>
      </c>
      <c r="J88" s="153"/>
      <c r="K88" s="153"/>
      <c r="M88" s="9" t="s">
        <v>1597</v>
      </c>
      <c r="N88" s="9" t="s">
        <v>1598</v>
      </c>
      <c r="O88" s="9">
        <v>30</v>
      </c>
      <c r="P88" s="9">
        <v>0</v>
      </c>
      <c r="Q88" s="9">
        <v>15</v>
      </c>
      <c r="R88" s="9">
        <v>30</v>
      </c>
      <c r="S88" s="9" t="s">
        <v>1599</v>
      </c>
    </row>
    <row r="89" spans="1:26" ht="24" customHeight="1">
      <c r="A89" s="186" t="s">
        <v>1485</v>
      </c>
      <c r="B89" s="187" t="s">
        <v>1590</v>
      </c>
      <c r="C89" s="153" t="s">
        <v>1600</v>
      </c>
      <c r="D89" s="153" t="s">
        <v>1601</v>
      </c>
      <c r="E89" s="153">
        <v>25</v>
      </c>
      <c r="F89" s="153">
        <v>0</v>
      </c>
      <c r="G89" s="153">
        <v>13</v>
      </c>
      <c r="H89" s="153">
        <v>30</v>
      </c>
      <c r="I89" s="153" t="s">
        <v>1602</v>
      </c>
      <c r="J89" s="153"/>
      <c r="K89" s="153"/>
      <c r="M89" s="9" t="s">
        <v>1600</v>
      </c>
      <c r="N89" s="9" t="s">
        <v>1601</v>
      </c>
      <c r="O89" s="9">
        <v>25</v>
      </c>
      <c r="P89" s="9">
        <v>0</v>
      </c>
      <c r="Q89" s="9">
        <v>13</v>
      </c>
      <c r="R89" s="9">
        <v>30</v>
      </c>
      <c r="S89" s="9" t="s">
        <v>1602</v>
      </c>
    </row>
    <row r="90" spans="1:26" ht="24" customHeight="1">
      <c r="A90" s="186" t="s">
        <v>1485</v>
      </c>
      <c r="B90" s="187" t="s">
        <v>1590</v>
      </c>
      <c r="C90" s="153" t="s">
        <v>1603</v>
      </c>
      <c r="D90" s="153" t="s">
        <v>1604</v>
      </c>
      <c r="E90" s="153">
        <v>25</v>
      </c>
      <c r="F90" s="153">
        <v>0</v>
      </c>
      <c r="G90" s="153">
        <v>8</v>
      </c>
      <c r="H90" s="153">
        <v>20</v>
      </c>
      <c r="I90" s="153" t="s">
        <v>1605</v>
      </c>
      <c r="J90" s="153"/>
      <c r="K90" s="153"/>
      <c r="M90" s="9" t="s">
        <v>1603</v>
      </c>
      <c r="N90" s="9" t="s">
        <v>1604</v>
      </c>
      <c r="O90" s="9">
        <v>25</v>
      </c>
      <c r="P90" s="9">
        <v>0</v>
      </c>
      <c r="Q90" s="9">
        <v>8</v>
      </c>
      <c r="R90" s="9">
        <v>20</v>
      </c>
      <c r="S90" s="9" t="s">
        <v>1605</v>
      </c>
    </row>
    <row r="91" spans="1:26" ht="24" customHeight="1">
      <c r="A91" s="186" t="s">
        <v>1485</v>
      </c>
      <c r="B91" s="187" t="s">
        <v>1590</v>
      </c>
      <c r="C91" s="153" t="s">
        <v>1606</v>
      </c>
      <c r="D91" s="153" t="s">
        <v>1607</v>
      </c>
      <c r="E91" s="153">
        <v>40</v>
      </c>
      <c r="F91" s="153">
        <v>0</v>
      </c>
      <c r="G91" s="153">
        <v>20</v>
      </c>
      <c r="H91" s="153">
        <v>50</v>
      </c>
      <c r="I91" s="153" t="s">
        <v>1608</v>
      </c>
      <c r="J91" s="153"/>
      <c r="K91" s="153"/>
      <c r="M91" s="9" t="s">
        <v>1606</v>
      </c>
      <c r="N91" s="9" t="s">
        <v>1607</v>
      </c>
      <c r="O91" s="9">
        <v>40</v>
      </c>
      <c r="P91" s="9">
        <v>0</v>
      </c>
      <c r="Q91" s="9">
        <v>20</v>
      </c>
      <c r="R91" s="9">
        <v>50</v>
      </c>
      <c r="S91" s="9" t="s">
        <v>1608</v>
      </c>
    </row>
    <row r="92" spans="1:26" ht="24" customHeight="1">
      <c r="A92" s="186" t="s">
        <v>1485</v>
      </c>
      <c r="B92" s="187" t="s">
        <v>1590</v>
      </c>
      <c r="C92" s="153" t="s">
        <v>1609</v>
      </c>
      <c r="D92" s="153" t="s">
        <v>1610</v>
      </c>
      <c r="E92" s="153">
        <v>30</v>
      </c>
      <c r="F92" s="153">
        <v>0</v>
      </c>
      <c r="G92" s="153">
        <v>10</v>
      </c>
      <c r="H92" s="153">
        <v>30</v>
      </c>
      <c r="I92" s="153" t="s">
        <v>1593</v>
      </c>
      <c r="J92" s="153"/>
      <c r="K92" s="153"/>
      <c r="M92" s="9" t="s">
        <v>1609</v>
      </c>
      <c r="N92" s="9" t="s">
        <v>1610</v>
      </c>
      <c r="O92" s="9">
        <v>30</v>
      </c>
      <c r="P92" s="9">
        <v>0</v>
      </c>
      <c r="Q92" s="9">
        <v>10</v>
      </c>
      <c r="R92" s="9">
        <v>30</v>
      </c>
      <c r="S92" s="9" t="s">
        <v>1593</v>
      </c>
    </row>
    <row r="93" spans="1:26" ht="24" customHeight="1">
      <c r="A93" s="186" t="s">
        <v>1485</v>
      </c>
      <c r="B93" s="187" t="s">
        <v>1590</v>
      </c>
      <c r="C93" s="153" t="s">
        <v>1611</v>
      </c>
      <c r="D93" s="153" t="s">
        <v>1612</v>
      </c>
      <c r="E93" s="153">
        <v>20</v>
      </c>
      <c r="F93" s="153">
        <v>0</v>
      </c>
      <c r="G93" s="153">
        <v>10</v>
      </c>
      <c r="H93" s="153">
        <v>30</v>
      </c>
      <c r="I93" s="153" t="s">
        <v>1602</v>
      </c>
      <c r="J93" s="153"/>
      <c r="K93" s="153"/>
      <c r="M93" s="9" t="s">
        <v>1611</v>
      </c>
      <c r="N93" s="9" t="s">
        <v>1612</v>
      </c>
      <c r="O93" s="9">
        <v>20</v>
      </c>
      <c r="P93" s="9">
        <v>0</v>
      </c>
      <c r="Q93" s="9">
        <v>10</v>
      </c>
      <c r="R93" s="9">
        <v>30</v>
      </c>
      <c r="S93" s="9" t="s">
        <v>1602</v>
      </c>
    </row>
    <row r="94" spans="1:26" ht="24" customHeight="1">
      <c r="A94" s="186" t="s">
        <v>1485</v>
      </c>
      <c r="B94" s="187" t="s">
        <v>1590</v>
      </c>
      <c r="C94" s="153" t="s">
        <v>1613</v>
      </c>
      <c r="D94" s="153" t="s">
        <v>1614</v>
      </c>
      <c r="E94" s="153">
        <v>25</v>
      </c>
      <c r="F94" s="153">
        <v>0</v>
      </c>
      <c r="G94" s="153">
        <v>6</v>
      </c>
      <c r="H94" s="153">
        <v>15</v>
      </c>
      <c r="I94" s="153" t="s">
        <v>1599</v>
      </c>
      <c r="J94" s="153"/>
      <c r="K94" s="153"/>
      <c r="M94" s="9" t="s">
        <v>1613</v>
      </c>
      <c r="N94" s="9" t="s">
        <v>1614</v>
      </c>
      <c r="O94" s="9">
        <v>25</v>
      </c>
      <c r="P94" s="9">
        <v>0</v>
      </c>
      <c r="Q94" s="9">
        <v>6</v>
      </c>
      <c r="R94" s="9">
        <v>15</v>
      </c>
      <c r="S94" s="9" t="s">
        <v>1599</v>
      </c>
    </row>
    <row r="95" spans="1:26" ht="24" customHeight="1">
      <c r="A95" s="186" t="s">
        <v>1485</v>
      </c>
      <c r="B95" s="187" t="s">
        <v>1590</v>
      </c>
      <c r="C95" s="153" t="s">
        <v>1615</v>
      </c>
      <c r="D95" s="153" t="s">
        <v>1616</v>
      </c>
      <c r="E95" s="153">
        <v>15</v>
      </c>
      <c r="F95" s="153">
        <v>0</v>
      </c>
      <c r="G95" s="153">
        <v>10</v>
      </c>
      <c r="H95" s="153">
        <v>20</v>
      </c>
      <c r="I95" s="153" t="s">
        <v>1602</v>
      </c>
      <c r="J95" s="153"/>
      <c r="K95" s="153"/>
      <c r="M95" s="9" t="s">
        <v>1615</v>
      </c>
      <c r="N95" s="9" t="s">
        <v>1616</v>
      </c>
      <c r="O95" s="9">
        <v>15</v>
      </c>
      <c r="P95" s="9">
        <v>0</v>
      </c>
      <c r="Q95" s="9">
        <v>10</v>
      </c>
      <c r="R95" s="9">
        <v>20</v>
      </c>
      <c r="S95" s="9" t="s">
        <v>1602</v>
      </c>
    </row>
    <row r="96" spans="1:26" ht="24" customHeight="1">
      <c r="A96" s="186" t="s">
        <v>1485</v>
      </c>
      <c r="B96" s="187" t="s">
        <v>1590</v>
      </c>
      <c r="C96" s="153" t="s">
        <v>1617</v>
      </c>
      <c r="D96" s="153" t="s">
        <v>1618</v>
      </c>
      <c r="E96" s="153">
        <v>30</v>
      </c>
      <c r="F96" s="153">
        <v>0</v>
      </c>
      <c r="G96" s="153">
        <v>99</v>
      </c>
      <c r="H96" s="153">
        <v>200</v>
      </c>
      <c r="I96" s="153" t="s">
        <v>1619</v>
      </c>
      <c r="J96" s="153"/>
      <c r="K96" s="153"/>
      <c r="M96" s="9" t="s">
        <v>1617</v>
      </c>
      <c r="N96" s="9" t="s">
        <v>1618</v>
      </c>
      <c r="O96" s="9">
        <v>30</v>
      </c>
      <c r="P96" s="9">
        <v>0</v>
      </c>
      <c r="Q96" s="9">
        <v>99</v>
      </c>
      <c r="R96" s="9">
        <v>200</v>
      </c>
      <c r="S96" s="9" t="s">
        <v>1619</v>
      </c>
    </row>
    <row r="97" spans="1:19" ht="24" customHeight="1">
      <c r="A97" s="186" t="s">
        <v>1485</v>
      </c>
      <c r="B97" s="187" t="s">
        <v>1590</v>
      </c>
      <c r="C97" s="153" t="s">
        <v>1620</v>
      </c>
      <c r="D97" s="153" t="s">
        <v>1621</v>
      </c>
      <c r="E97" s="153">
        <v>15</v>
      </c>
      <c r="F97" s="153">
        <v>0</v>
      </c>
      <c r="G97" s="153">
        <v>15</v>
      </c>
      <c r="H97" s="153">
        <v>30</v>
      </c>
      <c r="I97" s="153" t="s">
        <v>1622</v>
      </c>
      <c r="J97" s="153"/>
      <c r="K97" s="153"/>
      <c r="M97" s="9" t="s">
        <v>1620</v>
      </c>
      <c r="N97" s="9" t="s">
        <v>1621</v>
      </c>
      <c r="O97" s="9">
        <v>15</v>
      </c>
      <c r="P97" s="9">
        <v>0</v>
      </c>
      <c r="Q97" s="9">
        <v>15</v>
      </c>
      <c r="R97" s="9">
        <v>30</v>
      </c>
      <c r="S97" s="9" t="s">
        <v>1622</v>
      </c>
    </row>
    <row r="98" spans="1:19" ht="24" customHeight="1">
      <c r="A98" s="186" t="s">
        <v>1485</v>
      </c>
      <c r="B98" s="187" t="s">
        <v>1590</v>
      </c>
      <c r="C98" s="153" t="s">
        <v>1623</v>
      </c>
      <c r="D98" s="153" t="s">
        <v>1624</v>
      </c>
      <c r="E98" s="153">
        <v>15</v>
      </c>
      <c r="F98" s="153">
        <v>0</v>
      </c>
      <c r="G98" s="153">
        <v>15</v>
      </c>
      <c r="H98" s="153">
        <v>30</v>
      </c>
      <c r="I98" s="153" t="s">
        <v>1596</v>
      </c>
      <c r="J98" s="153"/>
      <c r="K98" s="153"/>
      <c r="M98" s="9" t="s">
        <v>1623</v>
      </c>
      <c r="N98" s="9" t="s">
        <v>1624</v>
      </c>
      <c r="O98" s="9">
        <v>15</v>
      </c>
      <c r="P98" s="9">
        <v>0</v>
      </c>
      <c r="Q98" s="9">
        <v>15</v>
      </c>
      <c r="R98" s="9">
        <v>30</v>
      </c>
      <c r="S98" s="9" t="s">
        <v>1596</v>
      </c>
    </row>
    <row r="99" spans="1:19" ht="24" customHeight="1">
      <c r="A99" s="186" t="s">
        <v>1485</v>
      </c>
      <c r="B99" s="187" t="s">
        <v>1590</v>
      </c>
      <c r="C99" s="153" t="s">
        <v>1625</v>
      </c>
      <c r="D99" s="153" t="s">
        <v>1626</v>
      </c>
      <c r="E99" s="153">
        <v>30</v>
      </c>
      <c r="F99" s="153">
        <v>0</v>
      </c>
      <c r="G99" s="153">
        <v>3</v>
      </c>
      <c r="H99" s="153">
        <v>5</v>
      </c>
      <c r="I99" s="153" t="s">
        <v>1627</v>
      </c>
      <c r="J99" s="153"/>
      <c r="K99" s="153"/>
      <c r="M99" s="9" t="s">
        <v>1625</v>
      </c>
      <c r="N99" s="9" t="s">
        <v>1626</v>
      </c>
      <c r="O99" s="9">
        <v>30</v>
      </c>
      <c r="P99" s="9">
        <v>0</v>
      </c>
      <c r="Q99" s="9">
        <v>3</v>
      </c>
      <c r="R99" s="9">
        <v>5</v>
      </c>
      <c r="S99" s="9" t="s">
        <v>1627</v>
      </c>
    </row>
    <row r="100" spans="1:19" ht="24" customHeight="1">
      <c r="A100" s="186" t="s">
        <v>1485</v>
      </c>
      <c r="B100" s="187" t="s">
        <v>1590</v>
      </c>
      <c r="C100" s="153" t="s">
        <v>1628</v>
      </c>
      <c r="D100" s="153" t="s">
        <v>1629</v>
      </c>
      <c r="E100" s="153">
        <v>10</v>
      </c>
      <c r="F100" s="153">
        <v>0</v>
      </c>
      <c r="G100" s="153">
        <v>10</v>
      </c>
      <c r="H100" s="153">
        <v>20</v>
      </c>
      <c r="I100" s="153" t="s">
        <v>1596</v>
      </c>
      <c r="J100" s="153"/>
      <c r="K100" s="153"/>
      <c r="M100" s="9" t="s">
        <v>1628</v>
      </c>
      <c r="N100" s="9" t="s">
        <v>1629</v>
      </c>
      <c r="O100" s="9">
        <v>10</v>
      </c>
      <c r="P100" s="9">
        <v>0</v>
      </c>
      <c r="Q100" s="9">
        <v>10</v>
      </c>
      <c r="R100" s="9">
        <v>20</v>
      </c>
      <c r="S100" s="9" t="s">
        <v>1596</v>
      </c>
    </row>
    <row r="101" spans="1:19" ht="24" customHeight="1">
      <c r="A101" s="186" t="s">
        <v>1485</v>
      </c>
      <c r="B101" s="187" t="s">
        <v>1590</v>
      </c>
      <c r="C101" s="153" t="s">
        <v>1630</v>
      </c>
      <c r="D101" s="153" t="s">
        <v>1631</v>
      </c>
      <c r="E101" s="153">
        <v>20</v>
      </c>
      <c r="F101" s="153">
        <v>0</v>
      </c>
      <c r="G101" s="153">
        <v>10</v>
      </c>
      <c r="H101" s="153">
        <v>30</v>
      </c>
      <c r="I101" s="153" t="s">
        <v>1605</v>
      </c>
      <c r="J101" s="153"/>
      <c r="K101" s="153"/>
      <c r="M101" s="9" t="s">
        <v>1630</v>
      </c>
      <c r="N101" s="9" t="s">
        <v>1631</v>
      </c>
      <c r="O101" s="9">
        <v>20</v>
      </c>
      <c r="P101" s="9">
        <v>0</v>
      </c>
      <c r="Q101" s="9">
        <v>10</v>
      </c>
      <c r="R101" s="9">
        <v>30</v>
      </c>
      <c r="S101" s="9" t="s">
        <v>1605</v>
      </c>
    </row>
    <row r="102" spans="1:19" ht="24" customHeight="1">
      <c r="A102" s="186" t="s">
        <v>1485</v>
      </c>
      <c r="B102" s="187" t="s">
        <v>1590</v>
      </c>
      <c r="C102" s="153" t="s">
        <v>1632</v>
      </c>
      <c r="D102" s="153" t="s">
        <v>1633</v>
      </c>
      <c r="E102" s="153">
        <v>20</v>
      </c>
      <c r="F102" s="153">
        <v>0</v>
      </c>
      <c r="G102" s="153">
        <v>20</v>
      </c>
      <c r="H102" s="153">
        <v>50</v>
      </c>
      <c r="I102" s="153" t="s">
        <v>1605</v>
      </c>
      <c r="J102" s="153"/>
      <c r="K102" s="153"/>
      <c r="M102" s="9" t="s">
        <v>1632</v>
      </c>
      <c r="N102" s="9" t="s">
        <v>1633</v>
      </c>
      <c r="O102" s="9">
        <v>20</v>
      </c>
      <c r="P102" s="9">
        <v>0</v>
      </c>
      <c r="Q102" s="9">
        <v>20</v>
      </c>
      <c r="R102" s="9">
        <v>50</v>
      </c>
      <c r="S102" s="9" t="s">
        <v>1605</v>
      </c>
    </row>
    <row r="103" spans="1:19" ht="24" customHeight="1">
      <c r="A103" s="186" t="s">
        <v>1485</v>
      </c>
      <c r="B103" s="187" t="s">
        <v>1590</v>
      </c>
      <c r="C103" s="153" t="s">
        <v>1634</v>
      </c>
      <c r="D103" s="153" t="s">
        <v>1635</v>
      </c>
      <c r="E103" s="153">
        <v>20</v>
      </c>
      <c r="F103" s="153">
        <v>0</v>
      </c>
      <c r="G103" s="153">
        <v>15</v>
      </c>
      <c r="H103" s="153">
        <v>20</v>
      </c>
      <c r="I103" s="153" t="s">
        <v>1596</v>
      </c>
      <c r="J103" s="153"/>
      <c r="K103" s="153"/>
      <c r="M103" s="9" t="s">
        <v>1634</v>
      </c>
      <c r="N103" s="9" t="s">
        <v>1635</v>
      </c>
      <c r="O103" s="9">
        <v>20</v>
      </c>
      <c r="P103" s="9">
        <v>0</v>
      </c>
      <c r="Q103" s="9">
        <v>15</v>
      </c>
      <c r="R103" s="9">
        <v>20</v>
      </c>
      <c r="S103" s="9" t="s">
        <v>1596</v>
      </c>
    </row>
    <row r="104" spans="1:19" ht="24" customHeight="1">
      <c r="A104" s="186" t="s">
        <v>1485</v>
      </c>
      <c r="B104" s="187" t="s">
        <v>1590</v>
      </c>
      <c r="C104" s="153" t="s">
        <v>1636</v>
      </c>
      <c r="D104" s="153" t="s">
        <v>1637</v>
      </c>
      <c r="E104" s="153">
        <v>15</v>
      </c>
      <c r="F104" s="153">
        <v>0</v>
      </c>
      <c r="G104" s="153">
        <v>5</v>
      </c>
      <c r="H104" s="153">
        <v>5</v>
      </c>
      <c r="I104" s="153" t="s">
        <v>1608</v>
      </c>
      <c r="J104" s="153"/>
      <c r="K104" s="153"/>
      <c r="M104" s="9" t="s">
        <v>1636</v>
      </c>
      <c r="N104" s="9" t="s">
        <v>1637</v>
      </c>
      <c r="O104" s="9">
        <v>15</v>
      </c>
      <c r="P104" s="9">
        <v>0</v>
      </c>
      <c r="Q104" s="9">
        <v>5</v>
      </c>
      <c r="R104" s="9">
        <v>5</v>
      </c>
      <c r="S104" s="9" t="s">
        <v>1608</v>
      </c>
    </row>
    <row r="105" spans="1:19" ht="24" customHeight="1">
      <c r="A105" s="186" t="s">
        <v>1485</v>
      </c>
      <c r="B105" s="187" t="s">
        <v>1590</v>
      </c>
      <c r="C105" s="153" t="s">
        <v>1638</v>
      </c>
      <c r="D105" s="153" t="s">
        <v>1639</v>
      </c>
      <c r="E105" s="153">
        <v>45</v>
      </c>
      <c r="F105" s="153">
        <v>0</v>
      </c>
      <c r="G105" s="153">
        <v>0</v>
      </c>
      <c r="H105" s="153">
        <v>20</v>
      </c>
      <c r="I105" s="153" t="s">
        <v>1599</v>
      </c>
      <c r="J105" s="153"/>
      <c r="K105" s="153"/>
      <c r="M105" s="9" t="s">
        <v>1638</v>
      </c>
      <c r="N105" s="9" t="s">
        <v>1639</v>
      </c>
      <c r="O105" s="9">
        <v>45</v>
      </c>
      <c r="P105" s="9">
        <v>0</v>
      </c>
      <c r="Q105" s="9">
        <v>0</v>
      </c>
      <c r="R105" s="9">
        <v>20</v>
      </c>
      <c r="S105" s="9" t="s">
        <v>1599</v>
      </c>
    </row>
    <row r="106" spans="1:19" ht="24" customHeight="1">
      <c r="A106" s="186" t="s">
        <v>1485</v>
      </c>
      <c r="B106" s="187" t="s">
        <v>1640</v>
      </c>
      <c r="C106" s="153" t="s">
        <v>1641</v>
      </c>
      <c r="D106" s="153" t="s">
        <v>1642</v>
      </c>
      <c r="E106" s="153">
        <v>20</v>
      </c>
      <c r="F106" s="153">
        <v>20</v>
      </c>
      <c r="G106" s="153">
        <v>0</v>
      </c>
      <c r="H106" s="153">
        <v>40</v>
      </c>
      <c r="I106" s="153" t="s">
        <v>1643</v>
      </c>
      <c r="J106" s="153"/>
      <c r="K106" s="153"/>
      <c r="M106" s="9" t="s">
        <v>1641</v>
      </c>
      <c r="N106" s="9" t="s">
        <v>1642</v>
      </c>
      <c r="O106" s="9">
        <v>20</v>
      </c>
      <c r="P106" s="9">
        <v>20</v>
      </c>
      <c r="Q106" s="9">
        <v>0</v>
      </c>
      <c r="R106" s="9">
        <v>40</v>
      </c>
      <c r="S106" s="9" t="s">
        <v>1643</v>
      </c>
    </row>
    <row r="107" spans="1:19" ht="24" customHeight="1">
      <c r="A107" s="186" t="s">
        <v>1485</v>
      </c>
      <c r="B107" s="187" t="s">
        <v>1640</v>
      </c>
      <c r="C107" s="153" t="s">
        <v>1644</v>
      </c>
      <c r="D107" s="153" t="s">
        <v>1645</v>
      </c>
      <c r="E107" s="153">
        <v>10</v>
      </c>
      <c r="F107" s="153">
        <v>15</v>
      </c>
      <c r="G107" s="153">
        <v>0</v>
      </c>
      <c r="H107" s="153">
        <v>20</v>
      </c>
      <c r="I107" s="153" t="s">
        <v>1643</v>
      </c>
      <c r="J107" s="153"/>
      <c r="K107" s="153"/>
      <c r="M107" s="9" t="s">
        <v>1644</v>
      </c>
      <c r="N107" s="9" t="s">
        <v>1645</v>
      </c>
      <c r="O107" s="9">
        <v>10</v>
      </c>
      <c r="P107" s="9">
        <v>15</v>
      </c>
      <c r="Q107" s="9">
        <v>0</v>
      </c>
      <c r="R107" s="9">
        <v>20</v>
      </c>
      <c r="S107" s="9" t="s">
        <v>1643</v>
      </c>
    </row>
    <row r="108" spans="1:19" ht="24" customHeight="1">
      <c r="A108" s="186" t="s">
        <v>1485</v>
      </c>
      <c r="B108" s="187" t="s">
        <v>1640</v>
      </c>
      <c r="C108" s="153" t="s">
        <v>1646</v>
      </c>
      <c r="D108" s="153" t="s">
        <v>1647</v>
      </c>
      <c r="E108" s="153">
        <v>20</v>
      </c>
      <c r="F108" s="153">
        <v>10</v>
      </c>
      <c r="G108" s="153">
        <v>0</v>
      </c>
      <c r="H108" s="153">
        <v>20</v>
      </c>
      <c r="I108" s="153" t="s">
        <v>1648</v>
      </c>
      <c r="J108" s="153"/>
      <c r="K108" s="153"/>
      <c r="M108" s="9" t="s">
        <v>1646</v>
      </c>
      <c r="N108" s="9" t="s">
        <v>1647</v>
      </c>
      <c r="O108" s="9">
        <v>20</v>
      </c>
      <c r="P108" s="9">
        <v>10</v>
      </c>
      <c r="Q108" s="9">
        <v>0</v>
      </c>
      <c r="R108" s="9">
        <v>20</v>
      </c>
      <c r="S108" s="9" t="s">
        <v>1648</v>
      </c>
    </row>
    <row r="109" spans="1:19" ht="24" customHeight="1">
      <c r="A109" s="186" t="s">
        <v>1485</v>
      </c>
      <c r="B109" s="187" t="s">
        <v>1640</v>
      </c>
      <c r="C109" s="153" t="s">
        <v>1649</v>
      </c>
      <c r="D109" s="153" t="s">
        <v>1650</v>
      </c>
      <c r="E109" s="153">
        <v>15</v>
      </c>
      <c r="F109" s="153">
        <v>10</v>
      </c>
      <c r="G109" s="153">
        <v>0</v>
      </c>
      <c r="H109" s="153">
        <v>30</v>
      </c>
      <c r="I109" s="153" t="s">
        <v>1651</v>
      </c>
      <c r="J109" s="153"/>
      <c r="K109" s="153"/>
      <c r="M109" s="9" t="s">
        <v>1649</v>
      </c>
      <c r="N109" s="9" t="s">
        <v>1650</v>
      </c>
      <c r="O109" s="9">
        <v>15</v>
      </c>
      <c r="P109" s="9">
        <v>10</v>
      </c>
      <c r="Q109" s="9">
        <v>0</v>
      </c>
      <c r="R109" s="9">
        <v>30</v>
      </c>
      <c r="S109" s="9" t="s">
        <v>1651</v>
      </c>
    </row>
    <row r="110" spans="1:19" ht="24" customHeight="1">
      <c r="A110" s="186" t="s">
        <v>1485</v>
      </c>
      <c r="B110" s="187" t="s">
        <v>1640</v>
      </c>
      <c r="C110" s="153" t="s">
        <v>1652</v>
      </c>
      <c r="D110" s="153" t="s">
        <v>1653</v>
      </c>
      <c r="E110" s="153">
        <v>30</v>
      </c>
      <c r="F110" s="153">
        <v>99</v>
      </c>
      <c r="G110" s="153">
        <v>0</v>
      </c>
      <c r="H110" s="153">
        <v>200</v>
      </c>
      <c r="I110" s="153" t="s">
        <v>1654</v>
      </c>
      <c r="J110" s="153"/>
      <c r="K110" s="153"/>
      <c r="M110" s="9" t="s">
        <v>1652</v>
      </c>
      <c r="N110" s="9" t="s">
        <v>1653</v>
      </c>
      <c r="O110" s="9">
        <v>30</v>
      </c>
      <c r="P110" s="9">
        <v>99</v>
      </c>
      <c r="Q110" s="9">
        <v>0</v>
      </c>
      <c r="R110" s="9">
        <v>200</v>
      </c>
      <c r="S110" s="9" t="s">
        <v>1654</v>
      </c>
    </row>
    <row r="111" spans="1:19" ht="24" customHeight="1">
      <c r="A111" s="186" t="s">
        <v>1485</v>
      </c>
      <c r="B111" s="187" t="s">
        <v>1640</v>
      </c>
      <c r="C111" s="153" t="s">
        <v>1655</v>
      </c>
      <c r="D111" s="153" t="s">
        <v>1656</v>
      </c>
      <c r="E111" s="153">
        <v>25</v>
      </c>
      <c r="F111" s="153">
        <v>15</v>
      </c>
      <c r="G111" s="153">
        <v>0</v>
      </c>
      <c r="H111" s="153">
        <v>30</v>
      </c>
      <c r="I111" s="153" t="s">
        <v>1648</v>
      </c>
      <c r="J111" s="153"/>
      <c r="K111" s="153"/>
      <c r="M111" s="9" t="s">
        <v>1655</v>
      </c>
      <c r="N111" s="9" t="s">
        <v>1656</v>
      </c>
      <c r="O111" s="9">
        <v>25</v>
      </c>
      <c r="P111" s="9">
        <v>15</v>
      </c>
      <c r="Q111" s="9">
        <v>0</v>
      </c>
      <c r="R111" s="9">
        <v>30</v>
      </c>
      <c r="S111" s="9" t="s">
        <v>1648</v>
      </c>
    </row>
    <row r="112" spans="1:19" ht="24" customHeight="1">
      <c r="A112" s="186" t="s">
        <v>1485</v>
      </c>
      <c r="B112" s="187" t="s">
        <v>1640</v>
      </c>
      <c r="C112" s="153" t="s">
        <v>1657</v>
      </c>
      <c r="D112" s="153" t="s">
        <v>1658</v>
      </c>
      <c r="E112" s="153">
        <v>20</v>
      </c>
      <c r="F112" s="153">
        <v>20</v>
      </c>
      <c r="G112" s="153">
        <v>0</v>
      </c>
      <c r="H112" s="153">
        <v>40</v>
      </c>
      <c r="I112" s="153" t="s">
        <v>1659</v>
      </c>
      <c r="J112" s="153"/>
      <c r="K112" s="153"/>
      <c r="M112" s="9" t="s">
        <v>1657</v>
      </c>
      <c r="N112" s="9" t="s">
        <v>1658</v>
      </c>
      <c r="O112" s="9">
        <v>20</v>
      </c>
      <c r="P112" s="9">
        <v>20</v>
      </c>
      <c r="Q112" s="9">
        <v>0</v>
      </c>
      <c r="R112" s="9">
        <v>40</v>
      </c>
      <c r="S112" s="9" t="s">
        <v>1659</v>
      </c>
    </row>
    <row r="113" spans="1:19" ht="24" customHeight="1">
      <c r="A113" s="186" t="s">
        <v>1485</v>
      </c>
      <c r="B113" s="187" t="s">
        <v>1640</v>
      </c>
      <c r="C113" s="153" t="s">
        <v>1660</v>
      </c>
      <c r="D113" s="153" t="s">
        <v>1661</v>
      </c>
      <c r="E113" s="153">
        <v>20</v>
      </c>
      <c r="F113" s="153">
        <v>20</v>
      </c>
      <c r="G113" s="153">
        <v>0</v>
      </c>
      <c r="H113" s="153">
        <v>40</v>
      </c>
      <c r="I113" s="153" t="s">
        <v>1643</v>
      </c>
      <c r="J113" s="153"/>
      <c r="K113" s="153"/>
      <c r="M113" s="9" t="s">
        <v>1660</v>
      </c>
      <c r="N113" s="9" t="s">
        <v>1661</v>
      </c>
      <c r="O113" s="9">
        <v>20</v>
      </c>
      <c r="P113" s="9">
        <v>20</v>
      </c>
      <c r="Q113" s="9">
        <v>0</v>
      </c>
      <c r="R113" s="9">
        <v>40</v>
      </c>
      <c r="S113" s="9" t="s">
        <v>1643</v>
      </c>
    </row>
    <row r="114" spans="1:19" ht="24" customHeight="1">
      <c r="A114" s="186" t="s">
        <v>1485</v>
      </c>
      <c r="B114" s="187" t="s">
        <v>1640</v>
      </c>
      <c r="C114" s="153" t="s">
        <v>1662</v>
      </c>
      <c r="D114" s="153" t="s">
        <v>1663</v>
      </c>
      <c r="E114" s="153">
        <v>25</v>
      </c>
      <c r="F114" s="153">
        <v>30</v>
      </c>
      <c r="G114" s="153">
        <v>0</v>
      </c>
      <c r="H114" s="153">
        <v>60</v>
      </c>
      <c r="I114" s="153" t="s">
        <v>1643</v>
      </c>
      <c r="J114" s="153"/>
      <c r="K114" s="153"/>
      <c r="M114" s="9" t="s">
        <v>1662</v>
      </c>
      <c r="N114" s="9" t="s">
        <v>1663</v>
      </c>
      <c r="O114" s="9">
        <v>25</v>
      </c>
      <c r="P114" s="9">
        <v>30</v>
      </c>
      <c r="Q114" s="9">
        <v>0</v>
      </c>
      <c r="R114" s="9">
        <v>60</v>
      </c>
      <c r="S114" s="9" t="s">
        <v>1643</v>
      </c>
    </row>
    <row r="115" spans="1:19" ht="24" customHeight="1">
      <c r="A115" s="186" t="s">
        <v>1485</v>
      </c>
      <c r="B115" s="187" t="s">
        <v>1640</v>
      </c>
      <c r="C115" s="153" t="s">
        <v>1664</v>
      </c>
      <c r="D115" s="153" t="s">
        <v>1665</v>
      </c>
      <c r="E115" s="153">
        <v>25</v>
      </c>
      <c r="F115" s="153">
        <v>10</v>
      </c>
      <c r="G115" s="153">
        <v>0</v>
      </c>
      <c r="H115" s="153">
        <v>25</v>
      </c>
      <c r="I115" s="153" t="s">
        <v>1651</v>
      </c>
      <c r="J115" s="153"/>
      <c r="K115" s="153"/>
      <c r="M115" s="9" t="s">
        <v>1664</v>
      </c>
      <c r="N115" s="9" t="s">
        <v>1665</v>
      </c>
      <c r="O115" s="9">
        <v>25</v>
      </c>
      <c r="P115" s="9">
        <v>10</v>
      </c>
      <c r="Q115" s="9">
        <v>0</v>
      </c>
      <c r="R115" s="9">
        <v>25</v>
      </c>
      <c r="S115" s="9" t="s">
        <v>1651</v>
      </c>
    </row>
    <row r="116" spans="1:19" ht="24" customHeight="1">
      <c r="A116" s="186" t="s">
        <v>1485</v>
      </c>
      <c r="B116" s="187" t="s">
        <v>1640</v>
      </c>
      <c r="C116" s="153" t="s">
        <v>1666</v>
      </c>
      <c r="D116" s="153" t="s">
        <v>1667</v>
      </c>
      <c r="E116" s="153">
        <v>25</v>
      </c>
      <c r="F116" s="153">
        <v>15</v>
      </c>
      <c r="G116" s="153">
        <v>0</v>
      </c>
      <c r="H116" s="153">
        <v>25</v>
      </c>
      <c r="I116" s="153" t="s">
        <v>1668</v>
      </c>
      <c r="J116" s="153"/>
      <c r="K116" s="153"/>
      <c r="M116" s="9" t="s">
        <v>1666</v>
      </c>
      <c r="N116" s="9" t="s">
        <v>1667</v>
      </c>
      <c r="O116" s="9">
        <v>25</v>
      </c>
      <c r="P116" s="9">
        <v>15</v>
      </c>
      <c r="Q116" s="9">
        <v>0</v>
      </c>
      <c r="R116" s="9">
        <v>25</v>
      </c>
      <c r="S116" s="9" t="s">
        <v>1668</v>
      </c>
    </row>
    <row r="117" spans="1:19" ht="24" customHeight="1">
      <c r="A117" s="186" t="s">
        <v>1485</v>
      </c>
      <c r="B117" s="187" t="s">
        <v>1640</v>
      </c>
      <c r="C117" s="153" t="s">
        <v>1669</v>
      </c>
      <c r="D117" s="153" t="s">
        <v>1670</v>
      </c>
      <c r="E117" s="153">
        <v>15</v>
      </c>
      <c r="F117" s="153">
        <v>15</v>
      </c>
      <c r="G117" s="153">
        <v>0</v>
      </c>
      <c r="H117" s="153">
        <v>25</v>
      </c>
      <c r="I117" s="153" t="s">
        <v>1648</v>
      </c>
      <c r="J117" s="153"/>
      <c r="K117" s="153"/>
      <c r="M117" s="9" t="s">
        <v>1669</v>
      </c>
      <c r="N117" s="9" t="s">
        <v>1670</v>
      </c>
      <c r="O117" s="9">
        <v>15</v>
      </c>
      <c r="P117" s="9">
        <v>15</v>
      </c>
      <c r="Q117" s="9">
        <v>0</v>
      </c>
      <c r="R117" s="9">
        <v>25</v>
      </c>
      <c r="S117" s="9" t="s">
        <v>1648</v>
      </c>
    </row>
    <row r="118" spans="1:19" ht="24" customHeight="1">
      <c r="A118" s="186" t="s">
        <v>1485</v>
      </c>
      <c r="B118" s="187" t="s">
        <v>1640</v>
      </c>
      <c r="C118" s="153" t="s">
        <v>1671</v>
      </c>
      <c r="D118" s="153" t="s">
        <v>1672</v>
      </c>
      <c r="E118" s="153">
        <v>20</v>
      </c>
      <c r="F118" s="153">
        <v>10</v>
      </c>
      <c r="G118" s="153">
        <v>0</v>
      </c>
      <c r="H118" s="153">
        <v>25</v>
      </c>
      <c r="I118" s="153" t="s">
        <v>1673</v>
      </c>
      <c r="J118" s="153"/>
      <c r="K118" s="153"/>
      <c r="M118" s="9" t="s">
        <v>1671</v>
      </c>
      <c r="N118" s="9" t="s">
        <v>1672</v>
      </c>
      <c r="O118" s="9">
        <v>20</v>
      </c>
      <c r="P118" s="9">
        <v>10</v>
      </c>
      <c r="Q118" s="9">
        <v>0</v>
      </c>
      <c r="R118" s="9">
        <v>25</v>
      </c>
      <c r="S118" s="9" t="s">
        <v>1673</v>
      </c>
    </row>
    <row r="119" spans="1:19" ht="24" customHeight="1">
      <c r="A119" s="186" t="s">
        <v>1485</v>
      </c>
      <c r="B119" s="187" t="s">
        <v>1640</v>
      </c>
      <c r="C119" s="153" t="s">
        <v>1674</v>
      </c>
      <c r="D119" s="153" t="s">
        <v>1675</v>
      </c>
      <c r="E119" s="153">
        <v>20</v>
      </c>
      <c r="F119" s="153">
        <v>15</v>
      </c>
      <c r="G119" s="153">
        <v>0</v>
      </c>
      <c r="H119" s="153">
        <v>30</v>
      </c>
      <c r="I119" s="153" t="s">
        <v>1676</v>
      </c>
      <c r="J119" s="153"/>
      <c r="K119" s="153"/>
      <c r="M119" s="9" t="s">
        <v>1674</v>
      </c>
      <c r="N119" s="9" t="s">
        <v>1675</v>
      </c>
      <c r="O119" s="9">
        <v>20</v>
      </c>
      <c r="P119" s="9">
        <v>15</v>
      </c>
      <c r="Q119" s="9">
        <v>0</v>
      </c>
      <c r="R119" s="9">
        <v>30</v>
      </c>
      <c r="S119" s="9" t="s">
        <v>1676</v>
      </c>
    </row>
    <row r="120" spans="1:19" ht="24" customHeight="1">
      <c r="A120" s="186" t="s">
        <v>1485</v>
      </c>
      <c r="B120" s="187" t="s">
        <v>1640</v>
      </c>
      <c r="C120" s="153" t="s">
        <v>1677</v>
      </c>
      <c r="D120" s="153" t="s">
        <v>1678</v>
      </c>
      <c r="E120" s="153">
        <v>15</v>
      </c>
      <c r="F120" s="153">
        <v>20</v>
      </c>
      <c r="G120" s="153">
        <v>0</v>
      </c>
      <c r="H120" s="153">
        <v>40</v>
      </c>
      <c r="I120" s="153" t="s">
        <v>1648</v>
      </c>
      <c r="J120" s="153"/>
      <c r="K120" s="153"/>
      <c r="M120" s="9" t="s">
        <v>1677</v>
      </c>
      <c r="N120" s="9" t="s">
        <v>1678</v>
      </c>
      <c r="O120" s="9">
        <v>15</v>
      </c>
      <c r="P120" s="9">
        <v>20</v>
      </c>
      <c r="Q120" s="9">
        <v>0</v>
      </c>
      <c r="R120" s="9">
        <v>40</v>
      </c>
      <c r="S120" s="9" t="s">
        <v>1648</v>
      </c>
    </row>
    <row r="121" spans="1:19" ht="24" customHeight="1">
      <c r="A121" s="186" t="s">
        <v>1485</v>
      </c>
      <c r="B121" s="187" t="s">
        <v>1640</v>
      </c>
      <c r="C121" s="153" t="s">
        <v>1679</v>
      </c>
      <c r="D121" s="153" t="s">
        <v>1680</v>
      </c>
      <c r="E121" s="153">
        <v>25</v>
      </c>
      <c r="F121" s="153">
        <v>20</v>
      </c>
      <c r="G121" s="153">
        <v>0</v>
      </c>
      <c r="H121" s="153">
        <v>40</v>
      </c>
      <c r="I121" s="153" t="s">
        <v>1681</v>
      </c>
      <c r="J121" s="153"/>
      <c r="K121" s="153"/>
      <c r="M121" s="9" t="s">
        <v>1679</v>
      </c>
      <c r="N121" s="9" t="s">
        <v>1680</v>
      </c>
      <c r="O121" s="9">
        <v>25</v>
      </c>
      <c r="P121" s="9">
        <v>20</v>
      </c>
      <c r="Q121" s="9">
        <v>0</v>
      </c>
      <c r="R121" s="9">
        <v>40</v>
      </c>
      <c r="S121" s="9" t="s">
        <v>1681</v>
      </c>
    </row>
    <row r="122" spans="1:19" ht="24" customHeight="1">
      <c r="A122" s="186" t="s">
        <v>1485</v>
      </c>
      <c r="B122" s="187" t="s">
        <v>1640</v>
      </c>
      <c r="C122" s="153" t="s">
        <v>1682</v>
      </c>
      <c r="D122" s="153" t="s">
        <v>1683</v>
      </c>
      <c r="E122" s="153">
        <v>20</v>
      </c>
      <c r="F122" s="153">
        <v>20</v>
      </c>
      <c r="G122" s="153">
        <v>0</v>
      </c>
      <c r="H122" s="153">
        <v>40</v>
      </c>
      <c r="I122" s="153" t="s">
        <v>1684</v>
      </c>
      <c r="J122" s="153"/>
      <c r="K122" s="153"/>
      <c r="M122" s="9" t="s">
        <v>1682</v>
      </c>
      <c r="N122" s="9" t="s">
        <v>1683</v>
      </c>
      <c r="O122" s="9">
        <v>20</v>
      </c>
      <c r="P122" s="9">
        <v>20</v>
      </c>
      <c r="Q122" s="9">
        <v>0</v>
      </c>
      <c r="R122" s="9">
        <v>40</v>
      </c>
      <c r="S122" s="9" t="s">
        <v>1684</v>
      </c>
    </row>
    <row r="123" spans="1:19" ht="24" customHeight="1">
      <c r="A123" s="186" t="s">
        <v>1485</v>
      </c>
      <c r="B123" s="187" t="s">
        <v>1640</v>
      </c>
      <c r="C123" s="153" t="s">
        <v>1685</v>
      </c>
      <c r="D123" s="153" t="s">
        <v>1686</v>
      </c>
      <c r="E123" s="153">
        <v>40</v>
      </c>
      <c r="F123" s="153">
        <v>5</v>
      </c>
      <c r="G123" s="153">
        <v>0</v>
      </c>
      <c r="H123" s="153">
        <v>10</v>
      </c>
      <c r="I123" s="153" t="s">
        <v>1687</v>
      </c>
      <c r="J123" s="153"/>
      <c r="K123" s="153"/>
      <c r="M123" s="9" t="s">
        <v>1685</v>
      </c>
      <c r="N123" s="9" t="s">
        <v>1686</v>
      </c>
      <c r="O123" s="9">
        <v>40</v>
      </c>
      <c r="P123" s="9">
        <v>5</v>
      </c>
      <c r="Q123" s="9">
        <v>0</v>
      </c>
      <c r="R123" s="9">
        <v>10</v>
      </c>
      <c r="S123" s="9" t="s">
        <v>1687</v>
      </c>
    </row>
    <row r="124" spans="1:19" ht="24" customHeight="1">
      <c r="A124" s="186" t="s">
        <v>1401</v>
      </c>
      <c r="B124" s="187" t="s">
        <v>1401</v>
      </c>
      <c r="C124" s="153" t="s">
        <v>1688</v>
      </c>
      <c r="D124" s="153" t="s">
        <v>1689</v>
      </c>
      <c r="E124" s="153">
        <v>20</v>
      </c>
      <c r="F124" s="153"/>
      <c r="G124" s="153"/>
      <c r="H124" s="153"/>
      <c r="I124" s="153" t="s">
        <v>1690</v>
      </c>
      <c r="J124" s="153"/>
      <c r="K124" s="153"/>
      <c r="M124" s="9" t="s">
        <v>1688</v>
      </c>
      <c r="N124" s="9" t="s">
        <v>1689</v>
      </c>
      <c r="O124" s="9">
        <v>20</v>
      </c>
      <c r="S124" s="9" t="s">
        <v>1690</v>
      </c>
    </row>
    <row r="125" spans="1:19" ht="24" customHeight="1">
      <c r="A125" s="186" t="s">
        <v>1401</v>
      </c>
      <c r="B125" s="187" t="s">
        <v>1401</v>
      </c>
      <c r="C125" s="153" t="s">
        <v>1691</v>
      </c>
      <c r="D125" s="153" t="s">
        <v>1692</v>
      </c>
      <c r="E125" s="153">
        <v>20</v>
      </c>
      <c r="F125" s="153"/>
      <c r="G125" s="153"/>
      <c r="H125" s="153"/>
      <c r="I125" s="153" t="s">
        <v>1693</v>
      </c>
      <c r="J125" s="153"/>
      <c r="K125" s="153"/>
      <c r="M125" s="9" t="s">
        <v>1691</v>
      </c>
      <c r="N125" s="9" t="s">
        <v>1692</v>
      </c>
      <c r="O125" s="9">
        <v>20</v>
      </c>
      <c r="S125" s="9" t="s">
        <v>1693</v>
      </c>
    </row>
    <row r="126" spans="1:19" ht="24" customHeight="1">
      <c r="A126" s="186" t="s">
        <v>1401</v>
      </c>
      <c r="B126" s="187" t="s">
        <v>1401</v>
      </c>
      <c r="C126" s="153" t="s">
        <v>1694</v>
      </c>
      <c r="D126" s="153" t="s">
        <v>1695</v>
      </c>
      <c r="E126" s="153">
        <v>15</v>
      </c>
      <c r="F126" s="153"/>
      <c r="G126" s="153"/>
      <c r="H126" s="153"/>
      <c r="I126" s="153" t="s">
        <v>1696</v>
      </c>
      <c r="J126" s="153"/>
      <c r="K126" s="153"/>
      <c r="M126" s="9" t="s">
        <v>1694</v>
      </c>
      <c r="N126" s="9" t="s">
        <v>1695</v>
      </c>
      <c r="O126" s="9">
        <v>15</v>
      </c>
      <c r="S126" s="9" t="s">
        <v>1696</v>
      </c>
    </row>
    <row r="127" spans="1:19" ht="24" customHeight="1">
      <c r="A127" s="186" t="s">
        <v>1401</v>
      </c>
      <c r="B127" s="187" t="s">
        <v>1401</v>
      </c>
      <c r="C127" s="153" t="s">
        <v>1697</v>
      </c>
      <c r="D127" s="153" t="s">
        <v>1698</v>
      </c>
      <c r="E127" s="153">
        <v>10</v>
      </c>
      <c r="F127" s="153"/>
      <c r="G127" s="153"/>
      <c r="H127" s="153"/>
      <c r="I127" s="153" t="s">
        <v>1699</v>
      </c>
      <c r="J127" s="153"/>
      <c r="K127" s="153"/>
      <c r="M127" s="9" t="s">
        <v>1697</v>
      </c>
      <c r="N127" s="9" t="s">
        <v>1698</v>
      </c>
      <c r="O127" s="9">
        <v>10</v>
      </c>
      <c r="S127" s="9" t="s">
        <v>1699</v>
      </c>
    </row>
    <row r="128" spans="1:19" ht="24" customHeight="1">
      <c r="A128" s="186" t="s">
        <v>1401</v>
      </c>
      <c r="B128" s="187" t="s">
        <v>1401</v>
      </c>
      <c r="C128" s="153" t="s">
        <v>1700</v>
      </c>
      <c r="D128" s="153" t="s">
        <v>1701</v>
      </c>
      <c r="E128" s="153">
        <v>20</v>
      </c>
      <c r="F128" s="153"/>
      <c r="G128" s="153"/>
      <c r="H128" s="153"/>
      <c r="I128" s="153" t="s">
        <v>1690</v>
      </c>
      <c r="J128" s="153"/>
      <c r="K128" s="153"/>
      <c r="M128" s="9" t="s">
        <v>1700</v>
      </c>
      <c r="N128" s="9" t="s">
        <v>1701</v>
      </c>
      <c r="O128" s="9">
        <v>20</v>
      </c>
      <c r="S128" s="9" t="s">
        <v>1690</v>
      </c>
    </row>
    <row r="129" spans="1:19" ht="24" customHeight="1">
      <c r="A129" s="186" t="s">
        <v>1401</v>
      </c>
      <c r="B129" s="187" t="s">
        <v>1401</v>
      </c>
      <c r="C129" s="153" t="s">
        <v>1702</v>
      </c>
      <c r="D129" s="153" t="s">
        <v>1703</v>
      </c>
      <c r="E129" s="153">
        <v>25</v>
      </c>
      <c r="F129" s="153"/>
      <c r="G129" s="153"/>
      <c r="H129" s="153"/>
      <c r="I129" s="153" t="s">
        <v>1696</v>
      </c>
      <c r="J129" s="153"/>
      <c r="K129" s="153"/>
      <c r="M129" s="9" t="s">
        <v>1702</v>
      </c>
      <c r="N129" s="9" t="s">
        <v>1703</v>
      </c>
      <c r="O129" s="9">
        <v>25</v>
      </c>
      <c r="S129" s="9" t="s">
        <v>1696</v>
      </c>
    </row>
    <row r="130" spans="1:19" ht="24" customHeight="1">
      <c r="A130" s="186" t="s">
        <v>1401</v>
      </c>
      <c r="B130" s="187" t="s">
        <v>1401</v>
      </c>
      <c r="C130" s="153" t="s">
        <v>1704</v>
      </c>
      <c r="D130" s="153" t="s">
        <v>1705</v>
      </c>
      <c r="E130" s="153">
        <v>25</v>
      </c>
      <c r="F130" s="153"/>
      <c r="G130" s="153"/>
      <c r="H130" s="153"/>
      <c r="I130" s="153" t="s">
        <v>1706</v>
      </c>
      <c r="J130" s="153"/>
      <c r="K130" s="153"/>
      <c r="M130" s="9" t="s">
        <v>1704</v>
      </c>
      <c r="N130" s="9" t="s">
        <v>1705</v>
      </c>
      <c r="O130" s="9">
        <v>25</v>
      </c>
      <c r="S130" s="9" t="s">
        <v>1706</v>
      </c>
    </row>
    <row r="131" spans="1:19" ht="24" customHeight="1">
      <c r="A131" s="186" t="s">
        <v>1401</v>
      </c>
      <c r="B131" s="187" t="s">
        <v>1401</v>
      </c>
      <c r="C131" s="153" t="s">
        <v>1707</v>
      </c>
      <c r="D131" s="153" t="s">
        <v>1708</v>
      </c>
      <c r="E131" s="153">
        <v>30</v>
      </c>
      <c r="F131" s="153"/>
      <c r="G131" s="153"/>
      <c r="H131" s="153"/>
      <c r="I131" s="153" t="s">
        <v>1690</v>
      </c>
      <c r="J131" s="153"/>
      <c r="K131" s="153"/>
      <c r="M131" s="9" t="s">
        <v>1707</v>
      </c>
      <c r="N131" s="9" t="s">
        <v>1708</v>
      </c>
      <c r="O131" s="9">
        <v>30</v>
      </c>
      <c r="S131" s="9" t="s">
        <v>1690</v>
      </c>
    </row>
    <row r="132" spans="1:19" ht="24" customHeight="1">
      <c r="A132" s="186" t="s">
        <v>1401</v>
      </c>
      <c r="B132" s="187" t="s">
        <v>1401</v>
      </c>
      <c r="C132" s="153" t="s">
        <v>1709</v>
      </c>
      <c r="D132" s="153" t="s">
        <v>1710</v>
      </c>
      <c r="E132" s="153">
        <v>15</v>
      </c>
      <c r="F132" s="153"/>
      <c r="G132" s="153"/>
      <c r="H132" s="153"/>
      <c r="I132" s="153" t="s">
        <v>1711</v>
      </c>
      <c r="J132" s="153"/>
      <c r="K132" s="153"/>
      <c r="M132" s="9" t="s">
        <v>1709</v>
      </c>
      <c r="N132" s="9" t="s">
        <v>1710</v>
      </c>
      <c r="O132" s="9">
        <v>15</v>
      </c>
      <c r="S132" s="9" t="s">
        <v>1711</v>
      </c>
    </row>
    <row r="133" spans="1:19" ht="24" customHeight="1">
      <c r="A133" s="186" t="s">
        <v>1401</v>
      </c>
      <c r="B133" s="187" t="s">
        <v>1401</v>
      </c>
      <c r="C133" s="153" t="s">
        <v>1712</v>
      </c>
      <c r="D133" s="153" t="s">
        <v>1713</v>
      </c>
      <c r="E133" s="153">
        <v>20</v>
      </c>
      <c r="F133" s="153"/>
      <c r="G133" s="153"/>
      <c r="H133" s="153"/>
      <c r="I133" s="153" t="s">
        <v>1714</v>
      </c>
      <c r="J133" s="153"/>
      <c r="K133" s="153"/>
      <c r="M133" s="9" t="s">
        <v>1712</v>
      </c>
      <c r="N133" s="9" t="s">
        <v>1713</v>
      </c>
      <c r="O133" s="9">
        <v>20</v>
      </c>
      <c r="S133" s="9" t="s">
        <v>1714</v>
      </c>
    </row>
    <row r="134" spans="1:19" ht="24" customHeight="1">
      <c r="A134" s="186" t="s">
        <v>1401</v>
      </c>
      <c r="B134" s="187" t="s">
        <v>1401</v>
      </c>
      <c r="C134" s="153" t="s">
        <v>1715</v>
      </c>
      <c r="D134" s="153" t="s">
        <v>1716</v>
      </c>
      <c r="E134" s="153">
        <v>20</v>
      </c>
      <c r="F134" s="153"/>
      <c r="G134" s="153"/>
      <c r="H134" s="153"/>
      <c r="I134" s="153" t="s">
        <v>1690</v>
      </c>
      <c r="J134" s="153"/>
      <c r="K134" s="153"/>
      <c r="M134" s="9" t="s">
        <v>1715</v>
      </c>
      <c r="N134" s="9" t="s">
        <v>1716</v>
      </c>
      <c r="O134" s="9">
        <v>20</v>
      </c>
      <c r="S134" s="9" t="s">
        <v>1690</v>
      </c>
    </row>
    <row r="135" spans="1:19" ht="24" customHeight="1">
      <c r="A135" s="186" t="s">
        <v>1401</v>
      </c>
      <c r="B135" s="187" t="s">
        <v>1401</v>
      </c>
      <c r="C135" s="153" t="s">
        <v>1717</v>
      </c>
      <c r="D135" s="153" t="s">
        <v>1718</v>
      </c>
      <c r="E135" s="153">
        <v>15</v>
      </c>
      <c r="F135" s="153"/>
      <c r="G135" s="153"/>
      <c r="H135" s="153"/>
      <c r="I135" s="153" t="s">
        <v>1699</v>
      </c>
      <c r="J135" s="153"/>
      <c r="K135" s="153"/>
      <c r="M135" s="9" t="s">
        <v>1717</v>
      </c>
      <c r="N135" s="9" t="s">
        <v>1718</v>
      </c>
      <c r="O135" s="9">
        <v>15</v>
      </c>
      <c r="S135" s="9" t="s">
        <v>1699</v>
      </c>
    </row>
    <row r="136" spans="1:19" ht="24" customHeight="1">
      <c r="A136" s="186" t="s">
        <v>1401</v>
      </c>
      <c r="B136" s="187" t="s">
        <v>1401</v>
      </c>
      <c r="C136" s="153" t="s">
        <v>1719</v>
      </c>
      <c r="D136" s="153" t="s">
        <v>1720</v>
      </c>
      <c r="E136" s="153">
        <v>15</v>
      </c>
      <c r="F136" s="153"/>
      <c r="G136" s="153"/>
      <c r="H136" s="153"/>
      <c r="I136" s="153" t="s">
        <v>1721</v>
      </c>
      <c r="J136" s="153"/>
      <c r="K136" s="153"/>
      <c r="M136" s="9" t="s">
        <v>1719</v>
      </c>
      <c r="N136" s="9" t="s">
        <v>1720</v>
      </c>
      <c r="O136" s="9">
        <v>15</v>
      </c>
      <c r="S136" s="9" t="s">
        <v>1721</v>
      </c>
    </row>
    <row r="137" spans="1:19" ht="24" customHeight="1">
      <c r="A137" s="186" t="s">
        <v>1401</v>
      </c>
      <c r="B137" s="187" t="s">
        <v>1401</v>
      </c>
      <c r="C137" s="153" t="s">
        <v>1722</v>
      </c>
      <c r="D137" s="153" t="s">
        <v>1723</v>
      </c>
      <c r="E137" s="153">
        <v>30</v>
      </c>
      <c r="F137" s="153"/>
      <c r="G137" s="153"/>
      <c r="H137" s="153"/>
      <c r="I137" s="153" t="s">
        <v>1724</v>
      </c>
      <c r="J137" s="153"/>
      <c r="K137" s="153"/>
      <c r="M137" s="9" t="s">
        <v>1722</v>
      </c>
      <c r="N137" s="9" t="s">
        <v>1723</v>
      </c>
      <c r="O137" s="9">
        <v>30</v>
      </c>
      <c r="S137" s="9" t="s">
        <v>1724</v>
      </c>
    </row>
    <row r="138" spans="1:19" ht="24" customHeight="1">
      <c r="A138" s="186" t="s">
        <v>1401</v>
      </c>
      <c r="B138" s="187" t="s">
        <v>1401</v>
      </c>
      <c r="C138" s="153" t="s">
        <v>1725</v>
      </c>
      <c r="D138" s="153" t="s">
        <v>1726</v>
      </c>
      <c r="E138" s="153">
        <v>25</v>
      </c>
      <c r="F138" s="153"/>
      <c r="G138" s="153"/>
      <c r="H138" s="153"/>
      <c r="I138" s="153" t="s">
        <v>1727</v>
      </c>
      <c r="J138" s="153"/>
      <c r="K138" s="153"/>
      <c r="M138" s="9" t="s">
        <v>1725</v>
      </c>
      <c r="N138" s="9" t="s">
        <v>1726</v>
      </c>
      <c r="O138" s="9">
        <v>25</v>
      </c>
      <c r="S138" s="9" t="s">
        <v>1727</v>
      </c>
    </row>
    <row r="139" spans="1:19" ht="24" customHeight="1">
      <c r="A139" s="186" t="s">
        <v>1401</v>
      </c>
      <c r="B139" s="187" t="s">
        <v>1401</v>
      </c>
      <c r="C139" s="153" t="s">
        <v>1728</v>
      </c>
      <c r="D139" s="153" t="s">
        <v>1729</v>
      </c>
      <c r="E139" s="153">
        <v>10</v>
      </c>
      <c r="F139" s="153"/>
      <c r="G139" s="153"/>
      <c r="H139" s="153"/>
      <c r="I139" s="153" t="s">
        <v>1730</v>
      </c>
      <c r="J139" s="153"/>
      <c r="K139" s="153"/>
      <c r="M139" s="9" t="s">
        <v>1728</v>
      </c>
      <c r="N139" s="9" t="s">
        <v>1729</v>
      </c>
      <c r="O139" s="9">
        <v>10</v>
      </c>
      <c r="S139" s="9" t="s">
        <v>1730</v>
      </c>
    </row>
    <row r="140" spans="1:19" ht="24" customHeight="1">
      <c r="A140" s="186" t="s">
        <v>1401</v>
      </c>
      <c r="B140" s="187" t="s">
        <v>1401</v>
      </c>
      <c r="C140" s="153" t="s">
        <v>1731</v>
      </c>
      <c r="D140" s="153" t="s">
        <v>1732</v>
      </c>
      <c r="E140" s="153">
        <v>20</v>
      </c>
      <c r="F140" s="153"/>
      <c r="G140" s="153"/>
      <c r="H140" s="153"/>
      <c r="I140" s="153" t="s">
        <v>1721</v>
      </c>
      <c r="J140" s="153"/>
      <c r="K140" s="153"/>
      <c r="M140" s="9" t="s">
        <v>1731</v>
      </c>
      <c r="N140" s="9" t="s">
        <v>1732</v>
      </c>
      <c r="O140" s="9">
        <v>20</v>
      </c>
      <c r="S140" s="9" t="s">
        <v>1721</v>
      </c>
    </row>
    <row r="141" spans="1:19" ht="24" customHeight="1">
      <c r="A141" s="186" t="s">
        <v>1401</v>
      </c>
      <c r="B141" s="187" t="s">
        <v>1401</v>
      </c>
      <c r="C141" s="153" t="s">
        <v>1733</v>
      </c>
      <c r="D141" s="153" t="s">
        <v>1734</v>
      </c>
      <c r="E141" s="153">
        <v>30</v>
      </c>
      <c r="F141" s="153"/>
      <c r="G141" s="153"/>
      <c r="H141" s="153"/>
      <c r="I141" s="153" t="s">
        <v>1690</v>
      </c>
      <c r="J141" s="153"/>
      <c r="K141" s="153"/>
      <c r="M141" s="9" t="s">
        <v>1733</v>
      </c>
      <c r="N141" s="9" t="s">
        <v>1734</v>
      </c>
      <c r="O141" s="9">
        <v>30</v>
      </c>
      <c r="S141" s="9" t="s">
        <v>1690</v>
      </c>
    </row>
    <row r="142" spans="1:19" ht="24" customHeight="1">
      <c r="A142" s="186" t="s">
        <v>1401</v>
      </c>
      <c r="B142" s="187" t="s">
        <v>1401</v>
      </c>
      <c r="C142" s="153" t="s">
        <v>1735</v>
      </c>
      <c r="D142" s="153" t="s">
        <v>1736</v>
      </c>
      <c r="E142" s="153">
        <v>25</v>
      </c>
      <c r="F142" s="153"/>
      <c r="G142" s="153"/>
      <c r="H142" s="153"/>
      <c r="I142" s="153" t="s">
        <v>1696</v>
      </c>
      <c r="J142" s="153"/>
      <c r="K142" s="153"/>
      <c r="M142" s="9" t="s">
        <v>1735</v>
      </c>
      <c r="N142" s="9" t="s">
        <v>1736</v>
      </c>
      <c r="O142" s="9">
        <v>25</v>
      </c>
      <c r="S142" s="9" t="s">
        <v>1696</v>
      </c>
    </row>
    <row r="143" spans="1:19" ht="24" customHeight="1">
      <c r="A143" s="186" t="s">
        <v>1401</v>
      </c>
      <c r="B143" s="187" t="s">
        <v>1401</v>
      </c>
      <c r="C143" s="153" t="s">
        <v>1737</v>
      </c>
      <c r="D143" s="153" t="s">
        <v>1738</v>
      </c>
      <c r="E143" s="153">
        <v>15</v>
      </c>
      <c r="F143" s="153"/>
      <c r="G143" s="153"/>
      <c r="H143" s="153"/>
      <c r="I143" s="153" t="s">
        <v>1706</v>
      </c>
      <c r="J143" s="153"/>
      <c r="K143" s="153"/>
      <c r="M143" s="9" t="s">
        <v>1737</v>
      </c>
      <c r="N143" s="9" t="s">
        <v>1738</v>
      </c>
      <c r="O143" s="9">
        <v>15</v>
      </c>
      <c r="S143" s="9" t="s">
        <v>1706</v>
      </c>
    </row>
    <row r="144" spans="1:19" ht="24" customHeight="1">
      <c r="A144" s="186" t="s">
        <v>1401</v>
      </c>
      <c r="B144" s="187" t="s">
        <v>1401</v>
      </c>
      <c r="C144" s="153" t="s">
        <v>1739</v>
      </c>
      <c r="D144" s="153" t="s">
        <v>1740</v>
      </c>
      <c r="E144" s="153">
        <v>20</v>
      </c>
      <c r="F144" s="153"/>
      <c r="G144" s="153"/>
      <c r="H144" s="153"/>
      <c r="I144" s="153" t="s">
        <v>1706</v>
      </c>
      <c r="J144" s="153"/>
      <c r="K144" s="153"/>
      <c r="M144" s="9" t="s">
        <v>1739</v>
      </c>
      <c r="N144" s="9" t="s">
        <v>1740</v>
      </c>
      <c r="O144" s="9">
        <v>20</v>
      </c>
      <c r="S144" s="9" t="s">
        <v>1706</v>
      </c>
    </row>
    <row r="145" spans="1:20" ht="24" customHeight="1">
      <c r="A145" s="186" t="s">
        <v>1401</v>
      </c>
      <c r="B145" s="187" t="s">
        <v>1401</v>
      </c>
      <c r="C145" s="153" t="s">
        <v>1741</v>
      </c>
      <c r="D145" s="153" t="s">
        <v>1742</v>
      </c>
      <c r="E145" s="153">
        <v>15</v>
      </c>
      <c r="F145" s="153"/>
      <c r="G145" s="153"/>
      <c r="H145" s="153"/>
      <c r="I145" s="153" t="s">
        <v>1696</v>
      </c>
      <c r="J145" s="153"/>
      <c r="K145" s="153"/>
      <c r="M145" s="9" t="s">
        <v>1741</v>
      </c>
      <c r="N145" s="9" t="s">
        <v>1742</v>
      </c>
      <c r="O145" s="9">
        <v>15</v>
      </c>
      <c r="S145" s="9" t="s">
        <v>1696</v>
      </c>
    </row>
    <row r="146" spans="1:20" ht="24" customHeight="1">
      <c r="A146" s="186" t="s">
        <v>1401</v>
      </c>
      <c r="B146" s="187" t="s">
        <v>1401</v>
      </c>
      <c r="C146" s="153" t="s">
        <v>1743</v>
      </c>
      <c r="D146" s="153" t="s">
        <v>1744</v>
      </c>
      <c r="E146" s="153">
        <v>15</v>
      </c>
      <c r="F146" s="153"/>
      <c r="G146" s="153"/>
      <c r="H146" s="153"/>
      <c r="I146" s="153" t="s">
        <v>1699</v>
      </c>
      <c r="J146" s="153"/>
      <c r="K146" s="153"/>
      <c r="M146" s="9" t="s">
        <v>1743</v>
      </c>
      <c r="N146" s="9" t="s">
        <v>1744</v>
      </c>
      <c r="O146" s="9">
        <v>15</v>
      </c>
      <c r="S146" s="9" t="s">
        <v>1699</v>
      </c>
    </row>
    <row r="147" spans="1:20" ht="24" customHeight="1">
      <c r="A147" s="186" t="s">
        <v>1401</v>
      </c>
      <c r="B147" s="187" t="s">
        <v>1401</v>
      </c>
      <c r="C147" s="153" t="s">
        <v>1745</v>
      </c>
      <c r="D147" s="153" t="s">
        <v>1746</v>
      </c>
      <c r="E147" s="153">
        <v>20</v>
      </c>
      <c r="F147" s="153"/>
      <c r="G147" s="153"/>
      <c r="H147" s="153"/>
      <c r="I147" s="153" t="s">
        <v>1711</v>
      </c>
      <c r="J147" s="153"/>
      <c r="K147" s="153"/>
      <c r="M147" s="9" t="s">
        <v>1745</v>
      </c>
      <c r="N147" s="9" t="s">
        <v>1746</v>
      </c>
      <c r="O147" s="9">
        <v>20</v>
      </c>
      <c r="S147" s="9" t="s">
        <v>1711</v>
      </c>
    </row>
    <row r="148" spans="1:20" ht="24" customHeight="1">
      <c r="A148" s="186" t="s">
        <v>1401</v>
      </c>
      <c r="B148" s="187" t="s">
        <v>1401</v>
      </c>
      <c r="C148" s="153" t="s">
        <v>1747</v>
      </c>
      <c r="D148" s="153" t="s">
        <v>1748</v>
      </c>
      <c r="E148" s="153">
        <v>10</v>
      </c>
      <c r="F148" s="153"/>
      <c r="G148" s="153"/>
      <c r="H148" s="153"/>
      <c r="I148" s="153" t="s">
        <v>1696</v>
      </c>
      <c r="J148" s="153"/>
      <c r="K148" s="153"/>
      <c r="M148" s="9" t="s">
        <v>1747</v>
      </c>
      <c r="N148" s="9" t="s">
        <v>1748</v>
      </c>
      <c r="O148" s="9">
        <v>10</v>
      </c>
      <c r="S148" s="9" t="s">
        <v>1696</v>
      </c>
    </row>
    <row r="149" spans="1:20" ht="24" customHeight="1">
      <c r="A149" s="186" t="s">
        <v>1401</v>
      </c>
      <c r="B149" s="187" t="s">
        <v>1401</v>
      </c>
      <c r="C149" s="153" t="s">
        <v>1749</v>
      </c>
      <c r="D149" s="153" t="s">
        <v>1750</v>
      </c>
      <c r="E149" s="153">
        <v>20</v>
      </c>
      <c r="F149" s="153"/>
      <c r="G149" s="153"/>
      <c r="H149" s="153"/>
      <c r="I149" s="153" t="s">
        <v>1699</v>
      </c>
      <c r="J149" s="153"/>
      <c r="K149" s="153"/>
      <c r="M149" s="9" t="s">
        <v>1749</v>
      </c>
      <c r="N149" s="9" t="s">
        <v>1750</v>
      </c>
      <c r="O149" s="9">
        <v>20</v>
      </c>
      <c r="S149" s="9" t="s">
        <v>1699</v>
      </c>
    </row>
    <row r="150" spans="1:20" ht="24" customHeight="1">
      <c r="A150" s="186" t="s">
        <v>1401</v>
      </c>
      <c r="B150" s="187" t="s">
        <v>1401</v>
      </c>
      <c r="C150" s="153" t="s">
        <v>1751</v>
      </c>
      <c r="D150" s="153" t="s">
        <v>1752</v>
      </c>
      <c r="E150" s="153">
        <v>10</v>
      </c>
      <c r="F150" s="153"/>
      <c r="G150" s="153"/>
      <c r="H150" s="153"/>
      <c r="I150" s="153" t="s">
        <v>1693</v>
      </c>
      <c r="J150" s="153"/>
      <c r="K150" s="153"/>
      <c r="M150" s="9" t="s">
        <v>1751</v>
      </c>
      <c r="N150" s="9" t="s">
        <v>1752</v>
      </c>
      <c r="O150" s="9">
        <v>10</v>
      </c>
      <c r="S150" s="9" t="s">
        <v>1693</v>
      </c>
    </row>
    <row r="151" spans="1:20" ht="24" customHeight="1">
      <c r="A151" s="186" t="s">
        <v>1401</v>
      </c>
      <c r="B151" s="187" t="s">
        <v>1401</v>
      </c>
      <c r="C151" s="153" t="s">
        <v>1753</v>
      </c>
      <c r="D151" s="153" t="s">
        <v>1754</v>
      </c>
      <c r="E151" s="153">
        <v>25</v>
      </c>
      <c r="F151" s="153"/>
      <c r="G151" s="153"/>
      <c r="H151" s="153"/>
      <c r="I151" s="153" t="s">
        <v>1690</v>
      </c>
      <c r="J151" s="153"/>
      <c r="K151" s="153"/>
      <c r="M151" s="9" t="s">
        <v>1753</v>
      </c>
      <c r="N151" s="9" t="s">
        <v>1754</v>
      </c>
      <c r="O151" s="9">
        <v>25</v>
      </c>
      <c r="S151" s="9" t="s">
        <v>1690</v>
      </c>
    </row>
    <row r="152" spans="1:20" ht="24" customHeight="1">
      <c r="A152" s="186" t="s">
        <v>1401</v>
      </c>
      <c r="B152" s="187" t="s">
        <v>1401</v>
      </c>
      <c r="C152" s="153" t="s">
        <v>1755</v>
      </c>
      <c r="D152" s="153" t="s">
        <v>1756</v>
      </c>
      <c r="E152" s="153">
        <v>15</v>
      </c>
      <c r="F152" s="153"/>
      <c r="G152" s="153"/>
      <c r="H152" s="153"/>
      <c r="I152" s="153" t="s">
        <v>1696</v>
      </c>
      <c r="J152" s="153"/>
      <c r="K152" s="153"/>
      <c r="M152" s="9" t="s">
        <v>1755</v>
      </c>
      <c r="N152" s="9" t="s">
        <v>1756</v>
      </c>
      <c r="O152" s="9">
        <v>15</v>
      </c>
      <c r="S152" s="9" t="s">
        <v>1696</v>
      </c>
    </row>
    <row r="153" spans="1:20" ht="24" customHeight="1">
      <c r="A153" s="186" t="s">
        <v>1401</v>
      </c>
      <c r="B153" s="187" t="s">
        <v>1401</v>
      </c>
      <c r="C153" s="153" t="s">
        <v>1757</v>
      </c>
      <c r="D153" s="153" t="s">
        <v>1758</v>
      </c>
      <c r="E153" s="153">
        <v>10</v>
      </c>
      <c r="F153" s="153"/>
      <c r="G153" s="153"/>
      <c r="H153" s="153"/>
      <c r="I153" s="153" t="s">
        <v>1711</v>
      </c>
      <c r="J153" s="153"/>
      <c r="K153" s="153"/>
      <c r="M153" s="9" t="s">
        <v>1757</v>
      </c>
      <c r="N153" s="9" t="s">
        <v>1758</v>
      </c>
      <c r="O153" s="9">
        <v>10</v>
      </c>
      <c r="S153" s="9" t="s">
        <v>1711</v>
      </c>
    </row>
    <row r="154" spans="1:20" ht="24" customHeight="1">
      <c r="A154" s="186" t="s">
        <v>184</v>
      </c>
      <c r="B154" s="187" t="s">
        <v>1759</v>
      </c>
      <c r="C154" s="153" t="s">
        <v>1760</v>
      </c>
      <c r="D154" s="153" t="s">
        <v>1761</v>
      </c>
      <c r="E154" s="153">
        <v>20</v>
      </c>
      <c r="F154" s="153"/>
      <c r="G154" s="153"/>
      <c r="H154" s="153"/>
      <c r="I154" s="153"/>
      <c r="J154" s="153" t="s">
        <v>1762</v>
      </c>
      <c r="K154" s="153"/>
      <c r="M154" s="9" t="s">
        <v>1760</v>
      </c>
      <c r="N154" s="9" t="s">
        <v>1761</v>
      </c>
      <c r="O154" s="9">
        <v>20</v>
      </c>
      <c r="T154" s="9" t="s">
        <v>1762</v>
      </c>
    </row>
    <row r="155" spans="1:20" ht="24" customHeight="1">
      <c r="A155" s="186" t="s">
        <v>184</v>
      </c>
      <c r="B155" s="187" t="s">
        <v>1759</v>
      </c>
      <c r="C155" s="153" t="s">
        <v>1763</v>
      </c>
      <c r="D155" s="153" t="s">
        <v>1764</v>
      </c>
      <c r="E155" s="153">
        <v>20</v>
      </c>
      <c r="F155" s="153"/>
      <c r="G155" s="153"/>
      <c r="H155" s="153"/>
      <c r="I155" s="153"/>
      <c r="J155" s="153" t="s">
        <v>1765</v>
      </c>
      <c r="K155" s="153"/>
      <c r="M155" s="9" t="s">
        <v>1763</v>
      </c>
      <c r="N155" s="9" t="s">
        <v>1764</v>
      </c>
      <c r="O155" s="9">
        <v>20</v>
      </c>
      <c r="T155" s="9" t="s">
        <v>1765</v>
      </c>
    </row>
    <row r="156" spans="1:20" ht="24" customHeight="1">
      <c r="A156" s="186" t="s">
        <v>184</v>
      </c>
      <c r="B156" s="187" t="s">
        <v>1759</v>
      </c>
      <c r="C156" s="153" t="s">
        <v>1010</v>
      </c>
      <c r="D156" s="153" t="s">
        <v>1766</v>
      </c>
      <c r="E156" s="153">
        <v>15</v>
      </c>
      <c r="F156" s="153"/>
      <c r="G156" s="153"/>
      <c r="H156" s="153"/>
      <c r="I156" s="153"/>
      <c r="J156" s="153" t="s">
        <v>1767</v>
      </c>
      <c r="K156" s="153"/>
      <c r="M156" s="9" t="s">
        <v>1010</v>
      </c>
      <c r="N156" s="9" t="s">
        <v>1766</v>
      </c>
      <c r="O156" s="9">
        <v>15</v>
      </c>
      <c r="T156" s="9" t="s">
        <v>1767</v>
      </c>
    </row>
    <row r="157" spans="1:20" ht="24" customHeight="1">
      <c r="A157" s="186" t="s">
        <v>184</v>
      </c>
      <c r="B157" s="187" t="s">
        <v>1759</v>
      </c>
      <c r="C157" s="153" t="s">
        <v>1768</v>
      </c>
      <c r="D157" s="153" t="s">
        <v>1769</v>
      </c>
      <c r="E157" s="153">
        <v>35</v>
      </c>
      <c r="F157" s="153"/>
      <c r="G157" s="153"/>
      <c r="H157" s="153"/>
      <c r="I157" s="153"/>
      <c r="J157" s="153" t="s">
        <v>1762</v>
      </c>
      <c r="K157" s="153"/>
      <c r="M157" s="9" t="s">
        <v>1768</v>
      </c>
      <c r="N157" s="9" t="s">
        <v>1769</v>
      </c>
      <c r="O157" s="9">
        <v>35</v>
      </c>
      <c r="T157" s="9" t="s">
        <v>1762</v>
      </c>
    </row>
    <row r="158" spans="1:20" ht="24" customHeight="1">
      <c r="A158" s="186" t="s">
        <v>184</v>
      </c>
      <c r="B158" s="187" t="s">
        <v>1759</v>
      </c>
      <c r="C158" s="153" t="s">
        <v>1770</v>
      </c>
      <c r="D158" s="153" t="s">
        <v>1771</v>
      </c>
      <c r="E158" s="153">
        <v>20</v>
      </c>
      <c r="F158" s="153"/>
      <c r="G158" s="153"/>
      <c r="H158" s="153"/>
      <c r="I158" s="153"/>
      <c r="J158" s="153" t="s">
        <v>1767</v>
      </c>
      <c r="K158" s="153"/>
      <c r="M158" s="9" t="s">
        <v>1770</v>
      </c>
      <c r="N158" s="9" t="s">
        <v>1771</v>
      </c>
      <c r="O158" s="9">
        <v>20</v>
      </c>
      <c r="T158" s="9" t="s">
        <v>1767</v>
      </c>
    </row>
    <row r="159" spans="1:20" ht="24" customHeight="1">
      <c r="A159" s="186" t="s">
        <v>184</v>
      </c>
      <c r="B159" s="187" t="s">
        <v>1759</v>
      </c>
      <c r="C159" s="153" t="s">
        <v>1772</v>
      </c>
      <c r="D159" s="153" t="s">
        <v>1773</v>
      </c>
      <c r="E159" s="153">
        <v>20</v>
      </c>
      <c r="F159" s="153"/>
      <c r="G159" s="153"/>
      <c r="H159" s="153"/>
      <c r="I159" s="153"/>
      <c r="J159" s="153" t="s">
        <v>1774</v>
      </c>
      <c r="K159" s="153"/>
      <c r="M159" s="9" t="s">
        <v>1772</v>
      </c>
      <c r="N159" s="9" t="s">
        <v>1773</v>
      </c>
      <c r="O159" s="9">
        <v>20</v>
      </c>
      <c r="T159" s="9" t="s">
        <v>1774</v>
      </c>
    </row>
    <row r="160" spans="1:20" ht="24" customHeight="1">
      <c r="A160" s="186" t="s">
        <v>184</v>
      </c>
      <c r="B160" s="187" t="s">
        <v>1759</v>
      </c>
      <c r="C160" s="153" t="s">
        <v>1775</v>
      </c>
      <c r="D160" s="153" t="s">
        <v>1776</v>
      </c>
      <c r="E160" s="153">
        <v>35</v>
      </c>
      <c r="F160" s="153"/>
      <c r="G160" s="153"/>
      <c r="H160" s="153"/>
      <c r="I160" s="153"/>
      <c r="J160" s="153" t="s">
        <v>1777</v>
      </c>
      <c r="K160" s="153"/>
      <c r="M160" s="9" t="s">
        <v>1775</v>
      </c>
      <c r="N160" s="9" t="s">
        <v>1776</v>
      </c>
      <c r="O160" s="9">
        <v>35</v>
      </c>
      <c r="T160" s="9" t="s">
        <v>1777</v>
      </c>
    </row>
    <row r="161" spans="1:20" ht="24" customHeight="1">
      <c r="A161" s="186" t="s">
        <v>184</v>
      </c>
      <c r="B161" s="187" t="s">
        <v>1759</v>
      </c>
      <c r="C161" s="153" t="s">
        <v>1778</v>
      </c>
      <c r="D161" s="153" t="s">
        <v>1779</v>
      </c>
      <c r="E161" s="153">
        <v>35</v>
      </c>
      <c r="F161" s="153"/>
      <c r="G161" s="153"/>
      <c r="H161" s="153"/>
      <c r="I161" s="153"/>
      <c r="J161" s="153" t="s">
        <v>1780</v>
      </c>
      <c r="K161" s="153"/>
      <c r="M161" s="9" t="s">
        <v>1778</v>
      </c>
      <c r="N161" s="9" t="s">
        <v>1779</v>
      </c>
      <c r="O161" s="9">
        <v>35</v>
      </c>
      <c r="T161" s="9" t="s">
        <v>1780</v>
      </c>
    </row>
    <row r="162" spans="1:20" ht="24" customHeight="1">
      <c r="A162" s="186" t="s">
        <v>184</v>
      </c>
      <c r="B162" s="187" t="s">
        <v>1759</v>
      </c>
      <c r="C162" s="153" t="s">
        <v>1781</v>
      </c>
      <c r="D162" s="153" t="s">
        <v>1782</v>
      </c>
      <c r="E162" s="153">
        <v>25</v>
      </c>
      <c r="F162" s="153"/>
      <c r="G162" s="153"/>
      <c r="H162" s="153"/>
      <c r="I162" s="153"/>
      <c r="J162" s="153" t="s">
        <v>1783</v>
      </c>
      <c r="K162" s="153"/>
      <c r="M162" s="9" t="s">
        <v>1781</v>
      </c>
      <c r="N162" s="9" t="s">
        <v>1782</v>
      </c>
      <c r="O162" s="9">
        <v>25</v>
      </c>
      <c r="T162" s="9" t="s">
        <v>1783</v>
      </c>
    </row>
    <row r="163" spans="1:20" ht="24" customHeight="1">
      <c r="A163" s="186" t="s">
        <v>184</v>
      </c>
      <c r="B163" s="187" t="s">
        <v>1759</v>
      </c>
      <c r="C163" s="153" t="s">
        <v>1784</v>
      </c>
      <c r="D163" s="153" t="s">
        <v>1785</v>
      </c>
      <c r="E163" s="153">
        <v>25</v>
      </c>
      <c r="F163" s="153"/>
      <c r="G163" s="153"/>
      <c r="H163" s="153"/>
      <c r="I163" s="153"/>
      <c r="J163" s="153" t="s">
        <v>1762</v>
      </c>
      <c r="K163" s="153"/>
      <c r="M163" s="9" t="s">
        <v>1784</v>
      </c>
      <c r="N163" s="9" t="s">
        <v>1785</v>
      </c>
      <c r="O163" s="9">
        <v>25</v>
      </c>
      <c r="T163" s="9" t="s">
        <v>1762</v>
      </c>
    </row>
    <row r="164" spans="1:20" ht="24" customHeight="1">
      <c r="A164" s="186" t="s">
        <v>184</v>
      </c>
      <c r="B164" s="187" t="s">
        <v>1786</v>
      </c>
      <c r="C164" s="153" t="s">
        <v>1787</v>
      </c>
      <c r="D164" s="153" t="s">
        <v>1788</v>
      </c>
      <c r="E164" s="153" t="s">
        <v>1789</v>
      </c>
      <c r="F164" s="153"/>
      <c r="G164" s="153"/>
      <c r="H164" s="153"/>
      <c r="I164" s="153"/>
      <c r="J164" s="153" t="s">
        <v>1767</v>
      </c>
      <c r="K164" s="153" t="s">
        <v>1790</v>
      </c>
      <c r="M164" s="9" t="s">
        <v>1787</v>
      </c>
      <c r="N164" s="9" t="s">
        <v>1788</v>
      </c>
      <c r="O164" s="9" t="s">
        <v>1789</v>
      </c>
      <c r="T164" s="9" t="s">
        <v>1767</v>
      </c>
    </row>
    <row r="165" spans="1:20" ht="24" customHeight="1">
      <c r="A165" s="186" t="s">
        <v>184</v>
      </c>
      <c r="B165" s="187" t="s">
        <v>1786</v>
      </c>
      <c r="C165" s="153" t="s">
        <v>1791</v>
      </c>
      <c r="D165" s="153" t="s">
        <v>1792</v>
      </c>
      <c r="E165" s="153"/>
      <c r="F165" s="153"/>
      <c r="G165" s="153"/>
      <c r="H165" s="153"/>
      <c r="I165" s="153"/>
      <c r="J165" s="153" t="s">
        <v>1793</v>
      </c>
      <c r="K165" s="153" t="s">
        <v>1790</v>
      </c>
      <c r="M165" s="9" t="s">
        <v>1791</v>
      </c>
      <c r="N165" s="9" t="s">
        <v>1792</v>
      </c>
      <c r="T165" s="9" t="s">
        <v>1793</v>
      </c>
    </row>
    <row r="166" spans="1:20" ht="24" customHeight="1">
      <c r="A166" s="186" t="s">
        <v>184</v>
      </c>
      <c r="B166" s="187" t="s">
        <v>1786</v>
      </c>
      <c r="C166" s="153" t="s">
        <v>1794</v>
      </c>
      <c r="D166" s="153" t="s">
        <v>1795</v>
      </c>
      <c r="E166" s="153"/>
      <c r="F166" s="153"/>
      <c r="G166" s="153"/>
      <c r="H166" s="153"/>
      <c r="I166" s="153"/>
      <c r="J166" s="153" t="s">
        <v>1793</v>
      </c>
      <c r="K166" s="153" t="s">
        <v>1790</v>
      </c>
      <c r="M166" s="9" t="s">
        <v>1794</v>
      </c>
      <c r="N166" s="9" t="s">
        <v>1795</v>
      </c>
      <c r="T166" s="9" t="s">
        <v>1793</v>
      </c>
    </row>
    <row r="167" spans="1:20" ht="24" customHeight="1">
      <c r="A167" s="186" t="s">
        <v>184</v>
      </c>
      <c r="B167" s="187" t="s">
        <v>1786</v>
      </c>
      <c r="C167" s="153" t="s">
        <v>1796</v>
      </c>
      <c r="D167" s="153" t="s">
        <v>1797</v>
      </c>
      <c r="E167" s="153"/>
      <c r="F167" s="153"/>
      <c r="G167" s="153"/>
      <c r="H167" s="153"/>
      <c r="I167" s="153"/>
      <c r="J167" s="153" t="s">
        <v>1793</v>
      </c>
      <c r="K167" s="153" t="s">
        <v>1790</v>
      </c>
      <c r="M167" s="9" t="s">
        <v>1796</v>
      </c>
      <c r="N167" s="9" t="s">
        <v>1797</v>
      </c>
      <c r="T167" s="9" t="s">
        <v>1793</v>
      </c>
    </row>
    <row r="168" spans="1:20" ht="24" customHeight="1">
      <c r="A168" s="186" t="s">
        <v>184</v>
      </c>
      <c r="B168" s="187" t="s">
        <v>1786</v>
      </c>
      <c r="C168" s="153" t="s">
        <v>1798</v>
      </c>
      <c r="D168" s="153" t="s">
        <v>1799</v>
      </c>
      <c r="E168" s="153"/>
      <c r="F168" s="153"/>
      <c r="G168" s="153"/>
      <c r="H168" s="153"/>
      <c r="I168" s="153"/>
      <c r="J168" s="153" t="s">
        <v>1793</v>
      </c>
      <c r="K168" s="153" t="s">
        <v>1790</v>
      </c>
      <c r="M168" s="9" t="s">
        <v>1798</v>
      </c>
      <c r="N168" s="9" t="s">
        <v>1799</v>
      </c>
      <c r="T168" s="9" t="s">
        <v>1793</v>
      </c>
    </row>
    <row r="169" spans="1:20" ht="24" customHeight="1">
      <c r="A169" s="186" t="s">
        <v>184</v>
      </c>
      <c r="B169" s="187" t="s">
        <v>1786</v>
      </c>
      <c r="C169" s="153" t="s">
        <v>1800</v>
      </c>
      <c r="D169" s="153" t="s">
        <v>1801</v>
      </c>
      <c r="E169" s="153"/>
      <c r="F169" s="153"/>
      <c r="G169" s="153"/>
      <c r="H169" s="153"/>
      <c r="I169" s="153"/>
      <c r="J169" s="153" t="s">
        <v>1767</v>
      </c>
      <c r="K169" s="153" t="s">
        <v>1790</v>
      </c>
      <c r="M169" s="9" t="s">
        <v>1800</v>
      </c>
      <c r="N169" s="9" t="s">
        <v>1801</v>
      </c>
      <c r="T169" s="9" t="s">
        <v>1767</v>
      </c>
    </row>
    <row r="170" spans="1:20" ht="24" customHeight="1">
      <c r="A170" s="186" t="s">
        <v>184</v>
      </c>
      <c r="B170" s="187" t="s">
        <v>1786</v>
      </c>
      <c r="C170" s="153" t="s">
        <v>1802</v>
      </c>
      <c r="D170" s="153" t="s">
        <v>1803</v>
      </c>
      <c r="E170" s="153"/>
      <c r="F170" s="153"/>
      <c r="G170" s="153"/>
      <c r="H170" s="153"/>
      <c r="I170" s="153"/>
      <c r="J170" s="153" t="s">
        <v>1762</v>
      </c>
      <c r="K170" s="153" t="s">
        <v>1790</v>
      </c>
      <c r="M170" s="9" t="s">
        <v>1802</v>
      </c>
      <c r="N170" s="9" t="s">
        <v>1803</v>
      </c>
      <c r="T170" s="9" t="s">
        <v>1762</v>
      </c>
    </row>
    <row r="171" spans="1:20" ht="24" customHeight="1">
      <c r="A171" s="186" t="s">
        <v>184</v>
      </c>
      <c r="B171" s="187" t="s">
        <v>1786</v>
      </c>
      <c r="C171" s="153" t="s">
        <v>1804</v>
      </c>
      <c r="D171" s="153" t="s">
        <v>1805</v>
      </c>
      <c r="E171" s="153"/>
      <c r="F171" s="153"/>
      <c r="G171" s="153"/>
      <c r="H171" s="153"/>
      <c r="I171" s="153"/>
      <c r="J171" s="153" t="s">
        <v>1793</v>
      </c>
      <c r="K171" s="153" t="s">
        <v>1790</v>
      </c>
      <c r="M171" s="9" t="s">
        <v>1804</v>
      </c>
      <c r="N171" s="9" t="s">
        <v>1805</v>
      </c>
      <c r="T171" s="9" t="s">
        <v>1793</v>
      </c>
    </row>
    <row r="172" spans="1:20" ht="24" customHeight="1">
      <c r="A172" s="186" t="s">
        <v>184</v>
      </c>
      <c r="B172" s="187" t="s">
        <v>1786</v>
      </c>
      <c r="C172" s="153" t="s">
        <v>1806</v>
      </c>
      <c r="D172" s="153" t="s">
        <v>1807</v>
      </c>
      <c r="E172" s="153"/>
      <c r="F172" s="153"/>
      <c r="G172" s="153"/>
      <c r="H172" s="153"/>
      <c r="I172" s="153"/>
      <c r="J172" s="153" t="s">
        <v>1808</v>
      </c>
      <c r="K172" s="153" t="s">
        <v>1790</v>
      </c>
      <c r="M172" s="9" t="s">
        <v>1806</v>
      </c>
      <c r="N172" s="9" t="s">
        <v>1807</v>
      </c>
      <c r="T172" s="9" t="s">
        <v>1808</v>
      </c>
    </row>
    <row r="173" spans="1:20" ht="24" customHeight="1">
      <c r="A173" s="186" t="s">
        <v>184</v>
      </c>
      <c r="B173" s="187" t="s">
        <v>1786</v>
      </c>
      <c r="C173" s="153" t="s">
        <v>1809</v>
      </c>
      <c r="D173" s="153" t="s">
        <v>1810</v>
      </c>
      <c r="E173" s="153"/>
      <c r="F173" s="153"/>
      <c r="G173" s="153"/>
      <c r="H173" s="153"/>
      <c r="I173" s="153"/>
      <c r="J173" s="153" t="s">
        <v>1811</v>
      </c>
      <c r="K173" s="153" t="s">
        <v>1790</v>
      </c>
      <c r="M173" s="9" t="s">
        <v>1809</v>
      </c>
      <c r="N173" s="9" t="s">
        <v>1810</v>
      </c>
      <c r="T173" s="9" t="s">
        <v>1811</v>
      </c>
    </row>
    <row r="174" spans="1:20" ht="24" customHeight="1">
      <c r="A174" s="186" t="s">
        <v>184</v>
      </c>
      <c r="B174" s="187" t="s">
        <v>1812</v>
      </c>
      <c r="C174" s="153" t="s">
        <v>1813</v>
      </c>
      <c r="D174" s="153" t="s">
        <v>1814</v>
      </c>
      <c r="E174" s="153">
        <v>50</v>
      </c>
      <c r="F174" s="153"/>
      <c r="G174" s="153"/>
      <c r="H174" s="153"/>
      <c r="I174" s="153"/>
      <c r="J174" s="153" t="s">
        <v>1815</v>
      </c>
      <c r="K174" s="153"/>
      <c r="M174" s="9" t="s">
        <v>1813</v>
      </c>
      <c r="N174" s="9" t="s">
        <v>1814</v>
      </c>
      <c r="O174" s="9">
        <v>50</v>
      </c>
      <c r="T174" s="9" t="s">
        <v>1815</v>
      </c>
    </row>
    <row r="175" spans="1:20" ht="24" customHeight="1">
      <c r="A175" s="186" t="s">
        <v>184</v>
      </c>
      <c r="B175" s="187" t="s">
        <v>1812</v>
      </c>
      <c r="C175" s="153" t="s">
        <v>1816</v>
      </c>
      <c r="D175" s="153" t="s">
        <v>1817</v>
      </c>
      <c r="E175" s="153">
        <v>50</v>
      </c>
      <c r="F175" s="153"/>
      <c r="G175" s="153"/>
      <c r="H175" s="153"/>
      <c r="I175" s="153"/>
      <c r="J175" s="153" t="s">
        <v>1815</v>
      </c>
      <c r="K175" s="153"/>
      <c r="M175" s="9" t="s">
        <v>1816</v>
      </c>
      <c r="N175" s="9" t="s">
        <v>1817</v>
      </c>
      <c r="O175" s="9">
        <v>50</v>
      </c>
      <c r="T175" s="9" t="s">
        <v>1815</v>
      </c>
    </row>
    <row r="176" spans="1:20" ht="24" customHeight="1">
      <c r="A176" s="186" t="s">
        <v>184</v>
      </c>
      <c r="B176" s="187" t="s">
        <v>1812</v>
      </c>
      <c r="C176" s="153" t="s">
        <v>1818</v>
      </c>
      <c r="D176" s="153" t="s">
        <v>1819</v>
      </c>
      <c r="E176" s="153">
        <v>50</v>
      </c>
      <c r="F176" s="153"/>
      <c r="G176" s="153"/>
      <c r="H176" s="153"/>
      <c r="I176" s="153"/>
      <c r="J176" s="153" t="s">
        <v>1815</v>
      </c>
      <c r="K176" s="153"/>
      <c r="M176" s="9" t="s">
        <v>1818</v>
      </c>
      <c r="N176" s="9" t="s">
        <v>1819</v>
      </c>
      <c r="O176" s="9">
        <v>50</v>
      </c>
      <c r="T176" s="9" t="s">
        <v>1815</v>
      </c>
    </row>
    <row r="177" spans="1:20" ht="24" customHeight="1">
      <c r="A177" s="186" t="s">
        <v>184</v>
      </c>
      <c r="B177" s="187" t="s">
        <v>1812</v>
      </c>
      <c r="C177" s="153" t="s">
        <v>1820</v>
      </c>
      <c r="D177" s="153" t="s">
        <v>1821</v>
      </c>
      <c r="E177" s="153">
        <v>50</v>
      </c>
      <c r="F177" s="153"/>
      <c r="G177" s="153"/>
      <c r="H177" s="153"/>
      <c r="I177" s="153"/>
      <c r="J177" s="153" t="s">
        <v>1815</v>
      </c>
      <c r="K177" s="153"/>
      <c r="M177" s="9" t="s">
        <v>1820</v>
      </c>
      <c r="N177" s="9" t="s">
        <v>1821</v>
      </c>
      <c r="O177" s="9">
        <v>50</v>
      </c>
      <c r="T177" s="9" t="s">
        <v>1815</v>
      </c>
    </row>
    <row r="178" spans="1:20" ht="24" customHeight="1">
      <c r="A178" s="186" t="s">
        <v>184</v>
      </c>
      <c r="B178" s="187" t="s">
        <v>1812</v>
      </c>
      <c r="C178" s="153" t="s">
        <v>1822</v>
      </c>
      <c r="D178" s="153" t="s">
        <v>1823</v>
      </c>
      <c r="E178" s="153">
        <v>50</v>
      </c>
      <c r="F178" s="153"/>
      <c r="G178" s="153"/>
      <c r="H178" s="153"/>
      <c r="I178" s="153"/>
      <c r="J178" s="153" t="s">
        <v>1815</v>
      </c>
      <c r="K178" s="153"/>
      <c r="M178" s="9" t="s">
        <v>1822</v>
      </c>
      <c r="N178" s="9" t="s">
        <v>1823</v>
      </c>
      <c r="O178" s="9">
        <v>50</v>
      </c>
      <c r="T178" s="9" t="s">
        <v>1815</v>
      </c>
    </row>
    <row r="179" spans="1:20" ht="24" customHeight="1">
      <c r="A179" s="186" t="s">
        <v>184</v>
      </c>
      <c r="B179" s="187" t="s">
        <v>1812</v>
      </c>
      <c r="C179" s="153" t="s">
        <v>1824</v>
      </c>
      <c r="D179" s="153" t="s">
        <v>1825</v>
      </c>
      <c r="E179" s="153">
        <v>40</v>
      </c>
      <c r="F179" s="153"/>
      <c r="G179" s="153"/>
      <c r="H179" s="153"/>
      <c r="I179" s="153"/>
      <c r="J179" s="153" t="s">
        <v>1826</v>
      </c>
      <c r="K179" s="153"/>
      <c r="M179" s="9" t="s">
        <v>1824</v>
      </c>
      <c r="N179" s="9" t="s">
        <v>1825</v>
      </c>
      <c r="O179" s="9">
        <v>40</v>
      </c>
      <c r="T179" s="9" t="s">
        <v>1826</v>
      </c>
    </row>
    <row r="180" spans="1:20" ht="24" customHeight="1">
      <c r="A180" s="186" t="s">
        <v>184</v>
      </c>
      <c r="B180" s="187" t="s">
        <v>1812</v>
      </c>
      <c r="C180" s="153" t="s">
        <v>1827</v>
      </c>
      <c r="D180" s="153" t="s">
        <v>1828</v>
      </c>
      <c r="E180" s="153">
        <v>40</v>
      </c>
      <c r="F180" s="153"/>
      <c r="G180" s="153"/>
      <c r="H180" s="153"/>
      <c r="I180" s="153"/>
      <c r="J180" s="153" t="s">
        <v>1826</v>
      </c>
      <c r="K180" s="153"/>
      <c r="M180" s="9" t="s">
        <v>1827</v>
      </c>
      <c r="N180" s="9" t="s">
        <v>1828</v>
      </c>
      <c r="O180" s="9">
        <v>40</v>
      </c>
      <c r="T180" s="9" t="s">
        <v>1826</v>
      </c>
    </row>
    <row r="181" spans="1:20" ht="24" customHeight="1">
      <c r="A181" s="186" t="s">
        <v>184</v>
      </c>
      <c r="B181" s="187" t="s">
        <v>1812</v>
      </c>
      <c r="C181" s="153" t="s">
        <v>1829</v>
      </c>
      <c r="D181" s="153" t="s">
        <v>1830</v>
      </c>
      <c r="E181" s="153">
        <v>40</v>
      </c>
      <c r="F181" s="153"/>
      <c r="G181" s="153"/>
      <c r="H181" s="153"/>
      <c r="I181" s="153"/>
      <c r="J181" s="153" t="s">
        <v>1826</v>
      </c>
      <c r="K181" s="153"/>
      <c r="M181" s="9" t="s">
        <v>1829</v>
      </c>
      <c r="N181" s="9" t="s">
        <v>1830</v>
      </c>
      <c r="O181" s="9">
        <v>40</v>
      </c>
      <c r="T181" s="9" t="s">
        <v>1826</v>
      </c>
    </row>
    <row r="182" spans="1:20" ht="24" customHeight="1">
      <c r="A182" s="186" t="s">
        <v>184</v>
      </c>
      <c r="B182" s="187" t="s">
        <v>1812</v>
      </c>
      <c r="C182" s="153" t="s">
        <v>1831</v>
      </c>
      <c r="D182" s="153" t="s">
        <v>1832</v>
      </c>
      <c r="E182" s="153">
        <v>40</v>
      </c>
      <c r="F182" s="153"/>
      <c r="G182" s="153"/>
      <c r="H182" s="153"/>
      <c r="I182" s="153"/>
      <c r="J182" s="153" t="s">
        <v>1826</v>
      </c>
      <c r="K182" s="153"/>
      <c r="M182" s="9" t="s">
        <v>1831</v>
      </c>
      <c r="N182" s="9" t="s">
        <v>1832</v>
      </c>
      <c r="O182" s="9">
        <v>40</v>
      </c>
      <c r="T182" s="9" t="s">
        <v>1826</v>
      </c>
    </row>
    <row r="183" spans="1:20" ht="24" customHeight="1">
      <c r="A183" s="186" t="s">
        <v>184</v>
      </c>
      <c r="B183" s="187" t="s">
        <v>1812</v>
      </c>
      <c r="C183" s="153" t="s">
        <v>1833</v>
      </c>
      <c r="D183" s="153" t="s">
        <v>1834</v>
      </c>
      <c r="E183" s="153">
        <v>40</v>
      </c>
      <c r="F183" s="153"/>
      <c r="G183" s="153"/>
      <c r="H183" s="153"/>
      <c r="I183" s="153"/>
      <c r="J183" s="153" t="s">
        <v>1826</v>
      </c>
      <c r="K183" s="153"/>
      <c r="M183" s="9" t="s">
        <v>1833</v>
      </c>
      <c r="N183" s="9" t="s">
        <v>1834</v>
      </c>
      <c r="O183" s="9">
        <v>40</v>
      </c>
      <c r="T183" s="9" t="s">
        <v>1826</v>
      </c>
    </row>
    <row r="184" spans="1:20" ht="24" customHeight="1">
      <c r="A184" s="186" t="s">
        <v>184</v>
      </c>
      <c r="B184" s="187" t="s">
        <v>1812</v>
      </c>
      <c r="C184" s="153" t="s">
        <v>1835</v>
      </c>
      <c r="D184" s="153" t="s">
        <v>1836</v>
      </c>
      <c r="E184" s="153">
        <v>30</v>
      </c>
      <c r="F184" s="153"/>
      <c r="G184" s="153"/>
      <c r="H184" s="153"/>
      <c r="I184" s="153"/>
      <c r="J184" s="153" t="s">
        <v>1780</v>
      </c>
      <c r="K184" s="153"/>
      <c r="M184" s="9" t="s">
        <v>1835</v>
      </c>
      <c r="N184" s="9" t="s">
        <v>1836</v>
      </c>
      <c r="O184" s="9">
        <v>30</v>
      </c>
      <c r="T184" s="9" t="s">
        <v>1780</v>
      </c>
    </row>
    <row r="185" spans="1:20" ht="24" customHeight="1">
      <c r="A185" s="186" t="s">
        <v>184</v>
      </c>
      <c r="B185" s="187" t="s">
        <v>1812</v>
      </c>
      <c r="C185" s="153" t="s">
        <v>1837</v>
      </c>
      <c r="D185" s="153" t="s">
        <v>1838</v>
      </c>
      <c r="E185" s="153">
        <v>30</v>
      </c>
      <c r="F185" s="153"/>
      <c r="G185" s="153"/>
      <c r="H185" s="153"/>
      <c r="I185" s="153"/>
      <c r="J185" s="153" t="s">
        <v>1780</v>
      </c>
      <c r="K185" s="153"/>
      <c r="M185" s="9" t="s">
        <v>1837</v>
      </c>
      <c r="N185" s="9" t="s">
        <v>1838</v>
      </c>
      <c r="O185" s="9">
        <v>30</v>
      </c>
      <c r="T185" s="9" t="s">
        <v>1780</v>
      </c>
    </row>
    <row r="186" spans="1:20" ht="24" customHeight="1">
      <c r="A186" s="186" t="s">
        <v>184</v>
      </c>
      <c r="B186" s="187" t="s">
        <v>1812</v>
      </c>
      <c r="C186" s="153" t="s">
        <v>1839</v>
      </c>
      <c r="D186" s="153" t="s">
        <v>1840</v>
      </c>
      <c r="E186" s="153">
        <v>30</v>
      </c>
      <c r="F186" s="153"/>
      <c r="G186" s="153"/>
      <c r="H186" s="153"/>
      <c r="I186" s="153"/>
      <c r="J186" s="153" t="s">
        <v>1780</v>
      </c>
      <c r="K186" s="153"/>
      <c r="M186" s="9" t="s">
        <v>1839</v>
      </c>
      <c r="N186" s="9" t="s">
        <v>1840</v>
      </c>
      <c r="O186" s="9">
        <v>30</v>
      </c>
      <c r="T186" s="9" t="s">
        <v>1780</v>
      </c>
    </row>
    <row r="187" spans="1:20" ht="24" customHeight="1">
      <c r="A187" s="186" t="s">
        <v>184</v>
      </c>
      <c r="B187" s="187" t="s">
        <v>1812</v>
      </c>
      <c r="C187" s="153" t="s">
        <v>1841</v>
      </c>
      <c r="D187" s="153" t="s">
        <v>1842</v>
      </c>
      <c r="E187" s="153">
        <v>30</v>
      </c>
      <c r="F187" s="153"/>
      <c r="G187" s="153"/>
      <c r="H187" s="153"/>
      <c r="I187" s="153"/>
      <c r="J187" s="153" t="s">
        <v>1780</v>
      </c>
      <c r="K187" s="153"/>
      <c r="M187" s="9" t="s">
        <v>1841</v>
      </c>
      <c r="N187" s="9" t="s">
        <v>1842</v>
      </c>
      <c r="O187" s="9">
        <v>30</v>
      </c>
      <c r="T187" s="9" t="s">
        <v>1780</v>
      </c>
    </row>
    <row r="188" spans="1:20" ht="24" customHeight="1">
      <c r="A188" s="186" t="s">
        <v>184</v>
      </c>
      <c r="B188" s="187" t="s">
        <v>1812</v>
      </c>
      <c r="C188" s="153" t="s">
        <v>1843</v>
      </c>
      <c r="D188" s="153" t="s">
        <v>1844</v>
      </c>
      <c r="E188" s="153">
        <v>30</v>
      </c>
      <c r="F188" s="153"/>
      <c r="G188" s="153"/>
      <c r="H188" s="153"/>
      <c r="I188" s="153"/>
      <c r="J188" s="153" t="s">
        <v>1780</v>
      </c>
      <c r="K188" s="153"/>
      <c r="M188" s="9" t="s">
        <v>1843</v>
      </c>
      <c r="N188" s="9" t="s">
        <v>1844</v>
      </c>
      <c r="O188" s="9">
        <v>30</v>
      </c>
      <c r="T188" s="9" t="s">
        <v>1780</v>
      </c>
    </row>
    <row r="189" spans="1:20" ht="24" customHeight="1">
      <c r="A189" s="186" t="s">
        <v>184</v>
      </c>
      <c r="B189" s="187" t="s">
        <v>1812</v>
      </c>
      <c r="C189" s="153" t="s">
        <v>1845</v>
      </c>
      <c r="D189" s="153" t="s">
        <v>1846</v>
      </c>
      <c r="E189" s="153">
        <v>20</v>
      </c>
      <c r="F189" s="153"/>
      <c r="G189" s="153"/>
      <c r="H189" s="153"/>
      <c r="I189" s="153"/>
      <c r="J189" s="153" t="s">
        <v>1762</v>
      </c>
      <c r="K189" s="153"/>
      <c r="M189" s="9" t="s">
        <v>1845</v>
      </c>
      <c r="N189" s="9" t="s">
        <v>1846</v>
      </c>
      <c r="O189" s="9">
        <v>20</v>
      </c>
      <c r="T189" s="9" t="s">
        <v>1762</v>
      </c>
    </row>
    <row r="190" spans="1:20" ht="24" customHeight="1">
      <c r="A190" s="186" t="s">
        <v>184</v>
      </c>
      <c r="B190" s="187" t="s">
        <v>1812</v>
      </c>
      <c r="C190" s="153" t="s">
        <v>1847</v>
      </c>
      <c r="D190" s="153" t="s">
        <v>1848</v>
      </c>
      <c r="E190" s="153">
        <v>20</v>
      </c>
      <c r="F190" s="153"/>
      <c r="G190" s="153"/>
      <c r="H190" s="153"/>
      <c r="I190" s="153"/>
      <c r="J190" s="153" t="s">
        <v>1762</v>
      </c>
      <c r="K190" s="153"/>
      <c r="M190" s="9" t="s">
        <v>1847</v>
      </c>
      <c r="N190" s="9" t="s">
        <v>1848</v>
      </c>
      <c r="O190" s="9">
        <v>20</v>
      </c>
      <c r="T190" s="9" t="s">
        <v>1762</v>
      </c>
    </row>
    <row r="191" spans="1:20" ht="24" customHeight="1">
      <c r="A191" s="186" t="s">
        <v>184</v>
      </c>
      <c r="B191" s="187" t="s">
        <v>1812</v>
      </c>
      <c r="C191" s="153" t="s">
        <v>1849</v>
      </c>
      <c r="D191" s="153" t="s">
        <v>1850</v>
      </c>
      <c r="E191" s="153">
        <v>20</v>
      </c>
      <c r="F191" s="153"/>
      <c r="G191" s="153"/>
      <c r="H191" s="153"/>
      <c r="I191" s="153"/>
      <c r="J191" s="153" t="s">
        <v>1762</v>
      </c>
      <c r="K191" s="153"/>
      <c r="M191" s="9" t="s">
        <v>1849</v>
      </c>
      <c r="N191" s="9" t="s">
        <v>1850</v>
      </c>
      <c r="O191" s="9">
        <v>20</v>
      </c>
      <c r="T191" s="9" t="s">
        <v>1762</v>
      </c>
    </row>
    <row r="192" spans="1:20" ht="24" customHeight="1">
      <c r="A192" s="186" t="s">
        <v>184</v>
      </c>
      <c r="B192" s="187" t="s">
        <v>1812</v>
      </c>
      <c r="C192" s="153" t="s">
        <v>1851</v>
      </c>
      <c r="D192" s="153" t="s">
        <v>1852</v>
      </c>
      <c r="E192" s="153">
        <v>20</v>
      </c>
      <c r="F192" s="153"/>
      <c r="G192" s="153"/>
      <c r="H192" s="153"/>
      <c r="I192" s="153"/>
      <c r="J192" s="153" t="s">
        <v>1762</v>
      </c>
      <c r="K192" s="153"/>
      <c r="M192" s="9" t="s">
        <v>1851</v>
      </c>
      <c r="N192" s="9" t="s">
        <v>1852</v>
      </c>
      <c r="O192" s="9">
        <v>20</v>
      </c>
      <c r="T192" s="9" t="s">
        <v>1762</v>
      </c>
    </row>
    <row r="193" spans="1:20" ht="24" customHeight="1">
      <c r="A193" s="186" t="s">
        <v>184</v>
      </c>
      <c r="B193" s="187" t="s">
        <v>1812</v>
      </c>
      <c r="C193" s="153" t="s">
        <v>1853</v>
      </c>
      <c r="D193" s="153" t="s">
        <v>1854</v>
      </c>
      <c r="E193" s="153">
        <v>20</v>
      </c>
      <c r="F193" s="153"/>
      <c r="G193" s="153"/>
      <c r="H193" s="153"/>
      <c r="I193" s="153"/>
      <c r="J193" s="153" t="s">
        <v>1762</v>
      </c>
      <c r="K193" s="153"/>
      <c r="M193" s="9" t="s">
        <v>1853</v>
      </c>
      <c r="N193" s="9" t="s">
        <v>1854</v>
      </c>
      <c r="O193" s="9">
        <v>20</v>
      </c>
      <c r="T193" s="9" t="s">
        <v>1762</v>
      </c>
    </row>
    <row r="194" spans="1:20" ht="24" customHeight="1">
      <c r="A194" s="186" t="s">
        <v>184</v>
      </c>
      <c r="B194" s="187" t="s">
        <v>1812</v>
      </c>
      <c r="C194" s="153" t="s">
        <v>1855</v>
      </c>
      <c r="D194" s="153" t="s">
        <v>1856</v>
      </c>
      <c r="E194" s="153">
        <v>5</v>
      </c>
      <c r="F194" s="153"/>
      <c r="G194" s="153"/>
      <c r="H194" s="153"/>
      <c r="I194" s="153"/>
      <c r="J194" s="153" t="s">
        <v>1767</v>
      </c>
      <c r="K194" s="153"/>
      <c r="M194" s="9" t="s">
        <v>1855</v>
      </c>
      <c r="N194" s="9" t="s">
        <v>1856</v>
      </c>
      <c r="O194" s="9">
        <v>5</v>
      </c>
      <c r="T194" s="9" t="s">
        <v>1767</v>
      </c>
    </row>
    <row r="195" spans="1:20" ht="24" customHeight="1">
      <c r="A195" s="186" t="s">
        <v>184</v>
      </c>
      <c r="B195" s="187" t="s">
        <v>1812</v>
      </c>
      <c r="C195" s="153" t="s">
        <v>1857</v>
      </c>
      <c r="D195" s="153" t="s">
        <v>1858</v>
      </c>
      <c r="E195" s="153">
        <v>5</v>
      </c>
      <c r="F195" s="153"/>
      <c r="G195" s="153"/>
      <c r="H195" s="153"/>
      <c r="I195" s="153"/>
      <c r="J195" s="153" t="s">
        <v>1767</v>
      </c>
      <c r="K195" s="153"/>
      <c r="M195" s="9" t="s">
        <v>1857</v>
      </c>
      <c r="N195" s="9" t="s">
        <v>1858</v>
      </c>
      <c r="O195" s="9">
        <v>5</v>
      </c>
      <c r="T195" s="9" t="s">
        <v>1767</v>
      </c>
    </row>
    <row r="196" spans="1:20" ht="24" customHeight="1">
      <c r="A196" s="186" t="s">
        <v>184</v>
      </c>
      <c r="B196" s="187" t="s">
        <v>1812</v>
      </c>
      <c r="C196" s="153" t="s">
        <v>1859</v>
      </c>
      <c r="D196" s="153" t="s">
        <v>1860</v>
      </c>
      <c r="E196" s="153">
        <v>5</v>
      </c>
      <c r="F196" s="153"/>
      <c r="G196" s="153"/>
      <c r="H196" s="153"/>
      <c r="I196" s="153"/>
      <c r="J196" s="153" t="s">
        <v>1767</v>
      </c>
      <c r="K196" s="153"/>
      <c r="M196" s="9" t="s">
        <v>1859</v>
      </c>
      <c r="N196" s="9" t="s">
        <v>1860</v>
      </c>
      <c r="O196" s="9">
        <v>5</v>
      </c>
      <c r="T196" s="9" t="s">
        <v>1767</v>
      </c>
    </row>
    <row r="197" spans="1:20" ht="24" customHeight="1">
      <c r="A197" s="186" t="s">
        <v>184</v>
      </c>
      <c r="B197" s="187" t="s">
        <v>1812</v>
      </c>
      <c r="C197" s="153" t="s">
        <v>1861</v>
      </c>
      <c r="D197" s="153" t="s">
        <v>1862</v>
      </c>
      <c r="E197" s="153">
        <v>5</v>
      </c>
      <c r="F197" s="153"/>
      <c r="G197" s="153"/>
      <c r="H197" s="153"/>
      <c r="I197" s="153"/>
      <c r="J197" s="153" t="s">
        <v>1767</v>
      </c>
      <c r="K197" s="153"/>
      <c r="M197" s="9" t="s">
        <v>1861</v>
      </c>
      <c r="N197" s="9" t="s">
        <v>1862</v>
      </c>
      <c r="O197" s="9">
        <v>5</v>
      </c>
      <c r="T197" s="9" t="s">
        <v>1767</v>
      </c>
    </row>
    <row r="198" spans="1:20" ht="24" customHeight="1">
      <c r="A198" s="186" t="s">
        <v>184</v>
      </c>
      <c r="B198" s="187" t="s">
        <v>1812</v>
      </c>
      <c r="C198" s="153" t="s">
        <v>1863</v>
      </c>
      <c r="D198" s="153" t="s">
        <v>1864</v>
      </c>
      <c r="E198" s="153">
        <v>5</v>
      </c>
      <c r="F198" s="153"/>
      <c r="G198" s="153"/>
      <c r="H198" s="153"/>
      <c r="I198" s="153"/>
      <c r="J198" s="153" t="s">
        <v>1767</v>
      </c>
      <c r="K198" s="153"/>
      <c r="M198" s="9" t="s">
        <v>1863</v>
      </c>
      <c r="N198" s="9" t="s">
        <v>1864</v>
      </c>
      <c r="O198" s="9">
        <v>5</v>
      </c>
      <c r="T198" s="9" t="s">
        <v>1767</v>
      </c>
    </row>
    <row r="199" spans="1:20" ht="24" customHeight="1">
      <c r="A199" s="186" t="s">
        <v>184</v>
      </c>
      <c r="B199" s="187" t="s">
        <v>1812</v>
      </c>
      <c r="C199" s="153" t="s">
        <v>1865</v>
      </c>
      <c r="D199" s="153" t="s">
        <v>1866</v>
      </c>
      <c r="E199" s="153">
        <v>5</v>
      </c>
      <c r="F199" s="153"/>
      <c r="G199" s="153"/>
      <c r="H199" s="153"/>
      <c r="I199" s="153"/>
      <c r="J199" s="153" t="s">
        <v>1767</v>
      </c>
      <c r="K199" s="153"/>
      <c r="M199" s="9" t="s">
        <v>1865</v>
      </c>
      <c r="N199" s="9" t="s">
        <v>1866</v>
      </c>
      <c r="O199" s="9">
        <v>5</v>
      </c>
      <c r="T199" s="9" t="s">
        <v>1767</v>
      </c>
    </row>
    <row r="200" spans="1:20" ht="24" customHeight="1">
      <c r="A200" s="186" t="s">
        <v>184</v>
      </c>
      <c r="B200" s="187" t="s">
        <v>1812</v>
      </c>
      <c r="C200" s="153" t="s">
        <v>1867</v>
      </c>
      <c r="D200" s="153" t="s">
        <v>1868</v>
      </c>
      <c r="E200" s="153">
        <v>5</v>
      </c>
      <c r="F200" s="153"/>
      <c r="G200" s="153"/>
      <c r="H200" s="153"/>
      <c r="I200" s="153"/>
      <c r="J200" s="153" t="s">
        <v>1767</v>
      </c>
      <c r="K200" s="153"/>
      <c r="M200" s="9" t="s">
        <v>1867</v>
      </c>
      <c r="N200" s="9" t="s">
        <v>1868</v>
      </c>
      <c r="O200" s="9">
        <v>5</v>
      </c>
      <c r="T200" s="9" t="s">
        <v>1767</v>
      </c>
    </row>
    <row r="201" spans="1:20" ht="24" customHeight="1">
      <c r="A201" s="186" t="s">
        <v>184</v>
      </c>
      <c r="B201" s="187" t="s">
        <v>1812</v>
      </c>
      <c r="C201" s="153" t="s">
        <v>1869</v>
      </c>
      <c r="D201" s="153" t="s">
        <v>1870</v>
      </c>
      <c r="E201" s="153">
        <v>5</v>
      </c>
      <c r="F201" s="153"/>
      <c r="G201" s="153"/>
      <c r="H201" s="153"/>
      <c r="I201" s="153"/>
      <c r="J201" s="153" t="s">
        <v>1767</v>
      </c>
      <c r="K201" s="153"/>
      <c r="M201" s="9" t="s">
        <v>1869</v>
      </c>
      <c r="N201" s="9" t="s">
        <v>1870</v>
      </c>
      <c r="O201" s="9">
        <v>5</v>
      </c>
      <c r="T201" s="9" t="s">
        <v>1767</v>
      </c>
    </row>
    <row r="202" spans="1:20" ht="24" customHeight="1">
      <c r="A202" s="186" t="s">
        <v>184</v>
      </c>
      <c r="B202" s="187" t="s">
        <v>1812</v>
      </c>
      <c r="C202" s="153" t="s">
        <v>1871</v>
      </c>
      <c r="D202" s="153" t="s">
        <v>1872</v>
      </c>
      <c r="E202" s="153">
        <v>5</v>
      </c>
      <c r="F202" s="153"/>
      <c r="G202" s="153"/>
      <c r="H202" s="153"/>
      <c r="I202" s="153"/>
      <c r="J202" s="153" t="s">
        <v>1767</v>
      </c>
      <c r="K202" s="153"/>
      <c r="M202" s="9" t="s">
        <v>1871</v>
      </c>
      <c r="N202" s="9" t="s">
        <v>1872</v>
      </c>
      <c r="O202" s="9">
        <v>5</v>
      </c>
      <c r="T202" s="9" t="s">
        <v>1767</v>
      </c>
    </row>
    <row r="203" spans="1:20" ht="24" customHeight="1">
      <c r="A203" s="186" t="s">
        <v>184</v>
      </c>
      <c r="B203" s="187" t="s">
        <v>1812</v>
      </c>
      <c r="C203" s="153" t="s">
        <v>1873</v>
      </c>
      <c r="D203" s="153" t="s">
        <v>1874</v>
      </c>
      <c r="E203" s="153">
        <v>5</v>
      </c>
      <c r="F203" s="153"/>
      <c r="G203" s="153"/>
      <c r="H203" s="153"/>
      <c r="I203" s="153"/>
      <c r="J203" s="153" t="s">
        <v>1767</v>
      </c>
      <c r="K203" s="153"/>
      <c r="M203" s="9" t="s">
        <v>1873</v>
      </c>
      <c r="N203" s="9" t="s">
        <v>1874</v>
      </c>
      <c r="O203" s="9">
        <v>5</v>
      </c>
      <c r="T203" s="9" t="s">
        <v>1767</v>
      </c>
    </row>
    <row r="204" spans="1:20" ht="24" customHeight="1">
      <c r="A204" s="186" t="s">
        <v>184</v>
      </c>
      <c r="B204" s="187" t="s">
        <v>1875</v>
      </c>
      <c r="C204" s="153" t="s">
        <v>1876</v>
      </c>
      <c r="D204" s="153" t="s">
        <v>1877</v>
      </c>
      <c r="E204" s="153">
        <v>50</v>
      </c>
      <c r="F204" s="153"/>
      <c r="G204" s="153"/>
      <c r="H204" s="153"/>
      <c r="I204" s="153"/>
      <c r="J204" s="153" t="s">
        <v>1878</v>
      </c>
      <c r="K204" s="153"/>
      <c r="M204" s="9" t="s">
        <v>1876</v>
      </c>
      <c r="N204" s="9" t="s">
        <v>1877</v>
      </c>
      <c r="O204" s="9">
        <v>50</v>
      </c>
      <c r="T204" s="9" t="s">
        <v>1878</v>
      </c>
    </row>
    <row r="205" spans="1:20" ht="24" customHeight="1">
      <c r="A205" s="186" t="s">
        <v>184</v>
      </c>
      <c r="B205" s="187" t="s">
        <v>1875</v>
      </c>
      <c r="C205" s="153" t="s">
        <v>1879</v>
      </c>
      <c r="D205" s="153" t="s">
        <v>1880</v>
      </c>
      <c r="E205" s="153">
        <v>50</v>
      </c>
      <c r="F205" s="153"/>
      <c r="G205" s="153"/>
      <c r="H205" s="153"/>
      <c r="I205" s="153"/>
      <c r="J205" s="153" t="s">
        <v>1878</v>
      </c>
      <c r="K205" s="153"/>
      <c r="M205" s="9" t="s">
        <v>1879</v>
      </c>
      <c r="N205" s="9" t="s">
        <v>1880</v>
      </c>
      <c r="O205" s="9">
        <v>50</v>
      </c>
      <c r="T205" s="9" t="s">
        <v>1878</v>
      </c>
    </row>
    <row r="206" spans="1:20" ht="24" customHeight="1">
      <c r="A206" s="186" t="s">
        <v>184</v>
      </c>
      <c r="B206" s="187" t="s">
        <v>1875</v>
      </c>
      <c r="C206" s="153" t="s">
        <v>1881</v>
      </c>
      <c r="D206" s="153" t="s">
        <v>1882</v>
      </c>
      <c r="E206" s="153">
        <v>50</v>
      </c>
      <c r="F206" s="153"/>
      <c r="G206" s="153"/>
      <c r="H206" s="153"/>
      <c r="I206" s="153"/>
      <c r="J206" s="153" t="s">
        <v>1878</v>
      </c>
      <c r="K206" s="153"/>
      <c r="M206" s="9" t="s">
        <v>1881</v>
      </c>
      <c r="N206" s="9" t="s">
        <v>1882</v>
      </c>
      <c r="O206" s="9">
        <v>50</v>
      </c>
      <c r="T206" s="9" t="s">
        <v>1878</v>
      </c>
    </row>
    <row r="207" spans="1:20" ht="24" customHeight="1">
      <c r="A207" s="186" t="s">
        <v>184</v>
      </c>
      <c r="B207" s="187" t="s">
        <v>1875</v>
      </c>
      <c r="C207" s="153" t="s">
        <v>1883</v>
      </c>
      <c r="D207" s="153" t="s">
        <v>1884</v>
      </c>
      <c r="E207" s="153">
        <v>50</v>
      </c>
      <c r="F207" s="153"/>
      <c r="G207" s="153"/>
      <c r="H207" s="153"/>
      <c r="I207" s="153"/>
      <c r="J207" s="153" t="s">
        <v>1878</v>
      </c>
      <c r="K207" s="153"/>
      <c r="M207" s="9" t="s">
        <v>1883</v>
      </c>
      <c r="N207" s="9" t="s">
        <v>1884</v>
      </c>
      <c r="O207" s="9">
        <v>50</v>
      </c>
      <c r="T207" s="9" t="s">
        <v>1878</v>
      </c>
    </row>
    <row r="208" spans="1:20" ht="24" customHeight="1">
      <c r="A208" s="186" t="s">
        <v>184</v>
      </c>
      <c r="B208" s="187" t="s">
        <v>1875</v>
      </c>
      <c r="C208" s="153" t="s">
        <v>1885</v>
      </c>
      <c r="D208" s="153" t="s">
        <v>1886</v>
      </c>
      <c r="E208" s="153">
        <v>50</v>
      </c>
      <c r="F208" s="153"/>
      <c r="G208" s="153"/>
      <c r="H208" s="153"/>
      <c r="I208" s="153"/>
      <c r="J208" s="153" t="s">
        <v>1878</v>
      </c>
      <c r="K208" s="153"/>
      <c r="M208" s="9" t="s">
        <v>1885</v>
      </c>
      <c r="N208" s="9" t="s">
        <v>1886</v>
      </c>
      <c r="O208" s="9">
        <v>50</v>
      </c>
      <c r="T208" s="9" t="s">
        <v>1878</v>
      </c>
    </row>
    <row r="209" spans="1:20" ht="24" customHeight="1">
      <c r="A209" s="186" t="s">
        <v>184</v>
      </c>
      <c r="B209" s="187" t="s">
        <v>1875</v>
      </c>
      <c r="C209" s="153" t="s">
        <v>1887</v>
      </c>
      <c r="D209" s="153" t="s">
        <v>1888</v>
      </c>
      <c r="E209" s="153">
        <v>40</v>
      </c>
      <c r="F209" s="153"/>
      <c r="G209" s="153"/>
      <c r="H209" s="153"/>
      <c r="I209" s="153"/>
      <c r="J209" s="153" t="s">
        <v>1889</v>
      </c>
      <c r="K209" s="153"/>
      <c r="M209" s="9" t="s">
        <v>1887</v>
      </c>
      <c r="N209" s="9" t="s">
        <v>1888</v>
      </c>
      <c r="O209" s="9">
        <v>40</v>
      </c>
      <c r="T209" s="9" t="s">
        <v>1889</v>
      </c>
    </row>
    <row r="210" spans="1:20" ht="24" customHeight="1">
      <c r="A210" s="186" t="s">
        <v>184</v>
      </c>
      <c r="B210" s="187" t="s">
        <v>1875</v>
      </c>
      <c r="C210" s="153" t="s">
        <v>1890</v>
      </c>
      <c r="D210" s="153" t="s">
        <v>1891</v>
      </c>
      <c r="E210" s="153">
        <v>40</v>
      </c>
      <c r="F210" s="153"/>
      <c r="G210" s="153"/>
      <c r="H210" s="153"/>
      <c r="I210" s="153"/>
      <c r="J210" s="153" t="s">
        <v>1889</v>
      </c>
      <c r="K210" s="153"/>
      <c r="M210" s="9" t="s">
        <v>1890</v>
      </c>
      <c r="N210" s="9" t="s">
        <v>1891</v>
      </c>
      <c r="O210" s="9">
        <v>40</v>
      </c>
      <c r="T210" s="9" t="s">
        <v>1889</v>
      </c>
    </row>
    <row r="211" spans="1:20" ht="24" customHeight="1">
      <c r="A211" s="186" t="s">
        <v>184</v>
      </c>
      <c r="B211" s="187" t="s">
        <v>1875</v>
      </c>
      <c r="C211" s="153" t="s">
        <v>1892</v>
      </c>
      <c r="D211" s="153" t="s">
        <v>1893</v>
      </c>
      <c r="E211" s="153">
        <v>40</v>
      </c>
      <c r="F211" s="153"/>
      <c r="G211" s="153"/>
      <c r="H211" s="153"/>
      <c r="I211" s="153"/>
      <c r="J211" s="153" t="s">
        <v>1889</v>
      </c>
      <c r="K211" s="153"/>
      <c r="M211" s="9" t="s">
        <v>1892</v>
      </c>
      <c r="N211" s="9" t="s">
        <v>1893</v>
      </c>
      <c r="O211" s="9">
        <v>40</v>
      </c>
      <c r="T211" s="9" t="s">
        <v>1889</v>
      </c>
    </row>
    <row r="212" spans="1:20" ht="24" customHeight="1">
      <c r="A212" s="186" t="s">
        <v>184</v>
      </c>
      <c r="B212" s="187" t="s">
        <v>1875</v>
      </c>
      <c r="C212" s="153" t="s">
        <v>1894</v>
      </c>
      <c r="D212" s="153" t="s">
        <v>1895</v>
      </c>
      <c r="E212" s="153">
        <v>40</v>
      </c>
      <c r="F212" s="153"/>
      <c r="G212" s="153"/>
      <c r="H212" s="153"/>
      <c r="I212" s="153"/>
      <c r="J212" s="153" t="s">
        <v>1889</v>
      </c>
      <c r="K212" s="153"/>
      <c r="M212" s="9" t="s">
        <v>1894</v>
      </c>
      <c r="N212" s="9" t="s">
        <v>1895</v>
      </c>
      <c r="O212" s="9">
        <v>40</v>
      </c>
      <c r="T212" s="9" t="s">
        <v>1889</v>
      </c>
    </row>
    <row r="213" spans="1:20" ht="24" customHeight="1">
      <c r="A213" s="186" t="s">
        <v>184</v>
      </c>
      <c r="B213" s="187" t="s">
        <v>1875</v>
      </c>
      <c r="C213" s="153" t="s">
        <v>1896</v>
      </c>
      <c r="D213" s="153" t="s">
        <v>1897</v>
      </c>
      <c r="E213" s="153">
        <v>40</v>
      </c>
      <c r="F213" s="153"/>
      <c r="G213" s="153"/>
      <c r="H213" s="153"/>
      <c r="I213" s="153"/>
      <c r="J213" s="153" t="s">
        <v>1889</v>
      </c>
      <c r="K213" s="153"/>
      <c r="M213" s="9" t="s">
        <v>1896</v>
      </c>
      <c r="N213" s="9" t="s">
        <v>1897</v>
      </c>
      <c r="O213" s="9">
        <v>40</v>
      </c>
      <c r="T213" s="9" t="s">
        <v>1889</v>
      </c>
    </row>
    <row r="214" spans="1:20" ht="24" customHeight="1">
      <c r="A214" s="186" t="s">
        <v>184</v>
      </c>
      <c r="B214" s="187" t="s">
        <v>1875</v>
      </c>
      <c r="C214" s="153" t="s">
        <v>1898</v>
      </c>
      <c r="D214" s="153" t="s">
        <v>1899</v>
      </c>
      <c r="E214" s="153">
        <v>30</v>
      </c>
      <c r="F214" s="153"/>
      <c r="G214" s="153"/>
      <c r="H214" s="153"/>
      <c r="I214" s="153"/>
      <c r="J214" s="153" t="s">
        <v>1900</v>
      </c>
      <c r="K214" s="153"/>
      <c r="M214" s="9" t="s">
        <v>1898</v>
      </c>
      <c r="N214" s="9" t="s">
        <v>1899</v>
      </c>
      <c r="O214" s="9">
        <v>30</v>
      </c>
      <c r="T214" s="9" t="s">
        <v>1900</v>
      </c>
    </row>
    <row r="215" spans="1:20" ht="24" customHeight="1">
      <c r="A215" s="186" t="s">
        <v>184</v>
      </c>
      <c r="B215" s="187" t="s">
        <v>1875</v>
      </c>
      <c r="C215" s="153" t="s">
        <v>1901</v>
      </c>
      <c r="D215" s="153" t="s">
        <v>1902</v>
      </c>
      <c r="E215" s="153">
        <v>30</v>
      </c>
      <c r="F215" s="153"/>
      <c r="G215" s="153"/>
      <c r="H215" s="153"/>
      <c r="I215" s="153"/>
      <c r="J215" s="153" t="s">
        <v>1900</v>
      </c>
      <c r="K215" s="153"/>
      <c r="M215" s="9" t="s">
        <v>1901</v>
      </c>
      <c r="N215" s="9" t="s">
        <v>1902</v>
      </c>
      <c r="O215" s="9">
        <v>30</v>
      </c>
      <c r="T215" s="9" t="s">
        <v>1900</v>
      </c>
    </row>
    <row r="216" spans="1:20" ht="24" customHeight="1">
      <c r="A216" s="186" t="s">
        <v>184</v>
      </c>
      <c r="B216" s="187" t="s">
        <v>1875</v>
      </c>
      <c r="C216" s="153" t="s">
        <v>1903</v>
      </c>
      <c r="D216" s="153" t="s">
        <v>1904</v>
      </c>
      <c r="E216" s="153">
        <v>30</v>
      </c>
      <c r="F216" s="153"/>
      <c r="G216" s="153"/>
      <c r="H216" s="153"/>
      <c r="I216" s="153"/>
      <c r="J216" s="153" t="s">
        <v>1900</v>
      </c>
      <c r="K216" s="153"/>
      <c r="M216" s="9" t="s">
        <v>1903</v>
      </c>
      <c r="N216" s="9" t="s">
        <v>1904</v>
      </c>
      <c r="O216" s="9">
        <v>30</v>
      </c>
      <c r="T216" s="9" t="s">
        <v>1900</v>
      </c>
    </row>
    <row r="217" spans="1:20" ht="24" customHeight="1">
      <c r="A217" s="186" t="s">
        <v>184</v>
      </c>
      <c r="B217" s="187" t="s">
        <v>1875</v>
      </c>
      <c r="C217" s="153" t="s">
        <v>1905</v>
      </c>
      <c r="D217" s="153" t="s">
        <v>1906</v>
      </c>
      <c r="E217" s="153">
        <v>30</v>
      </c>
      <c r="F217" s="153"/>
      <c r="G217" s="153"/>
      <c r="H217" s="153"/>
      <c r="I217" s="153"/>
      <c r="J217" s="153" t="s">
        <v>1900</v>
      </c>
      <c r="K217" s="153"/>
      <c r="M217" s="9" t="s">
        <v>1905</v>
      </c>
      <c r="N217" s="9" t="s">
        <v>1906</v>
      </c>
      <c r="O217" s="9">
        <v>30</v>
      </c>
      <c r="T217" s="9" t="s">
        <v>1900</v>
      </c>
    </row>
    <row r="218" spans="1:20" ht="24" customHeight="1">
      <c r="A218" s="186" t="s">
        <v>184</v>
      </c>
      <c r="B218" s="187" t="s">
        <v>1875</v>
      </c>
      <c r="C218" s="153" t="s">
        <v>1907</v>
      </c>
      <c r="D218" s="153" t="s">
        <v>1908</v>
      </c>
      <c r="E218" s="153">
        <v>30</v>
      </c>
      <c r="F218" s="153"/>
      <c r="G218" s="153"/>
      <c r="H218" s="153"/>
      <c r="I218" s="153"/>
      <c r="J218" s="153" t="s">
        <v>1900</v>
      </c>
      <c r="K218" s="153"/>
      <c r="M218" s="9" t="s">
        <v>1907</v>
      </c>
      <c r="N218" s="9" t="s">
        <v>1908</v>
      </c>
      <c r="O218" s="9">
        <v>30</v>
      </c>
      <c r="T218" s="9" t="s">
        <v>1900</v>
      </c>
    </row>
    <row r="219" spans="1:20" ht="24" customHeight="1">
      <c r="A219" s="186" t="s">
        <v>184</v>
      </c>
      <c r="B219" s="187" t="s">
        <v>1875</v>
      </c>
      <c r="C219" s="153" t="s">
        <v>1909</v>
      </c>
      <c r="D219" s="153" t="s">
        <v>1910</v>
      </c>
      <c r="E219" s="153">
        <v>20</v>
      </c>
      <c r="F219" s="153"/>
      <c r="G219" s="153"/>
      <c r="H219" s="153"/>
      <c r="I219" s="153"/>
      <c r="J219" s="153" t="s">
        <v>161</v>
      </c>
      <c r="K219" s="153"/>
      <c r="M219" s="9" t="s">
        <v>1909</v>
      </c>
      <c r="N219" s="9" t="s">
        <v>1910</v>
      </c>
      <c r="O219" s="9">
        <v>20</v>
      </c>
      <c r="T219" s="9" t="s">
        <v>161</v>
      </c>
    </row>
    <row r="220" spans="1:20" ht="24" customHeight="1">
      <c r="A220" s="186" t="s">
        <v>184</v>
      </c>
      <c r="B220" s="187" t="s">
        <v>1875</v>
      </c>
      <c r="C220" s="153" t="s">
        <v>1911</v>
      </c>
      <c r="D220" s="153" t="s">
        <v>1912</v>
      </c>
      <c r="E220" s="153">
        <v>20</v>
      </c>
      <c r="F220" s="153"/>
      <c r="G220" s="153"/>
      <c r="H220" s="153"/>
      <c r="I220" s="153"/>
      <c r="J220" s="153" t="s">
        <v>161</v>
      </c>
      <c r="K220" s="153"/>
      <c r="M220" s="9" t="s">
        <v>1911</v>
      </c>
      <c r="N220" s="9" t="s">
        <v>1912</v>
      </c>
      <c r="O220" s="9">
        <v>20</v>
      </c>
      <c r="T220" s="9" t="s">
        <v>161</v>
      </c>
    </row>
    <row r="221" spans="1:20" ht="24" customHeight="1">
      <c r="A221" s="186" t="s">
        <v>184</v>
      </c>
      <c r="B221" s="187" t="s">
        <v>1875</v>
      </c>
      <c r="C221" s="153" t="s">
        <v>1913</v>
      </c>
      <c r="D221" s="153" t="s">
        <v>1914</v>
      </c>
      <c r="E221" s="153">
        <v>20</v>
      </c>
      <c r="F221" s="153"/>
      <c r="G221" s="153"/>
      <c r="H221" s="153"/>
      <c r="I221" s="153"/>
      <c r="J221" s="153" t="s">
        <v>161</v>
      </c>
      <c r="K221" s="153"/>
      <c r="M221" s="9" t="s">
        <v>1913</v>
      </c>
      <c r="N221" s="9" t="s">
        <v>1914</v>
      </c>
      <c r="O221" s="9">
        <v>20</v>
      </c>
      <c r="T221" s="9" t="s">
        <v>161</v>
      </c>
    </row>
    <row r="222" spans="1:20" ht="24" customHeight="1">
      <c r="A222" s="186" t="s">
        <v>184</v>
      </c>
      <c r="B222" s="187" t="s">
        <v>1875</v>
      </c>
      <c r="C222" s="153" t="s">
        <v>1915</v>
      </c>
      <c r="D222" s="153" t="s">
        <v>1916</v>
      </c>
      <c r="E222" s="153">
        <v>20</v>
      </c>
      <c r="F222" s="153"/>
      <c r="G222" s="153"/>
      <c r="H222" s="153"/>
      <c r="I222" s="153"/>
      <c r="J222" s="153" t="s">
        <v>161</v>
      </c>
      <c r="K222" s="153"/>
      <c r="M222" s="9" t="s">
        <v>1915</v>
      </c>
      <c r="N222" s="9" t="s">
        <v>1916</v>
      </c>
      <c r="O222" s="9">
        <v>20</v>
      </c>
      <c r="T222" s="9" t="s">
        <v>161</v>
      </c>
    </row>
    <row r="223" spans="1:20" ht="24" customHeight="1">
      <c r="A223" s="186" t="s">
        <v>184</v>
      </c>
      <c r="B223" s="187" t="s">
        <v>1875</v>
      </c>
      <c r="C223" s="153" t="s">
        <v>1917</v>
      </c>
      <c r="D223" s="153" t="s">
        <v>1918</v>
      </c>
      <c r="E223" s="153">
        <v>20</v>
      </c>
      <c r="F223" s="153"/>
      <c r="G223" s="153"/>
      <c r="H223" s="153"/>
      <c r="I223" s="153"/>
      <c r="J223" s="153" t="s">
        <v>161</v>
      </c>
      <c r="K223" s="153"/>
      <c r="M223" s="9" t="s">
        <v>1917</v>
      </c>
      <c r="N223" s="9" t="s">
        <v>1918</v>
      </c>
      <c r="O223" s="9">
        <v>20</v>
      </c>
      <c r="T223" s="9" t="s">
        <v>161</v>
      </c>
    </row>
    <row r="224" spans="1:20" ht="24" customHeight="1">
      <c r="A224" s="186" t="s">
        <v>184</v>
      </c>
      <c r="B224" s="187" t="s">
        <v>1875</v>
      </c>
      <c r="C224" s="153" t="s">
        <v>1919</v>
      </c>
      <c r="D224" s="153" t="s">
        <v>1920</v>
      </c>
      <c r="E224" s="153">
        <v>5</v>
      </c>
      <c r="F224" s="153"/>
      <c r="G224" s="153"/>
      <c r="H224" s="153"/>
      <c r="I224" s="153"/>
      <c r="J224" s="153" t="s">
        <v>1921</v>
      </c>
      <c r="K224" s="153"/>
      <c r="M224" s="9" t="s">
        <v>1919</v>
      </c>
      <c r="N224" s="9" t="s">
        <v>1920</v>
      </c>
      <c r="O224" s="9">
        <v>5</v>
      </c>
      <c r="T224" s="9" t="s">
        <v>1921</v>
      </c>
    </row>
    <row r="225" spans="1:20" ht="24" customHeight="1">
      <c r="A225" s="186" t="s">
        <v>184</v>
      </c>
      <c r="B225" s="187" t="s">
        <v>1875</v>
      </c>
      <c r="C225" s="153" t="s">
        <v>1922</v>
      </c>
      <c r="D225" s="153" t="s">
        <v>1923</v>
      </c>
      <c r="E225" s="153">
        <v>5</v>
      </c>
      <c r="F225" s="153"/>
      <c r="G225" s="153"/>
      <c r="H225" s="153"/>
      <c r="I225" s="153"/>
      <c r="J225" s="153" t="s">
        <v>1921</v>
      </c>
      <c r="K225" s="153"/>
      <c r="M225" s="9" t="s">
        <v>1922</v>
      </c>
      <c r="N225" s="9" t="s">
        <v>1923</v>
      </c>
      <c r="O225" s="9">
        <v>5</v>
      </c>
      <c r="T225" s="9" t="s">
        <v>1921</v>
      </c>
    </row>
    <row r="226" spans="1:20" ht="24" customHeight="1">
      <c r="A226" s="186" t="s">
        <v>184</v>
      </c>
      <c r="B226" s="187" t="s">
        <v>1875</v>
      </c>
      <c r="C226" s="153" t="s">
        <v>1924</v>
      </c>
      <c r="D226" s="153" t="s">
        <v>1925</v>
      </c>
      <c r="E226" s="153">
        <v>5</v>
      </c>
      <c r="F226" s="153"/>
      <c r="G226" s="153"/>
      <c r="H226" s="153"/>
      <c r="I226" s="153"/>
      <c r="J226" s="153" t="s">
        <v>1921</v>
      </c>
      <c r="K226" s="153"/>
      <c r="M226" s="9" t="s">
        <v>1924</v>
      </c>
      <c r="N226" s="9" t="s">
        <v>1925</v>
      </c>
      <c r="O226" s="9">
        <v>5</v>
      </c>
      <c r="T226" s="9" t="s">
        <v>1921</v>
      </c>
    </row>
    <row r="227" spans="1:20" ht="24" customHeight="1">
      <c r="A227" s="186" t="s">
        <v>184</v>
      </c>
      <c r="B227" s="187" t="s">
        <v>1875</v>
      </c>
      <c r="C227" s="153" t="s">
        <v>1926</v>
      </c>
      <c r="D227" s="153" t="s">
        <v>1927</v>
      </c>
      <c r="E227" s="153">
        <v>5</v>
      </c>
      <c r="F227" s="153"/>
      <c r="G227" s="153"/>
      <c r="H227" s="153"/>
      <c r="I227" s="153"/>
      <c r="J227" s="153" t="s">
        <v>1921</v>
      </c>
      <c r="K227" s="153"/>
      <c r="M227" s="9" t="s">
        <v>1926</v>
      </c>
      <c r="N227" s="9" t="s">
        <v>1927</v>
      </c>
      <c r="O227" s="9">
        <v>5</v>
      </c>
      <c r="T227" s="9" t="s">
        <v>1921</v>
      </c>
    </row>
    <row r="228" spans="1:20" ht="24" customHeight="1">
      <c r="A228" s="186" t="s">
        <v>184</v>
      </c>
      <c r="B228" s="187" t="s">
        <v>1875</v>
      </c>
      <c r="C228" s="153" t="s">
        <v>1928</v>
      </c>
      <c r="D228" s="153" t="s">
        <v>1929</v>
      </c>
      <c r="E228" s="153">
        <v>5</v>
      </c>
      <c r="F228" s="153"/>
      <c r="G228" s="153"/>
      <c r="H228" s="153"/>
      <c r="I228" s="153"/>
      <c r="J228" s="153" t="s">
        <v>1921</v>
      </c>
      <c r="K228" s="153"/>
      <c r="M228" s="9" t="s">
        <v>1928</v>
      </c>
      <c r="N228" s="9" t="s">
        <v>1929</v>
      </c>
      <c r="O228" s="9">
        <v>5</v>
      </c>
      <c r="T228" s="9" t="s">
        <v>1921</v>
      </c>
    </row>
    <row r="229" spans="1:20" ht="24" customHeight="1">
      <c r="A229" s="186" t="s">
        <v>184</v>
      </c>
      <c r="B229" s="187" t="s">
        <v>1875</v>
      </c>
      <c r="C229" s="153" t="s">
        <v>1930</v>
      </c>
      <c r="D229" s="153" t="s">
        <v>1931</v>
      </c>
      <c r="E229" s="153">
        <v>5</v>
      </c>
      <c r="F229" s="153"/>
      <c r="G229" s="153"/>
      <c r="H229" s="153"/>
      <c r="I229" s="153"/>
      <c r="J229" s="153" t="s">
        <v>1921</v>
      </c>
      <c r="K229" s="153"/>
      <c r="M229" s="9" t="s">
        <v>1930</v>
      </c>
      <c r="N229" s="9" t="s">
        <v>1931</v>
      </c>
      <c r="O229" s="9">
        <v>5</v>
      </c>
      <c r="T229" s="9" t="s">
        <v>1921</v>
      </c>
    </row>
    <row r="230" spans="1:20" ht="24" customHeight="1">
      <c r="A230" s="186" t="s">
        <v>184</v>
      </c>
      <c r="B230" s="187" t="s">
        <v>1875</v>
      </c>
      <c r="C230" s="153" t="s">
        <v>1932</v>
      </c>
      <c r="D230" s="153" t="s">
        <v>1933</v>
      </c>
      <c r="E230" s="153">
        <v>5</v>
      </c>
      <c r="F230" s="153"/>
      <c r="G230" s="153"/>
      <c r="H230" s="153"/>
      <c r="I230" s="153"/>
      <c r="J230" s="153" t="s">
        <v>1921</v>
      </c>
      <c r="K230" s="153"/>
      <c r="M230" s="9" t="s">
        <v>1932</v>
      </c>
      <c r="N230" s="9" t="s">
        <v>1933</v>
      </c>
      <c r="O230" s="9">
        <v>5</v>
      </c>
      <c r="T230" s="9" t="s">
        <v>1921</v>
      </c>
    </row>
    <row r="231" spans="1:20" ht="24" customHeight="1">
      <c r="A231" s="186" t="s">
        <v>184</v>
      </c>
      <c r="B231" s="187" t="s">
        <v>1875</v>
      </c>
      <c r="C231" s="153" t="s">
        <v>1934</v>
      </c>
      <c r="D231" s="153" t="s">
        <v>1935</v>
      </c>
      <c r="E231" s="153">
        <v>5</v>
      </c>
      <c r="F231" s="153"/>
      <c r="G231" s="153"/>
      <c r="H231" s="153"/>
      <c r="I231" s="153"/>
      <c r="J231" s="153" t="s">
        <v>1921</v>
      </c>
      <c r="K231" s="153"/>
      <c r="M231" s="9" t="s">
        <v>1934</v>
      </c>
      <c r="N231" s="9" t="s">
        <v>1935</v>
      </c>
      <c r="O231" s="9">
        <v>5</v>
      </c>
      <c r="T231" s="9" t="s">
        <v>1921</v>
      </c>
    </row>
    <row r="232" spans="1:20" ht="24" customHeight="1">
      <c r="A232" s="186" t="s">
        <v>184</v>
      </c>
      <c r="B232" s="187" t="s">
        <v>1875</v>
      </c>
      <c r="C232" s="153" t="s">
        <v>1936</v>
      </c>
      <c r="D232" s="153" t="s">
        <v>1937</v>
      </c>
      <c r="E232" s="153">
        <v>5</v>
      </c>
      <c r="F232" s="153"/>
      <c r="G232" s="153"/>
      <c r="H232" s="153"/>
      <c r="I232" s="153"/>
      <c r="J232" s="153" t="s">
        <v>1921</v>
      </c>
      <c r="K232" s="153"/>
      <c r="M232" s="9" t="s">
        <v>1936</v>
      </c>
      <c r="N232" s="9" t="s">
        <v>1937</v>
      </c>
      <c r="O232" s="9">
        <v>5</v>
      </c>
      <c r="T232" s="9" t="s">
        <v>1921</v>
      </c>
    </row>
    <row r="233" spans="1:20" ht="24" customHeight="1">
      <c r="A233" s="186" t="s">
        <v>184</v>
      </c>
      <c r="B233" s="187" t="s">
        <v>1875</v>
      </c>
      <c r="C233" s="153" t="s">
        <v>1938</v>
      </c>
      <c r="D233" s="153" t="s">
        <v>1939</v>
      </c>
      <c r="E233" s="153">
        <v>5</v>
      </c>
      <c r="F233" s="153"/>
      <c r="G233" s="153"/>
      <c r="H233" s="153"/>
      <c r="I233" s="153"/>
      <c r="J233" s="153" t="s">
        <v>1921</v>
      </c>
      <c r="K233" s="153"/>
      <c r="M233" s="9" t="s">
        <v>1938</v>
      </c>
      <c r="N233" s="9" t="s">
        <v>1939</v>
      </c>
      <c r="O233" s="9">
        <v>5</v>
      </c>
      <c r="T233" s="9" t="s">
        <v>1921</v>
      </c>
    </row>
    <row r="234" spans="1:20" ht="24" customHeight="1">
      <c r="A234" s="186" t="s">
        <v>1940</v>
      </c>
      <c r="B234" s="187" t="s">
        <v>1941</v>
      </c>
      <c r="C234" s="153" t="s">
        <v>1942</v>
      </c>
      <c r="D234" s="153" t="s">
        <v>1943</v>
      </c>
      <c r="E234" s="153">
        <v>50</v>
      </c>
      <c r="F234" s="153"/>
      <c r="G234" s="153"/>
      <c r="H234" s="153"/>
      <c r="I234" s="153"/>
      <c r="J234" s="153"/>
      <c r="K234" s="153"/>
      <c r="M234" s="9" t="s">
        <v>1942</v>
      </c>
      <c r="N234" s="9" t="s">
        <v>1943</v>
      </c>
      <c r="O234" s="9">
        <v>50</v>
      </c>
    </row>
    <row r="235" spans="1:20" ht="24" customHeight="1">
      <c r="A235" s="186" t="s">
        <v>1940</v>
      </c>
      <c r="B235" s="187" t="s">
        <v>1941</v>
      </c>
      <c r="C235" s="153" t="s">
        <v>1944</v>
      </c>
      <c r="D235" s="153" t="s">
        <v>1945</v>
      </c>
      <c r="E235" s="153">
        <v>50</v>
      </c>
      <c r="F235" s="153"/>
      <c r="G235" s="153"/>
      <c r="H235" s="153"/>
      <c r="I235" s="153"/>
      <c r="J235" s="153"/>
      <c r="K235" s="153"/>
      <c r="M235" s="9" t="s">
        <v>1944</v>
      </c>
      <c r="N235" s="9" t="s">
        <v>1945</v>
      </c>
      <c r="O235" s="9">
        <v>50</v>
      </c>
    </row>
    <row r="236" spans="1:20" ht="24" customHeight="1">
      <c r="A236" s="186" t="s">
        <v>1940</v>
      </c>
      <c r="B236" s="187" t="s">
        <v>1941</v>
      </c>
      <c r="C236" s="153" t="s">
        <v>1946</v>
      </c>
      <c r="D236" s="153" t="s">
        <v>1947</v>
      </c>
      <c r="E236" s="153">
        <v>50</v>
      </c>
      <c r="F236" s="153"/>
      <c r="G236" s="153"/>
      <c r="H236" s="153"/>
      <c r="I236" s="153"/>
      <c r="J236" s="153"/>
      <c r="K236" s="153"/>
      <c r="M236" s="9" t="s">
        <v>1946</v>
      </c>
      <c r="N236" s="9" t="s">
        <v>1947</v>
      </c>
      <c r="O236" s="9">
        <v>50</v>
      </c>
    </row>
    <row r="237" spans="1:20" ht="24" customHeight="1">
      <c r="A237" s="186" t="s">
        <v>1940</v>
      </c>
      <c r="B237" s="187" t="s">
        <v>1941</v>
      </c>
      <c r="C237" s="153" t="s">
        <v>1948</v>
      </c>
      <c r="D237" s="153" t="s">
        <v>1949</v>
      </c>
      <c r="E237" s="153">
        <v>50</v>
      </c>
      <c r="F237" s="153"/>
      <c r="G237" s="153"/>
      <c r="H237" s="153"/>
      <c r="I237" s="153"/>
      <c r="J237" s="153"/>
      <c r="K237" s="153"/>
      <c r="M237" s="9" t="s">
        <v>1948</v>
      </c>
      <c r="N237" s="9" t="s">
        <v>1949</v>
      </c>
      <c r="O237" s="9">
        <v>50</v>
      </c>
    </row>
    <row r="238" spans="1:20" ht="24" customHeight="1">
      <c r="A238" s="186" t="s">
        <v>1940</v>
      </c>
      <c r="B238" s="187" t="s">
        <v>1941</v>
      </c>
      <c r="C238" s="153" t="s">
        <v>1950</v>
      </c>
      <c r="D238" s="153" t="s">
        <v>1951</v>
      </c>
      <c r="E238" s="153">
        <v>50</v>
      </c>
      <c r="F238" s="153"/>
      <c r="G238" s="153"/>
      <c r="H238" s="153"/>
      <c r="I238" s="153"/>
      <c r="J238" s="153"/>
      <c r="K238" s="153"/>
      <c r="M238" s="9" t="s">
        <v>1950</v>
      </c>
      <c r="N238" s="9" t="s">
        <v>1951</v>
      </c>
      <c r="O238" s="9">
        <v>50</v>
      </c>
    </row>
    <row r="239" spans="1:20" ht="24" customHeight="1">
      <c r="A239" s="186" t="s">
        <v>1940</v>
      </c>
      <c r="B239" s="187" t="s">
        <v>1941</v>
      </c>
      <c r="C239" s="153" t="s">
        <v>1952</v>
      </c>
      <c r="D239" s="153" t="s">
        <v>1953</v>
      </c>
      <c r="E239" s="153">
        <v>40</v>
      </c>
      <c r="F239" s="153"/>
      <c r="G239" s="153"/>
      <c r="H239" s="153"/>
      <c r="I239" s="153"/>
      <c r="J239" s="153"/>
      <c r="K239" s="153"/>
      <c r="M239" s="9" t="s">
        <v>1952</v>
      </c>
      <c r="N239" s="9" t="s">
        <v>1953</v>
      </c>
      <c r="O239" s="9">
        <v>40</v>
      </c>
    </row>
    <row r="240" spans="1:20" ht="24" customHeight="1">
      <c r="A240" s="186" t="s">
        <v>1940</v>
      </c>
      <c r="B240" s="187" t="s">
        <v>1941</v>
      </c>
      <c r="C240" s="153" t="s">
        <v>1954</v>
      </c>
      <c r="D240" s="153" t="s">
        <v>1955</v>
      </c>
      <c r="E240" s="153">
        <v>40</v>
      </c>
      <c r="F240" s="153"/>
      <c r="G240" s="153"/>
      <c r="H240" s="153"/>
      <c r="I240" s="153"/>
      <c r="J240" s="153"/>
      <c r="K240" s="153"/>
      <c r="M240" s="9" t="s">
        <v>1954</v>
      </c>
      <c r="N240" s="9" t="s">
        <v>1955</v>
      </c>
      <c r="O240" s="9">
        <v>40</v>
      </c>
    </row>
    <row r="241" spans="1:15" ht="24" customHeight="1">
      <c r="A241" s="186" t="s">
        <v>1940</v>
      </c>
      <c r="B241" s="187" t="s">
        <v>1941</v>
      </c>
      <c r="C241" s="153" t="s">
        <v>1956</v>
      </c>
      <c r="D241" s="153" t="s">
        <v>1957</v>
      </c>
      <c r="E241" s="153">
        <v>40</v>
      </c>
      <c r="F241" s="153"/>
      <c r="G241" s="153"/>
      <c r="H241" s="153"/>
      <c r="I241" s="153"/>
      <c r="J241" s="153"/>
      <c r="K241" s="153"/>
      <c r="M241" s="9" t="s">
        <v>1956</v>
      </c>
      <c r="N241" s="9" t="s">
        <v>1957</v>
      </c>
      <c r="O241" s="9">
        <v>40</v>
      </c>
    </row>
    <row r="242" spans="1:15" ht="24" customHeight="1">
      <c r="A242" s="186" t="s">
        <v>1940</v>
      </c>
      <c r="B242" s="187" t="s">
        <v>1941</v>
      </c>
      <c r="C242" s="153" t="s">
        <v>1958</v>
      </c>
      <c r="D242" s="153" t="s">
        <v>1959</v>
      </c>
      <c r="E242" s="153">
        <v>40</v>
      </c>
      <c r="F242" s="153"/>
      <c r="G242" s="153"/>
      <c r="H242" s="153"/>
      <c r="I242" s="153"/>
      <c r="J242" s="153"/>
      <c r="K242" s="153"/>
      <c r="M242" s="9" t="s">
        <v>1958</v>
      </c>
      <c r="N242" s="9" t="s">
        <v>1959</v>
      </c>
      <c r="O242" s="9">
        <v>40</v>
      </c>
    </row>
    <row r="243" spans="1:15" ht="24" customHeight="1">
      <c r="A243" s="186" t="s">
        <v>1940</v>
      </c>
      <c r="B243" s="187" t="s">
        <v>1941</v>
      </c>
      <c r="C243" s="153" t="s">
        <v>1960</v>
      </c>
      <c r="D243" s="153" t="s">
        <v>1961</v>
      </c>
      <c r="E243" s="153">
        <v>40</v>
      </c>
      <c r="F243" s="153"/>
      <c r="G243" s="153"/>
      <c r="H243" s="153"/>
      <c r="I243" s="153"/>
      <c r="J243" s="153"/>
      <c r="K243" s="153"/>
      <c r="M243" s="9" t="s">
        <v>1960</v>
      </c>
      <c r="N243" s="9" t="s">
        <v>1961</v>
      </c>
      <c r="O243" s="9">
        <v>40</v>
      </c>
    </row>
    <row r="244" spans="1:15" ht="24" customHeight="1">
      <c r="A244" s="186" t="s">
        <v>1940</v>
      </c>
      <c r="B244" s="187" t="s">
        <v>1941</v>
      </c>
      <c r="C244" s="153" t="s">
        <v>1962</v>
      </c>
      <c r="D244" s="153" t="s">
        <v>1963</v>
      </c>
      <c r="E244" s="153">
        <v>30</v>
      </c>
      <c r="F244" s="153"/>
      <c r="G244" s="153"/>
      <c r="H244" s="153"/>
      <c r="I244" s="153"/>
      <c r="J244" s="153"/>
      <c r="K244" s="153"/>
      <c r="M244" s="9" t="s">
        <v>1962</v>
      </c>
      <c r="N244" s="9" t="s">
        <v>1963</v>
      </c>
      <c r="O244" s="9">
        <v>30</v>
      </c>
    </row>
    <row r="245" spans="1:15" ht="24" customHeight="1">
      <c r="A245" s="186" t="s">
        <v>1940</v>
      </c>
      <c r="B245" s="187" t="s">
        <v>1941</v>
      </c>
      <c r="C245" s="153" t="s">
        <v>1964</v>
      </c>
      <c r="D245" s="153" t="s">
        <v>1965</v>
      </c>
      <c r="E245" s="153">
        <v>30</v>
      </c>
      <c r="F245" s="153"/>
      <c r="G245" s="153"/>
      <c r="H245" s="153"/>
      <c r="I245" s="153"/>
      <c r="J245" s="153"/>
      <c r="K245" s="153"/>
      <c r="M245" s="9" t="s">
        <v>1964</v>
      </c>
      <c r="N245" s="9" t="s">
        <v>1965</v>
      </c>
      <c r="O245" s="9">
        <v>30</v>
      </c>
    </row>
    <row r="246" spans="1:15" ht="24" customHeight="1">
      <c r="A246" s="186" t="s">
        <v>1940</v>
      </c>
      <c r="B246" s="187" t="s">
        <v>1941</v>
      </c>
      <c r="C246" s="153" t="s">
        <v>1966</v>
      </c>
      <c r="D246" s="153" t="s">
        <v>1967</v>
      </c>
      <c r="E246" s="153">
        <v>30</v>
      </c>
      <c r="F246" s="153"/>
      <c r="G246" s="153"/>
      <c r="H246" s="153"/>
      <c r="I246" s="153"/>
      <c r="J246" s="153"/>
      <c r="K246" s="153"/>
      <c r="M246" s="9" t="s">
        <v>1966</v>
      </c>
      <c r="N246" s="9" t="s">
        <v>1967</v>
      </c>
      <c r="O246" s="9">
        <v>30</v>
      </c>
    </row>
    <row r="247" spans="1:15" ht="24" customHeight="1">
      <c r="A247" s="186" t="s">
        <v>1940</v>
      </c>
      <c r="B247" s="187" t="s">
        <v>1941</v>
      </c>
      <c r="C247" s="153" t="s">
        <v>1968</v>
      </c>
      <c r="D247" s="153" t="s">
        <v>1969</v>
      </c>
      <c r="E247" s="153">
        <v>30</v>
      </c>
      <c r="F247" s="153"/>
      <c r="G247" s="153"/>
      <c r="H247" s="153"/>
      <c r="I247" s="153"/>
      <c r="J247" s="153"/>
      <c r="K247" s="153"/>
      <c r="M247" s="9" t="s">
        <v>1968</v>
      </c>
      <c r="N247" s="9" t="s">
        <v>1969</v>
      </c>
      <c r="O247" s="9">
        <v>30</v>
      </c>
    </row>
    <row r="248" spans="1:15" ht="24" customHeight="1">
      <c r="A248" s="186" t="s">
        <v>1940</v>
      </c>
      <c r="B248" s="187" t="s">
        <v>1941</v>
      </c>
      <c r="C248" s="153" t="s">
        <v>1970</v>
      </c>
      <c r="D248" s="153" t="s">
        <v>1971</v>
      </c>
      <c r="E248" s="153">
        <v>30</v>
      </c>
      <c r="F248" s="153"/>
      <c r="G248" s="153"/>
      <c r="H248" s="153"/>
      <c r="I248" s="153"/>
      <c r="J248" s="153"/>
      <c r="K248" s="153"/>
      <c r="M248" s="9" t="s">
        <v>1970</v>
      </c>
      <c r="N248" s="9" t="s">
        <v>1971</v>
      </c>
      <c r="O248" s="9">
        <v>30</v>
      </c>
    </row>
    <row r="249" spans="1:15" ht="24" customHeight="1">
      <c r="A249" s="186" t="s">
        <v>1940</v>
      </c>
      <c r="B249" s="187" t="s">
        <v>1941</v>
      </c>
      <c r="C249" s="153" t="s">
        <v>1972</v>
      </c>
      <c r="D249" s="153" t="s">
        <v>1973</v>
      </c>
      <c r="E249" s="153">
        <v>20</v>
      </c>
      <c r="F249" s="153"/>
      <c r="G249" s="153"/>
      <c r="H249" s="153"/>
      <c r="I249" s="153"/>
      <c r="J249" s="153"/>
      <c r="K249" s="153"/>
      <c r="M249" s="9" t="s">
        <v>1972</v>
      </c>
      <c r="N249" s="9" t="s">
        <v>1973</v>
      </c>
      <c r="O249" s="9">
        <v>20</v>
      </c>
    </row>
    <row r="250" spans="1:15" ht="24" customHeight="1">
      <c r="A250" s="186" t="s">
        <v>1940</v>
      </c>
      <c r="B250" s="187" t="s">
        <v>1941</v>
      </c>
      <c r="C250" s="153" t="s">
        <v>1974</v>
      </c>
      <c r="D250" s="153" t="s">
        <v>1975</v>
      </c>
      <c r="E250" s="153">
        <v>20</v>
      </c>
      <c r="F250" s="153"/>
      <c r="G250" s="153"/>
      <c r="H250" s="153"/>
      <c r="I250" s="153"/>
      <c r="J250" s="153"/>
      <c r="K250" s="153"/>
      <c r="M250" s="9" t="s">
        <v>1974</v>
      </c>
      <c r="N250" s="9" t="s">
        <v>1975</v>
      </c>
      <c r="O250" s="9">
        <v>20</v>
      </c>
    </row>
    <row r="251" spans="1:15" ht="24" customHeight="1">
      <c r="A251" s="186" t="s">
        <v>1940</v>
      </c>
      <c r="B251" s="187" t="s">
        <v>1941</v>
      </c>
      <c r="C251" s="153" t="s">
        <v>1976</v>
      </c>
      <c r="D251" s="153" t="s">
        <v>1977</v>
      </c>
      <c r="E251" s="153">
        <v>20</v>
      </c>
      <c r="F251" s="153"/>
      <c r="G251" s="153"/>
      <c r="H251" s="153"/>
      <c r="I251" s="153"/>
      <c r="J251" s="153"/>
      <c r="K251" s="153"/>
      <c r="M251" s="9" t="s">
        <v>1976</v>
      </c>
      <c r="N251" s="9" t="s">
        <v>1977</v>
      </c>
      <c r="O251" s="9">
        <v>20</v>
      </c>
    </row>
    <row r="252" spans="1:15" ht="24" customHeight="1">
      <c r="A252" s="186" t="s">
        <v>1940</v>
      </c>
      <c r="B252" s="187" t="s">
        <v>1941</v>
      </c>
      <c r="C252" s="153" t="s">
        <v>1978</v>
      </c>
      <c r="D252" s="153" t="s">
        <v>1979</v>
      </c>
      <c r="E252" s="153">
        <v>20</v>
      </c>
      <c r="F252" s="153"/>
      <c r="G252" s="153"/>
      <c r="H252" s="153"/>
      <c r="I252" s="153"/>
      <c r="J252" s="153"/>
      <c r="K252" s="153"/>
      <c r="M252" s="9" t="s">
        <v>1978</v>
      </c>
      <c r="N252" s="9" t="s">
        <v>1979</v>
      </c>
      <c r="O252" s="9">
        <v>20</v>
      </c>
    </row>
    <row r="253" spans="1:15" ht="24" customHeight="1">
      <c r="A253" s="186" t="s">
        <v>1940</v>
      </c>
      <c r="B253" s="187" t="s">
        <v>1941</v>
      </c>
      <c r="C253" s="153" t="s">
        <v>1980</v>
      </c>
      <c r="D253" s="153" t="s">
        <v>1981</v>
      </c>
      <c r="E253" s="153">
        <v>20</v>
      </c>
      <c r="F253" s="153"/>
      <c r="G253" s="153"/>
      <c r="H253" s="153"/>
      <c r="I253" s="153"/>
      <c r="J253" s="153"/>
      <c r="K253" s="153"/>
      <c r="M253" s="9" t="s">
        <v>1980</v>
      </c>
      <c r="N253" s="9" t="s">
        <v>1981</v>
      </c>
      <c r="O253" s="9">
        <v>20</v>
      </c>
    </row>
    <row r="254" spans="1:15" ht="24" customHeight="1">
      <c r="A254" s="186" t="s">
        <v>1940</v>
      </c>
      <c r="B254" s="187" t="s">
        <v>1941</v>
      </c>
      <c r="C254" s="153" t="s">
        <v>1982</v>
      </c>
      <c r="D254" s="153" t="s">
        <v>1983</v>
      </c>
      <c r="E254" s="153">
        <v>5</v>
      </c>
      <c r="F254" s="153"/>
      <c r="G254" s="153"/>
      <c r="H254" s="153"/>
      <c r="I254" s="153"/>
      <c r="J254" s="153"/>
      <c r="K254" s="153"/>
      <c r="M254" s="9" t="s">
        <v>1982</v>
      </c>
      <c r="N254" s="9" t="s">
        <v>1983</v>
      </c>
      <c r="O254" s="9">
        <v>5</v>
      </c>
    </row>
    <row r="255" spans="1:15" ht="24" customHeight="1">
      <c r="A255" s="186" t="s">
        <v>1940</v>
      </c>
      <c r="B255" s="187" t="s">
        <v>1941</v>
      </c>
      <c r="C255" s="153" t="s">
        <v>1984</v>
      </c>
      <c r="D255" s="153" t="s">
        <v>1985</v>
      </c>
      <c r="E255" s="153">
        <v>5</v>
      </c>
      <c r="F255" s="153"/>
      <c r="G255" s="153"/>
      <c r="H255" s="153"/>
      <c r="I255" s="153"/>
      <c r="J255" s="153"/>
      <c r="K255" s="153"/>
      <c r="M255" s="9" t="s">
        <v>1984</v>
      </c>
      <c r="N255" s="9" t="s">
        <v>1985</v>
      </c>
      <c r="O255" s="9">
        <v>5</v>
      </c>
    </row>
    <row r="256" spans="1:15" ht="24" customHeight="1">
      <c r="A256" s="186" t="s">
        <v>1940</v>
      </c>
      <c r="B256" s="187" t="s">
        <v>1986</v>
      </c>
      <c r="C256" s="153" t="s">
        <v>1987</v>
      </c>
      <c r="D256" s="153" t="s">
        <v>1988</v>
      </c>
      <c r="E256" s="153">
        <v>50</v>
      </c>
      <c r="F256" s="153"/>
      <c r="G256" s="153"/>
      <c r="H256" s="153"/>
      <c r="I256" s="153"/>
      <c r="J256" s="153"/>
      <c r="K256" s="153"/>
      <c r="M256" s="9" t="s">
        <v>1987</v>
      </c>
      <c r="N256" s="9" t="s">
        <v>1988</v>
      </c>
      <c r="O256" s="9">
        <v>50</v>
      </c>
    </row>
    <row r="257" spans="1:15" ht="24" customHeight="1">
      <c r="A257" s="186" t="s">
        <v>1940</v>
      </c>
      <c r="B257" s="187" t="s">
        <v>1986</v>
      </c>
      <c r="C257" s="153" t="s">
        <v>1989</v>
      </c>
      <c r="D257" s="153" t="s">
        <v>1990</v>
      </c>
      <c r="E257" s="153">
        <v>50</v>
      </c>
      <c r="F257" s="153"/>
      <c r="G257" s="153"/>
      <c r="H257" s="153"/>
      <c r="I257" s="153"/>
      <c r="J257" s="153"/>
      <c r="K257" s="153"/>
      <c r="M257" s="9" t="s">
        <v>1989</v>
      </c>
      <c r="N257" s="9" t="s">
        <v>1990</v>
      </c>
      <c r="O257" s="9">
        <v>50</v>
      </c>
    </row>
    <row r="258" spans="1:15" ht="24" customHeight="1">
      <c r="A258" s="186" t="s">
        <v>1940</v>
      </c>
      <c r="B258" s="187" t="s">
        <v>1986</v>
      </c>
      <c r="C258" s="153" t="s">
        <v>1991</v>
      </c>
      <c r="D258" s="153" t="s">
        <v>1992</v>
      </c>
      <c r="E258" s="153">
        <v>50</v>
      </c>
      <c r="F258" s="153"/>
      <c r="G258" s="153"/>
      <c r="H258" s="153"/>
      <c r="I258" s="153"/>
      <c r="J258" s="153"/>
      <c r="K258" s="153"/>
      <c r="M258" s="9" t="s">
        <v>1991</v>
      </c>
      <c r="N258" s="9" t="s">
        <v>1992</v>
      </c>
      <c r="O258" s="9">
        <v>50</v>
      </c>
    </row>
    <row r="259" spans="1:15" ht="24" customHeight="1">
      <c r="A259" s="186" t="s">
        <v>1940</v>
      </c>
      <c r="B259" s="187" t="s">
        <v>1986</v>
      </c>
      <c r="C259" s="153" t="s">
        <v>1993</v>
      </c>
      <c r="D259" s="153" t="s">
        <v>1994</v>
      </c>
      <c r="E259" s="153">
        <v>50</v>
      </c>
      <c r="F259" s="153"/>
      <c r="G259" s="153"/>
      <c r="H259" s="153"/>
      <c r="I259" s="153"/>
      <c r="J259" s="153"/>
      <c r="K259" s="153"/>
      <c r="M259" s="9" t="s">
        <v>1993</v>
      </c>
      <c r="N259" s="9" t="s">
        <v>1994</v>
      </c>
      <c r="O259" s="9">
        <v>50</v>
      </c>
    </row>
    <row r="260" spans="1:15" ht="24" customHeight="1">
      <c r="A260" s="186" t="s">
        <v>1940</v>
      </c>
      <c r="B260" s="187" t="s">
        <v>1986</v>
      </c>
      <c r="C260" s="153" t="s">
        <v>1995</v>
      </c>
      <c r="D260" s="153" t="s">
        <v>1996</v>
      </c>
      <c r="E260" s="153">
        <v>50</v>
      </c>
      <c r="F260" s="153"/>
      <c r="G260" s="153"/>
      <c r="H260" s="153"/>
      <c r="I260" s="153"/>
      <c r="J260" s="153"/>
      <c r="K260" s="153"/>
      <c r="M260" s="9" t="s">
        <v>1995</v>
      </c>
      <c r="N260" s="9" t="s">
        <v>1996</v>
      </c>
      <c r="O260" s="9">
        <v>50</v>
      </c>
    </row>
    <row r="261" spans="1:15" ht="24" customHeight="1">
      <c r="A261" s="186" t="s">
        <v>1940</v>
      </c>
      <c r="B261" s="187" t="s">
        <v>1986</v>
      </c>
      <c r="C261" s="153" t="s">
        <v>1997</v>
      </c>
      <c r="D261" s="153" t="s">
        <v>1998</v>
      </c>
      <c r="E261" s="153">
        <v>40</v>
      </c>
      <c r="F261" s="153"/>
      <c r="G261" s="153"/>
      <c r="H261" s="153"/>
      <c r="I261" s="153"/>
      <c r="J261" s="153"/>
      <c r="K261" s="153"/>
      <c r="M261" s="9" t="s">
        <v>1997</v>
      </c>
      <c r="N261" s="9" t="s">
        <v>1998</v>
      </c>
      <c r="O261" s="9">
        <v>40</v>
      </c>
    </row>
    <row r="262" spans="1:15" ht="24" customHeight="1">
      <c r="A262" s="186" t="s">
        <v>1940</v>
      </c>
      <c r="B262" s="187" t="s">
        <v>1986</v>
      </c>
      <c r="C262" s="153" t="s">
        <v>1999</v>
      </c>
      <c r="D262" s="153" t="s">
        <v>2000</v>
      </c>
      <c r="E262" s="153">
        <v>40</v>
      </c>
      <c r="F262" s="153"/>
      <c r="G262" s="153"/>
      <c r="H262" s="153"/>
      <c r="I262" s="153"/>
      <c r="J262" s="153"/>
      <c r="K262" s="153"/>
      <c r="M262" s="9" t="s">
        <v>1999</v>
      </c>
      <c r="N262" s="9" t="s">
        <v>2000</v>
      </c>
      <c r="O262" s="9">
        <v>40</v>
      </c>
    </row>
    <row r="263" spans="1:15" ht="24" customHeight="1">
      <c r="A263" s="186" t="s">
        <v>1940</v>
      </c>
      <c r="B263" s="187" t="s">
        <v>1986</v>
      </c>
      <c r="C263" s="153" t="s">
        <v>2001</v>
      </c>
      <c r="D263" s="153" t="s">
        <v>2002</v>
      </c>
      <c r="E263" s="153">
        <v>40</v>
      </c>
      <c r="F263" s="153"/>
      <c r="G263" s="153"/>
      <c r="H263" s="153"/>
      <c r="I263" s="153"/>
      <c r="J263" s="153"/>
      <c r="K263" s="153"/>
      <c r="M263" s="9" t="s">
        <v>2001</v>
      </c>
      <c r="N263" s="9" t="s">
        <v>2002</v>
      </c>
      <c r="O263" s="9">
        <v>40</v>
      </c>
    </row>
    <row r="264" spans="1:15" ht="24" customHeight="1">
      <c r="A264" s="186" t="s">
        <v>1940</v>
      </c>
      <c r="B264" s="187" t="s">
        <v>1986</v>
      </c>
      <c r="C264" s="153" t="s">
        <v>2003</v>
      </c>
      <c r="D264" s="153" t="s">
        <v>2004</v>
      </c>
      <c r="E264" s="153">
        <v>40</v>
      </c>
      <c r="F264" s="153"/>
      <c r="G264" s="153"/>
      <c r="H264" s="153"/>
      <c r="I264" s="153"/>
      <c r="J264" s="153"/>
      <c r="K264" s="153"/>
      <c r="M264" s="9" t="s">
        <v>2003</v>
      </c>
      <c r="N264" s="9" t="s">
        <v>2004</v>
      </c>
      <c r="O264" s="9">
        <v>40</v>
      </c>
    </row>
    <row r="265" spans="1:15" ht="24" customHeight="1">
      <c r="A265" s="186" t="s">
        <v>1940</v>
      </c>
      <c r="B265" s="187" t="s">
        <v>1986</v>
      </c>
      <c r="C265" s="153" t="s">
        <v>2005</v>
      </c>
      <c r="D265" s="153" t="s">
        <v>2006</v>
      </c>
      <c r="E265" s="153">
        <v>40</v>
      </c>
      <c r="F265" s="153"/>
      <c r="G265" s="153"/>
      <c r="H265" s="153"/>
      <c r="I265" s="153"/>
      <c r="J265" s="153"/>
      <c r="K265" s="153"/>
      <c r="M265" s="9" t="s">
        <v>2005</v>
      </c>
      <c r="N265" s="9" t="s">
        <v>2006</v>
      </c>
      <c r="O265" s="9">
        <v>40</v>
      </c>
    </row>
    <row r="266" spans="1:15" ht="24" customHeight="1">
      <c r="A266" s="186" t="s">
        <v>1940</v>
      </c>
      <c r="B266" s="187" t="s">
        <v>1986</v>
      </c>
      <c r="C266" s="153" t="s">
        <v>2007</v>
      </c>
      <c r="D266" s="153" t="s">
        <v>2008</v>
      </c>
      <c r="E266" s="153">
        <v>30</v>
      </c>
      <c r="F266" s="153"/>
      <c r="G266" s="153"/>
      <c r="H266" s="153"/>
      <c r="I266" s="153"/>
      <c r="J266" s="153"/>
      <c r="K266" s="153"/>
      <c r="M266" s="9" t="s">
        <v>2007</v>
      </c>
      <c r="N266" s="9" t="s">
        <v>2008</v>
      </c>
      <c r="O266" s="9">
        <v>30</v>
      </c>
    </row>
    <row r="267" spans="1:15" ht="24" customHeight="1">
      <c r="A267" s="186" t="s">
        <v>1940</v>
      </c>
      <c r="B267" s="187" t="s">
        <v>1986</v>
      </c>
      <c r="C267" s="153" t="s">
        <v>2009</v>
      </c>
      <c r="D267" s="153" t="s">
        <v>2010</v>
      </c>
      <c r="E267" s="153">
        <v>30</v>
      </c>
      <c r="F267" s="153"/>
      <c r="G267" s="153"/>
      <c r="H267" s="153"/>
      <c r="I267" s="153"/>
      <c r="J267" s="153"/>
      <c r="K267" s="153"/>
      <c r="M267" s="9" t="s">
        <v>2009</v>
      </c>
      <c r="N267" s="9" t="s">
        <v>2010</v>
      </c>
      <c r="O267" s="9">
        <v>30</v>
      </c>
    </row>
    <row r="268" spans="1:15" ht="24" customHeight="1">
      <c r="A268" s="186" t="s">
        <v>1940</v>
      </c>
      <c r="B268" s="187" t="s">
        <v>1986</v>
      </c>
      <c r="C268" s="153" t="s">
        <v>2011</v>
      </c>
      <c r="D268" s="153" t="s">
        <v>2012</v>
      </c>
      <c r="E268" s="153">
        <v>30</v>
      </c>
      <c r="F268" s="153"/>
      <c r="G268" s="153"/>
      <c r="H268" s="153"/>
      <c r="I268" s="153"/>
      <c r="J268" s="153"/>
      <c r="K268" s="153"/>
      <c r="M268" s="9" t="s">
        <v>2011</v>
      </c>
      <c r="N268" s="9" t="s">
        <v>2012</v>
      </c>
      <c r="O268" s="9">
        <v>30</v>
      </c>
    </row>
    <row r="269" spans="1:15" ht="24" customHeight="1">
      <c r="A269" s="186" t="s">
        <v>1940</v>
      </c>
      <c r="B269" s="187" t="s">
        <v>1986</v>
      </c>
      <c r="C269" s="153" t="s">
        <v>2013</v>
      </c>
      <c r="D269" s="153" t="s">
        <v>2014</v>
      </c>
      <c r="E269" s="153">
        <v>30</v>
      </c>
      <c r="F269" s="153"/>
      <c r="G269" s="153"/>
      <c r="H269" s="153"/>
      <c r="I269" s="153"/>
      <c r="J269" s="153"/>
      <c r="K269" s="153"/>
      <c r="M269" s="9" t="s">
        <v>2013</v>
      </c>
      <c r="N269" s="9" t="s">
        <v>2014</v>
      </c>
      <c r="O269" s="9">
        <v>30</v>
      </c>
    </row>
    <row r="270" spans="1:15" ht="24" customHeight="1">
      <c r="A270" s="186" t="s">
        <v>1940</v>
      </c>
      <c r="B270" s="187" t="s">
        <v>1986</v>
      </c>
      <c r="C270" s="153" t="s">
        <v>2015</v>
      </c>
      <c r="D270" s="153" t="s">
        <v>2016</v>
      </c>
      <c r="E270" s="153">
        <v>30</v>
      </c>
      <c r="F270" s="153"/>
      <c r="G270" s="153"/>
      <c r="H270" s="153"/>
      <c r="I270" s="153"/>
      <c r="J270" s="153"/>
      <c r="K270" s="153"/>
      <c r="M270" s="9" t="s">
        <v>2015</v>
      </c>
      <c r="N270" s="9" t="s">
        <v>2016</v>
      </c>
      <c r="O270" s="9">
        <v>30</v>
      </c>
    </row>
    <row r="271" spans="1:15" ht="24" customHeight="1">
      <c r="A271" s="186" t="s">
        <v>1940</v>
      </c>
      <c r="B271" s="187" t="s">
        <v>1986</v>
      </c>
      <c r="C271" s="153" t="s">
        <v>2017</v>
      </c>
      <c r="D271" s="153" t="s">
        <v>2018</v>
      </c>
      <c r="E271" s="153">
        <v>20</v>
      </c>
      <c r="F271" s="153"/>
      <c r="G271" s="153"/>
      <c r="H271" s="153"/>
      <c r="I271" s="153"/>
      <c r="J271" s="153"/>
      <c r="K271" s="153"/>
      <c r="M271" s="9" t="s">
        <v>2017</v>
      </c>
      <c r="N271" s="9" t="s">
        <v>2018</v>
      </c>
      <c r="O271" s="9">
        <v>20</v>
      </c>
    </row>
    <row r="272" spans="1:15" ht="24" customHeight="1">
      <c r="A272" s="186" t="s">
        <v>1940</v>
      </c>
      <c r="B272" s="187" t="s">
        <v>1986</v>
      </c>
      <c r="C272" s="153" t="s">
        <v>2019</v>
      </c>
      <c r="D272" s="153" t="s">
        <v>2020</v>
      </c>
      <c r="E272" s="153">
        <v>20</v>
      </c>
      <c r="F272" s="153"/>
      <c r="G272" s="153"/>
      <c r="H272" s="153"/>
      <c r="I272" s="153"/>
      <c r="J272" s="153"/>
      <c r="K272" s="153"/>
      <c r="M272" s="9" t="s">
        <v>2019</v>
      </c>
      <c r="N272" s="9" t="s">
        <v>2020</v>
      </c>
      <c r="O272" s="9">
        <v>20</v>
      </c>
    </row>
    <row r="273" spans="1:15" ht="24" customHeight="1">
      <c r="A273" s="186" t="s">
        <v>1940</v>
      </c>
      <c r="B273" s="187" t="s">
        <v>1986</v>
      </c>
      <c r="C273" s="153" t="s">
        <v>2021</v>
      </c>
      <c r="D273" s="153" t="s">
        <v>2022</v>
      </c>
      <c r="E273" s="153">
        <v>20</v>
      </c>
      <c r="F273" s="153"/>
      <c r="G273" s="153"/>
      <c r="H273" s="153"/>
      <c r="I273" s="153"/>
      <c r="J273" s="153"/>
      <c r="K273" s="153"/>
      <c r="M273" s="9" t="s">
        <v>2021</v>
      </c>
      <c r="N273" s="9" t="s">
        <v>2022</v>
      </c>
      <c r="O273" s="9">
        <v>20</v>
      </c>
    </row>
    <row r="274" spans="1:15" ht="24" customHeight="1">
      <c r="A274" s="186" t="s">
        <v>1940</v>
      </c>
      <c r="B274" s="187" t="s">
        <v>1986</v>
      </c>
      <c r="C274" s="153" t="s">
        <v>2023</v>
      </c>
      <c r="D274" s="153" t="s">
        <v>2024</v>
      </c>
      <c r="E274" s="153">
        <v>20</v>
      </c>
      <c r="F274" s="153"/>
      <c r="G274" s="153"/>
      <c r="H274" s="153"/>
      <c r="I274" s="153"/>
      <c r="J274" s="153"/>
      <c r="K274" s="153"/>
      <c r="M274" s="9" t="s">
        <v>2023</v>
      </c>
      <c r="N274" s="9" t="s">
        <v>2024</v>
      </c>
      <c r="O274" s="9">
        <v>20</v>
      </c>
    </row>
    <row r="275" spans="1:15" ht="24" customHeight="1">
      <c r="A275" s="186" t="s">
        <v>1940</v>
      </c>
      <c r="B275" s="187" t="s">
        <v>1986</v>
      </c>
      <c r="C275" s="153" t="s">
        <v>2025</v>
      </c>
      <c r="D275" s="153" t="s">
        <v>2026</v>
      </c>
      <c r="E275" s="153">
        <v>20</v>
      </c>
      <c r="F275" s="153"/>
      <c r="G275" s="153"/>
      <c r="H275" s="153"/>
      <c r="I275" s="153"/>
      <c r="J275" s="153"/>
      <c r="K275" s="153"/>
      <c r="M275" s="9" t="s">
        <v>2025</v>
      </c>
      <c r="N275" s="9" t="s">
        <v>2026</v>
      </c>
      <c r="O275" s="9">
        <v>20</v>
      </c>
    </row>
    <row r="276" spans="1:15" ht="24" customHeight="1">
      <c r="A276" s="186" t="s">
        <v>1940</v>
      </c>
      <c r="B276" s="187" t="s">
        <v>1986</v>
      </c>
      <c r="C276" s="153" t="s">
        <v>2027</v>
      </c>
      <c r="D276" s="153" t="s">
        <v>2028</v>
      </c>
      <c r="E276" s="153">
        <v>5</v>
      </c>
      <c r="F276" s="153"/>
      <c r="G276" s="153"/>
      <c r="H276" s="153"/>
      <c r="I276" s="153"/>
      <c r="J276" s="153"/>
      <c r="K276" s="153"/>
      <c r="M276" s="9" t="s">
        <v>2027</v>
      </c>
      <c r="N276" s="9" t="s">
        <v>2028</v>
      </c>
      <c r="O276" s="9">
        <v>5</v>
      </c>
    </row>
    <row r="277" spans="1:15" ht="24" customHeight="1">
      <c r="A277" s="186" t="s">
        <v>1940</v>
      </c>
      <c r="B277" s="187" t="s">
        <v>1986</v>
      </c>
      <c r="C277" s="153" t="s">
        <v>2029</v>
      </c>
      <c r="D277" s="153" t="s">
        <v>2030</v>
      </c>
      <c r="E277" s="153">
        <v>5</v>
      </c>
      <c r="F277" s="153"/>
      <c r="G277" s="153"/>
      <c r="H277" s="153"/>
      <c r="I277" s="153"/>
      <c r="J277" s="153"/>
      <c r="K277" s="153"/>
      <c r="M277" s="9" t="s">
        <v>2029</v>
      </c>
      <c r="N277" s="9" t="s">
        <v>2030</v>
      </c>
      <c r="O277" s="9">
        <v>5</v>
      </c>
    </row>
    <row r="278" spans="1:15" ht="24" customHeight="1">
      <c r="A278" s="186" t="s">
        <v>1940</v>
      </c>
      <c r="B278" s="187" t="s">
        <v>2031</v>
      </c>
      <c r="C278" s="153" t="s">
        <v>2032</v>
      </c>
      <c r="D278" s="153" t="s">
        <v>2033</v>
      </c>
      <c r="E278" s="153">
        <v>50</v>
      </c>
      <c r="F278" s="153"/>
      <c r="G278" s="153"/>
      <c r="H278" s="153"/>
      <c r="I278" s="153"/>
      <c r="J278" s="153"/>
      <c r="K278" s="153"/>
      <c r="M278" s="9" t="s">
        <v>2032</v>
      </c>
      <c r="N278" s="9" t="s">
        <v>2033</v>
      </c>
      <c r="O278" s="9">
        <v>50</v>
      </c>
    </row>
    <row r="279" spans="1:15" ht="24" customHeight="1">
      <c r="A279" s="186" t="s">
        <v>1940</v>
      </c>
      <c r="B279" s="187" t="s">
        <v>2031</v>
      </c>
      <c r="C279" s="153" t="s">
        <v>2034</v>
      </c>
      <c r="D279" s="153" t="s">
        <v>2035</v>
      </c>
      <c r="E279" s="153">
        <v>50</v>
      </c>
      <c r="F279" s="153"/>
      <c r="G279" s="153"/>
      <c r="H279" s="153"/>
      <c r="I279" s="153"/>
      <c r="J279" s="153"/>
      <c r="K279" s="153"/>
      <c r="M279" s="9" t="s">
        <v>2034</v>
      </c>
      <c r="N279" s="9" t="s">
        <v>2035</v>
      </c>
      <c r="O279" s="9">
        <v>50</v>
      </c>
    </row>
    <row r="280" spans="1:15" ht="24" customHeight="1">
      <c r="A280" s="186" t="s">
        <v>1940</v>
      </c>
      <c r="B280" s="187" t="s">
        <v>2031</v>
      </c>
      <c r="C280" s="153" t="s">
        <v>2036</v>
      </c>
      <c r="D280" s="153" t="s">
        <v>2037</v>
      </c>
      <c r="E280" s="153">
        <v>50</v>
      </c>
      <c r="F280" s="153"/>
      <c r="G280" s="153"/>
      <c r="H280" s="153"/>
      <c r="I280" s="153"/>
      <c r="J280" s="153"/>
      <c r="K280" s="153"/>
      <c r="M280" s="9" t="s">
        <v>2036</v>
      </c>
      <c r="N280" s="9" t="s">
        <v>2037</v>
      </c>
      <c r="O280" s="9">
        <v>50</v>
      </c>
    </row>
    <row r="281" spans="1:15" ht="24" customHeight="1">
      <c r="A281" s="186" t="s">
        <v>1940</v>
      </c>
      <c r="B281" s="187" t="s">
        <v>2031</v>
      </c>
      <c r="C281" s="153" t="s">
        <v>2038</v>
      </c>
      <c r="D281" s="153" t="s">
        <v>2039</v>
      </c>
      <c r="E281" s="153">
        <v>50</v>
      </c>
      <c r="F281" s="153"/>
      <c r="G281" s="153"/>
      <c r="H281" s="153"/>
      <c r="I281" s="153"/>
      <c r="J281" s="153"/>
      <c r="K281" s="153"/>
      <c r="M281" s="9" t="s">
        <v>2038</v>
      </c>
      <c r="N281" s="9" t="s">
        <v>2039</v>
      </c>
      <c r="O281" s="9">
        <v>50</v>
      </c>
    </row>
    <row r="282" spans="1:15" ht="24" customHeight="1">
      <c r="A282" s="186" t="s">
        <v>1940</v>
      </c>
      <c r="B282" s="187" t="s">
        <v>2031</v>
      </c>
      <c r="C282" s="153" t="s">
        <v>2040</v>
      </c>
      <c r="D282" s="153" t="s">
        <v>2041</v>
      </c>
      <c r="E282" s="153">
        <v>50</v>
      </c>
      <c r="F282" s="153"/>
      <c r="G282" s="153"/>
      <c r="H282" s="153"/>
      <c r="I282" s="153"/>
      <c r="J282" s="153"/>
      <c r="K282" s="153"/>
      <c r="M282" s="9" t="s">
        <v>2040</v>
      </c>
      <c r="N282" s="9" t="s">
        <v>2041</v>
      </c>
      <c r="O282" s="9">
        <v>50</v>
      </c>
    </row>
    <row r="283" spans="1:15" ht="24" customHeight="1">
      <c r="A283" s="186" t="s">
        <v>1940</v>
      </c>
      <c r="B283" s="187" t="s">
        <v>2031</v>
      </c>
      <c r="C283" s="153" t="s">
        <v>2042</v>
      </c>
      <c r="D283" s="153" t="s">
        <v>2043</v>
      </c>
      <c r="E283" s="153">
        <v>40</v>
      </c>
      <c r="F283" s="153"/>
      <c r="G283" s="153"/>
      <c r="H283" s="153"/>
      <c r="I283" s="153"/>
      <c r="J283" s="153"/>
      <c r="K283" s="153"/>
      <c r="M283" s="9" t="s">
        <v>2042</v>
      </c>
      <c r="N283" s="9" t="s">
        <v>2043</v>
      </c>
      <c r="O283" s="9">
        <v>40</v>
      </c>
    </row>
    <row r="284" spans="1:15" ht="24" customHeight="1">
      <c r="A284" s="186" t="s">
        <v>1940</v>
      </c>
      <c r="B284" s="187" t="s">
        <v>2031</v>
      </c>
      <c r="C284" s="153" t="s">
        <v>2044</v>
      </c>
      <c r="D284" s="153" t="s">
        <v>2045</v>
      </c>
      <c r="E284" s="153">
        <v>40</v>
      </c>
      <c r="F284" s="153"/>
      <c r="G284" s="153"/>
      <c r="H284" s="153"/>
      <c r="I284" s="153"/>
      <c r="J284" s="153"/>
      <c r="K284" s="153"/>
      <c r="M284" s="9" t="s">
        <v>2044</v>
      </c>
      <c r="N284" s="9" t="s">
        <v>2045</v>
      </c>
      <c r="O284" s="9">
        <v>40</v>
      </c>
    </row>
    <row r="285" spans="1:15" ht="24" customHeight="1">
      <c r="A285" s="186" t="s">
        <v>1940</v>
      </c>
      <c r="B285" s="187" t="s">
        <v>2031</v>
      </c>
      <c r="C285" s="153" t="s">
        <v>2046</v>
      </c>
      <c r="D285" s="153" t="s">
        <v>2047</v>
      </c>
      <c r="E285" s="153">
        <v>40</v>
      </c>
      <c r="F285" s="153"/>
      <c r="G285" s="153"/>
      <c r="H285" s="153"/>
      <c r="I285" s="153"/>
      <c r="J285" s="153"/>
      <c r="K285" s="153"/>
      <c r="M285" s="9" t="s">
        <v>2046</v>
      </c>
      <c r="N285" s="9" t="s">
        <v>2047</v>
      </c>
      <c r="O285" s="9">
        <v>40</v>
      </c>
    </row>
    <row r="286" spans="1:15" ht="24" customHeight="1">
      <c r="A286" s="186" t="s">
        <v>1940</v>
      </c>
      <c r="B286" s="187" t="s">
        <v>2031</v>
      </c>
      <c r="C286" s="153" t="s">
        <v>2048</v>
      </c>
      <c r="D286" s="153" t="s">
        <v>2049</v>
      </c>
      <c r="E286" s="153">
        <v>40</v>
      </c>
      <c r="F286" s="153"/>
      <c r="G286" s="153"/>
      <c r="H286" s="153"/>
      <c r="I286" s="153"/>
      <c r="J286" s="153"/>
      <c r="K286" s="153"/>
      <c r="M286" s="9" t="s">
        <v>2048</v>
      </c>
      <c r="N286" s="9" t="s">
        <v>2049</v>
      </c>
      <c r="O286" s="9">
        <v>40</v>
      </c>
    </row>
    <row r="287" spans="1:15" ht="24" customHeight="1">
      <c r="A287" s="186" t="s">
        <v>1940</v>
      </c>
      <c r="B287" s="187" t="s">
        <v>2031</v>
      </c>
      <c r="C287" s="153" t="s">
        <v>2050</v>
      </c>
      <c r="D287" s="153" t="s">
        <v>2051</v>
      </c>
      <c r="E287" s="153">
        <v>40</v>
      </c>
      <c r="F287" s="153"/>
      <c r="G287" s="153"/>
      <c r="H287" s="153"/>
      <c r="I287" s="153"/>
      <c r="J287" s="153"/>
      <c r="K287" s="153"/>
      <c r="M287" s="9" t="s">
        <v>2050</v>
      </c>
      <c r="N287" s="9" t="s">
        <v>2051</v>
      </c>
      <c r="O287" s="9">
        <v>40</v>
      </c>
    </row>
    <row r="288" spans="1:15" ht="24" customHeight="1">
      <c r="A288" s="186" t="s">
        <v>1940</v>
      </c>
      <c r="B288" s="187" t="s">
        <v>2031</v>
      </c>
      <c r="C288" s="153" t="s">
        <v>2052</v>
      </c>
      <c r="D288" s="153" t="s">
        <v>2053</v>
      </c>
      <c r="E288" s="153">
        <v>30</v>
      </c>
      <c r="F288" s="153"/>
      <c r="G288" s="153"/>
      <c r="H288" s="153"/>
      <c r="I288" s="153"/>
      <c r="J288" s="153"/>
      <c r="K288" s="153"/>
      <c r="M288" s="9" t="s">
        <v>2052</v>
      </c>
      <c r="N288" s="9" t="s">
        <v>2053</v>
      </c>
      <c r="O288" s="9">
        <v>30</v>
      </c>
    </row>
    <row r="289" spans="1:15" ht="24" customHeight="1">
      <c r="A289" s="186" t="s">
        <v>1940</v>
      </c>
      <c r="B289" s="187" t="s">
        <v>2031</v>
      </c>
      <c r="C289" s="153" t="s">
        <v>2054</v>
      </c>
      <c r="D289" s="153" t="s">
        <v>2055</v>
      </c>
      <c r="E289" s="153">
        <v>30</v>
      </c>
      <c r="F289" s="153"/>
      <c r="G289" s="153"/>
      <c r="H289" s="153"/>
      <c r="I289" s="153"/>
      <c r="J289" s="153"/>
      <c r="K289" s="153"/>
      <c r="M289" s="9" t="s">
        <v>2054</v>
      </c>
      <c r="N289" s="9" t="s">
        <v>2055</v>
      </c>
      <c r="O289" s="9">
        <v>30</v>
      </c>
    </row>
    <row r="290" spans="1:15" ht="24" customHeight="1">
      <c r="A290" s="186" t="s">
        <v>1940</v>
      </c>
      <c r="B290" s="187" t="s">
        <v>2031</v>
      </c>
      <c r="C290" s="153" t="s">
        <v>2056</v>
      </c>
      <c r="D290" s="153" t="s">
        <v>2057</v>
      </c>
      <c r="E290" s="153">
        <v>30</v>
      </c>
      <c r="F290" s="153"/>
      <c r="G290" s="153"/>
      <c r="H290" s="153"/>
      <c r="I290" s="153"/>
      <c r="J290" s="153"/>
      <c r="K290" s="153"/>
      <c r="M290" s="9" t="s">
        <v>2056</v>
      </c>
      <c r="N290" s="9" t="s">
        <v>2057</v>
      </c>
      <c r="O290" s="9">
        <v>30</v>
      </c>
    </row>
    <row r="291" spans="1:15" ht="24" customHeight="1">
      <c r="A291" s="186" t="s">
        <v>1940</v>
      </c>
      <c r="B291" s="187" t="s">
        <v>2031</v>
      </c>
      <c r="C291" s="153" t="s">
        <v>2058</v>
      </c>
      <c r="D291" s="153" t="s">
        <v>2059</v>
      </c>
      <c r="E291" s="153">
        <v>30</v>
      </c>
      <c r="F291" s="153"/>
      <c r="G291" s="153"/>
      <c r="H291" s="153"/>
      <c r="I291" s="153"/>
      <c r="J291" s="153"/>
      <c r="K291" s="153"/>
      <c r="M291" s="9" t="s">
        <v>2058</v>
      </c>
      <c r="N291" s="9" t="s">
        <v>2059</v>
      </c>
      <c r="O291" s="9">
        <v>30</v>
      </c>
    </row>
    <row r="292" spans="1:15" ht="24" customHeight="1">
      <c r="A292" s="186" t="s">
        <v>1940</v>
      </c>
      <c r="B292" s="187" t="s">
        <v>2031</v>
      </c>
      <c r="C292" s="153" t="s">
        <v>2060</v>
      </c>
      <c r="D292" s="153" t="s">
        <v>2061</v>
      </c>
      <c r="E292" s="153">
        <v>30</v>
      </c>
      <c r="F292" s="153"/>
      <c r="G292" s="153"/>
      <c r="H292" s="153"/>
      <c r="I292" s="153"/>
      <c r="J292" s="153"/>
      <c r="K292" s="153"/>
      <c r="M292" s="9" t="s">
        <v>2060</v>
      </c>
      <c r="N292" s="9" t="s">
        <v>2061</v>
      </c>
      <c r="O292" s="9">
        <v>30</v>
      </c>
    </row>
    <row r="293" spans="1:15" ht="24" customHeight="1">
      <c r="A293" s="186" t="s">
        <v>1940</v>
      </c>
      <c r="B293" s="187" t="s">
        <v>2031</v>
      </c>
      <c r="C293" s="153" t="s">
        <v>2062</v>
      </c>
      <c r="D293" s="153" t="s">
        <v>2063</v>
      </c>
      <c r="E293" s="153">
        <v>20</v>
      </c>
      <c r="F293" s="153"/>
      <c r="G293" s="153"/>
      <c r="H293" s="153"/>
      <c r="I293" s="153"/>
      <c r="J293" s="153"/>
      <c r="K293" s="153"/>
      <c r="M293" s="9" t="s">
        <v>2062</v>
      </c>
      <c r="N293" s="9" t="s">
        <v>2063</v>
      </c>
      <c r="O293" s="9">
        <v>20</v>
      </c>
    </row>
    <row r="294" spans="1:15" ht="24" customHeight="1">
      <c r="A294" s="186" t="s">
        <v>1940</v>
      </c>
      <c r="B294" s="187" t="s">
        <v>2031</v>
      </c>
      <c r="C294" s="153" t="s">
        <v>2064</v>
      </c>
      <c r="D294" s="153" t="s">
        <v>2065</v>
      </c>
      <c r="E294" s="153">
        <v>20</v>
      </c>
      <c r="F294" s="153"/>
      <c r="G294" s="153"/>
      <c r="H294" s="153"/>
      <c r="I294" s="153"/>
      <c r="J294" s="153"/>
      <c r="K294" s="153"/>
      <c r="M294" s="9" t="s">
        <v>2064</v>
      </c>
      <c r="N294" s="9" t="s">
        <v>2065</v>
      </c>
      <c r="O294" s="9">
        <v>20</v>
      </c>
    </row>
    <row r="295" spans="1:15" ht="24" customHeight="1">
      <c r="A295" s="186" t="s">
        <v>1940</v>
      </c>
      <c r="B295" s="187" t="s">
        <v>2031</v>
      </c>
      <c r="C295" s="153" t="s">
        <v>2066</v>
      </c>
      <c r="D295" s="153" t="s">
        <v>2067</v>
      </c>
      <c r="E295" s="153">
        <v>20</v>
      </c>
      <c r="F295" s="153"/>
      <c r="G295" s="153"/>
      <c r="H295" s="153"/>
      <c r="I295" s="153"/>
      <c r="J295" s="153"/>
      <c r="K295" s="153"/>
      <c r="M295" s="9" t="s">
        <v>2066</v>
      </c>
      <c r="N295" s="9" t="s">
        <v>2067</v>
      </c>
      <c r="O295" s="9">
        <v>20</v>
      </c>
    </row>
    <row r="296" spans="1:15" ht="24" customHeight="1">
      <c r="A296" s="186" t="s">
        <v>1940</v>
      </c>
      <c r="B296" s="187" t="s">
        <v>2031</v>
      </c>
      <c r="C296" s="153" t="s">
        <v>2068</v>
      </c>
      <c r="D296" s="153" t="s">
        <v>2069</v>
      </c>
      <c r="E296" s="153">
        <v>20</v>
      </c>
      <c r="F296" s="153"/>
      <c r="G296" s="153"/>
      <c r="H296" s="153"/>
      <c r="I296" s="153"/>
      <c r="J296" s="153"/>
      <c r="K296" s="153"/>
      <c r="M296" s="9" t="s">
        <v>2068</v>
      </c>
      <c r="N296" s="9" t="s">
        <v>2069</v>
      </c>
      <c r="O296" s="9">
        <v>20</v>
      </c>
    </row>
    <row r="297" spans="1:15" ht="24" customHeight="1">
      <c r="A297" s="186" t="s">
        <v>1940</v>
      </c>
      <c r="B297" s="187" t="s">
        <v>2031</v>
      </c>
      <c r="C297" s="153" t="s">
        <v>2070</v>
      </c>
      <c r="D297" s="153" t="s">
        <v>2071</v>
      </c>
      <c r="E297" s="153">
        <v>20</v>
      </c>
      <c r="F297" s="153"/>
      <c r="G297" s="153"/>
      <c r="H297" s="153"/>
      <c r="I297" s="153"/>
      <c r="J297" s="153"/>
      <c r="K297" s="153"/>
      <c r="M297" s="9" t="s">
        <v>2070</v>
      </c>
      <c r="N297" s="9" t="s">
        <v>2071</v>
      </c>
      <c r="O297" s="9">
        <v>20</v>
      </c>
    </row>
    <row r="298" spans="1:15" ht="24" customHeight="1">
      <c r="A298" s="186" t="s">
        <v>1940</v>
      </c>
      <c r="B298" s="187" t="s">
        <v>2031</v>
      </c>
      <c r="C298" s="153" t="s">
        <v>2072</v>
      </c>
      <c r="D298" s="153" t="s">
        <v>2073</v>
      </c>
      <c r="E298" s="153">
        <v>5</v>
      </c>
      <c r="F298" s="153"/>
      <c r="G298" s="153"/>
      <c r="H298" s="153"/>
      <c r="I298" s="153"/>
      <c r="J298" s="153"/>
      <c r="K298" s="153"/>
      <c r="M298" s="9" t="s">
        <v>2072</v>
      </c>
      <c r="N298" s="9" t="s">
        <v>2073</v>
      </c>
      <c r="O298" s="9">
        <v>5</v>
      </c>
    </row>
    <row r="299" spans="1:15" ht="24" customHeight="1">
      <c r="A299" s="186" t="s">
        <v>1940</v>
      </c>
      <c r="B299" s="187" t="s">
        <v>2031</v>
      </c>
      <c r="C299" s="153" t="s">
        <v>2074</v>
      </c>
      <c r="D299" s="153" t="s">
        <v>2075</v>
      </c>
      <c r="E299" s="153">
        <v>5</v>
      </c>
      <c r="F299" s="153"/>
      <c r="G299" s="153"/>
      <c r="H299" s="153"/>
      <c r="I299" s="153"/>
      <c r="J299" s="153"/>
      <c r="K299" s="153"/>
      <c r="M299" s="9" t="s">
        <v>2074</v>
      </c>
      <c r="N299" s="9" t="s">
        <v>2075</v>
      </c>
      <c r="O299" s="9">
        <v>5</v>
      </c>
    </row>
    <row r="300" spans="1:15" ht="24" customHeight="1">
      <c r="A300" s="186" t="s">
        <v>1940</v>
      </c>
      <c r="B300" s="187" t="s">
        <v>2076</v>
      </c>
      <c r="C300" s="153" t="s">
        <v>2077</v>
      </c>
      <c r="D300" s="153" t="s">
        <v>2078</v>
      </c>
      <c r="E300" s="153">
        <v>50</v>
      </c>
      <c r="F300" s="153"/>
      <c r="G300" s="153"/>
      <c r="H300" s="153"/>
      <c r="I300" s="153"/>
      <c r="J300" s="153"/>
      <c r="K300" s="153"/>
      <c r="M300" s="9" t="s">
        <v>2077</v>
      </c>
      <c r="N300" s="9" t="s">
        <v>2078</v>
      </c>
      <c r="O300" s="9">
        <v>50</v>
      </c>
    </row>
    <row r="301" spans="1:15" ht="24" customHeight="1">
      <c r="A301" s="186" t="s">
        <v>1940</v>
      </c>
      <c r="B301" s="187" t="s">
        <v>2076</v>
      </c>
      <c r="C301" s="153" t="s">
        <v>2079</v>
      </c>
      <c r="D301" s="153" t="s">
        <v>2080</v>
      </c>
      <c r="E301" s="153">
        <v>50</v>
      </c>
      <c r="F301" s="153"/>
      <c r="G301" s="153"/>
      <c r="H301" s="153"/>
      <c r="I301" s="153"/>
      <c r="J301" s="153"/>
      <c r="K301" s="153"/>
      <c r="M301" s="9" t="s">
        <v>2079</v>
      </c>
      <c r="N301" s="9" t="s">
        <v>2080</v>
      </c>
      <c r="O301" s="9">
        <v>50</v>
      </c>
    </row>
    <row r="302" spans="1:15" ht="24" customHeight="1">
      <c r="A302" s="186" t="s">
        <v>1940</v>
      </c>
      <c r="B302" s="187" t="s">
        <v>2076</v>
      </c>
      <c r="C302" s="153" t="s">
        <v>2081</v>
      </c>
      <c r="D302" s="153" t="s">
        <v>2082</v>
      </c>
      <c r="E302" s="153">
        <v>50</v>
      </c>
      <c r="F302" s="153"/>
      <c r="G302" s="153"/>
      <c r="H302" s="153"/>
      <c r="I302" s="153"/>
      <c r="J302" s="153"/>
      <c r="K302" s="153"/>
      <c r="M302" s="9" t="s">
        <v>2081</v>
      </c>
      <c r="N302" s="9" t="s">
        <v>2082</v>
      </c>
      <c r="O302" s="9">
        <v>50</v>
      </c>
    </row>
    <row r="303" spans="1:15" ht="24" customHeight="1">
      <c r="A303" s="186" t="s">
        <v>1940</v>
      </c>
      <c r="B303" s="187" t="s">
        <v>2076</v>
      </c>
      <c r="C303" s="153" t="s">
        <v>2083</v>
      </c>
      <c r="D303" s="153" t="s">
        <v>2084</v>
      </c>
      <c r="E303" s="153">
        <v>50</v>
      </c>
      <c r="F303" s="153"/>
      <c r="G303" s="153"/>
      <c r="H303" s="153"/>
      <c r="I303" s="153"/>
      <c r="J303" s="153"/>
      <c r="K303" s="153"/>
      <c r="M303" s="9" t="s">
        <v>2083</v>
      </c>
      <c r="N303" s="9" t="s">
        <v>2084</v>
      </c>
      <c r="O303" s="9">
        <v>50</v>
      </c>
    </row>
    <row r="304" spans="1:15" ht="24" customHeight="1">
      <c r="A304" s="186" t="s">
        <v>1940</v>
      </c>
      <c r="B304" s="187" t="s">
        <v>2076</v>
      </c>
      <c r="C304" s="153" t="s">
        <v>2085</v>
      </c>
      <c r="D304" s="153" t="s">
        <v>2086</v>
      </c>
      <c r="E304" s="153">
        <v>50</v>
      </c>
      <c r="F304" s="153"/>
      <c r="G304" s="153"/>
      <c r="H304" s="153"/>
      <c r="I304" s="153"/>
      <c r="J304" s="153"/>
      <c r="K304" s="153"/>
      <c r="M304" s="9" t="s">
        <v>2085</v>
      </c>
      <c r="N304" s="9" t="s">
        <v>2086</v>
      </c>
      <c r="O304" s="9">
        <v>50</v>
      </c>
    </row>
    <row r="305" spans="1:15" ht="24" customHeight="1">
      <c r="A305" s="186" t="s">
        <v>1940</v>
      </c>
      <c r="B305" s="187" t="s">
        <v>2076</v>
      </c>
      <c r="C305" s="153" t="s">
        <v>2087</v>
      </c>
      <c r="D305" s="153" t="s">
        <v>2088</v>
      </c>
      <c r="E305" s="153">
        <v>40</v>
      </c>
      <c r="F305" s="153"/>
      <c r="G305" s="153"/>
      <c r="H305" s="153"/>
      <c r="I305" s="153"/>
      <c r="J305" s="153"/>
      <c r="K305" s="153"/>
      <c r="M305" s="9" t="s">
        <v>2087</v>
      </c>
      <c r="N305" s="9" t="s">
        <v>2088</v>
      </c>
      <c r="O305" s="9">
        <v>40</v>
      </c>
    </row>
    <row r="306" spans="1:15" ht="24" customHeight="1">
      <c r="A306" s="186" t="s">
        <v>1940</v>
      </c>
      <c r="B306" s="187" t="s">
        <v>2076</v>
      </c>
      <c r="C306" s="153" t="s">
        <v>2089</v>
      </c>
      <c r="D306" s="153" t="s">
        <v>2090</v>
      </c>
      <c r="E306" s="153">
        <v>40</v>
      </c>
      <c r="F306" s="153"/>
      <c r="G306" s="153"/>
      <c r="H306" s="153"/>
      <c r="I306" s="153"/>
      <c r="J306" s="153"/>
      <c r="K306" s="153"/>
      <c r="M306" s="9" t="s">
        <v>2089</v>
      </c>
      <c r="N306" s="9" t="s">
        <v>2090</v>
      </c>
      <c r="O306" s="9">
        <v>40</v>
      </c>
    </row>
    <row r="307" spans="1:15" ht="24" customHeight="1">
      <c r="A307" s="186" t="s">
        <v>1940</v>
      </c>
      <c r="B307" s="187" t="s">
        <v>2076</v>
      </c>
      <c r="C307" s="153" t="s">
        <v>2091</v>
      </c>
      <c r="D307" s="153" t="s">
        <v>2092</v>
      </c>
      <c r="E307" s="153">
        <v>40</v>
      </c>
      <c r="F307" s="153"/>
      <c r="G307" s="153"/>
      <c r="H307" s="153"/>
      <c r="I307" s="153"/>
      <c r="J307" s="153"/>
      <c r="K307" s="153"/>
      <c r="M307" s="9" t="s">
        <v>2091</v>
      </c>
      <c r="N307" s="9" t="s">
        <v>2092</v>
      </c>
      <c r="O307" s="9">
        <v>40</v>
      </c>
    </row>
    <row r="308" spans="1:15" ht="24" customHeight="1">
      <c r="A308" s="186" t="s">
        <v>1940</v>
      </c>
      <c r="B308" s="187" t="s">
        <v>2076</v>
      </c>
      <c r="C308" s="153" t="s">
        <v>2093</v>
      </c>
      <c r="D308" s="153" t="s">
        <v>2094</v>
      </c>
      <c r="E308" s="153">
        <v>40</v>
      </c>
      <c r="F308" s="153"/>
      <c r="G308" s="153"/>
      <c r="H308" s="153"/>
      <c r="I308" s="153"/>
      <c r="J308" s="153"/>
      <c r="K308" s="153"/>
      <c r="M308" s="9" t="s">
        <v>2093</v>
      </c>
      <c r="N308" s="9" t="s">
        <v>2094</v>
      </c>
      <c r="O308" s="9">
        <v>40</v>
      </c>
    </row>
    <row r="309" spans="1:15" ht="24" customHeight="1">
      <c r="A309" s="186" t="s">
        <v>1940</v>
      </c>
      <c r="B309" s="187" t="s">
        <v>2076</v>
      </c>
      <c r="C309" s="153" t="s">
        <v>2095</v>
      </c>
      <c r="D309" s="153" t="s">
        <v>2096</v>
      </c>
      <c r="E309" s="153">
        <v>40</v>
      </c>
      <c r="F309" s="153"/>
      <c r="G309" s="153"/>
      <c r="H309" s="153"/>
      <c r="I309" s="153"/>
      <c r="J309" s="153"/>
      <c r="K309" s="153"/>
      <c r="M309" s="9" t="s">
        <v>2095</v>
      </c>
      <c r="N309" s="9" t="s">
        <v>2096</v>
      </c>
      <c r="O309" s="9">
        <v>40</v>
      </c>
    </row>
    <row r="310" spans="1:15" ht="24" customHeight="1">
      <c r="A310" s="186" t="s">
        <v>1940</v>
      </c>
      <c r="B310" s="187" t="s">
        <v>2076</v>
      </c>
      <c r="C310" s="153" t="s">
        <v>2097</v>
      </c>
      <c r="D310" s="153" t="s">
        <v>2098</v>
      </c>
      <c r="E310" s="153">
        <v>30</v>
      </c>
      <c r="F310" s="153"/>
      <c r="G310" s="153"/>
      <c r="H310" s="153"/>
      <c r="I310" s="153"/>
      <c r="J310" s="153"/>
      <c r="K310" s="153"/>
      <c r="M310" s="9" t="s">
        <v>2097</v>
      </c>
      <c r="N310" s="9" t="s">
        <v>2098</v>
      </c>
      <c r="O310" s="9">
        <v>30</v>
      </c>
    </row>
    <row r="311" spans="1:15" ht="24" customHeight="1">
      <c r="A311" s="186" t="s">
        <v>1940</v>
      </c>
      <c r="B311" s="187" t="s">
        <v>2076</v>
      </c>
      <c r="C311" s="153" t="s">
        <v>2099</v>
      </c>
      <c r="D311" s="153" t="s">
        <v>2100</v>
      </c>
      <c r="E311" s="153">
        <v>30</v>
      </c>
      <c r="F311" s="153"/>
      <c r="G311" s="153"/>
      <c r="H311" s="153"/>
      <c r="I311" s="153"/>
      <c r="J311" s="153"/>
      <c r="K311" s="153"/>
      <c r="M311" s="9" t="s">
        <v>2099</v>
      </c>
      <c r="N311" s="9" t="s">
        <v>2100</v>
      </c>
      <c r="O311" s="9">
        <v>30</v>
      </c>
    </row>
    <row r="312" spans="1:15" ht="24" customHeight="1">
      <c r="A312" s="186" t="s">
        <v>1940</v>
      </c>
      <c r="B312" s="187" t="s">
        <v>2076</v>
      </c>
      <c r="C312" s="153" t="s">
        <v>2101</v>
      </c>
      <c r="D312" s="153" t="s">
        <v>2102</v>
      </c>
      <c r="E312" s="153">
        <v>30</v>
      </c>
      <c r="F312" s="153"/>
      <c r="G312" s="153"/>
      <c r="H312" s="153"/>
      <c r="I312" s="153"/>
      <c r="J312" s="153"/>
      <c r="K312" s="153"/>
      <c r="M312" s="9" t="s">
        <v>2101</v>
      </c>
      <c r="N312" s="9" t="s">
        <v>2102</v>
      </c>
      <c r="O312" s="9">
        <v>30</v>
      </c>
    </row>
    <row r="313" spans="1:15" ht="24" customHeight="1">
      <c r="A313" s="186" t="s">
        <v>1940</v>
      </c>
      <c r="B313" s="187" t="s">
        <v>2076</v>
      </c>
      <c r="C313" s="153" t="s">
        <v>2103</v>
      </c>
      <c r="D313" s="153" t="s">
        <v>2104</v>
      </c>
      <c r="E313" s="153">
        <v>30</v>
      </c>
      <c r="F313" s="153"/>
      <c r="G313" s="153"/>
      <c r="H313" s="153"/>
      <c r="I313" s="153"/>
      <c r="J313" s="153"/>
      <c r="K313" s="153"/>
      <c r="M313" s="9" t="s">
        <v>2103</v>
      </c>
      <c r="N313" s="9" t="s">
        <v>2104</v>
      </c>
      <c r="O313" s="9">
        <v>30</v>
      </c>
    </row>
    <row r="314" spans="1:15" ht="24" customHeight="1">
      <c r="A314" s="186" t="s">
        <v>1940</v>
      </c>
      <c r="B314" s="187" t="s">
        <v>2076</v>
      </c>
      <c r="C314" s="153" t="s">
        <v>2105</v>
      </c>
      <c r="D314" s="153" t="s">
        <v>2106</v>
      </c>
      <c r="E314" s="153">
        <v>30</v>
      </c>
      <c r="F314" s="153"/>
      <c r="G314" s="153"/>
      <c r="H314" s="153"/>
      <c r="I314" s="153"/>
      <c r="J314" s="153"/>
      <c r="K314" s="153"/>
      <c r="M314" s="9" t="s">
        <v>2105</v>
      </c>
      <c r="N314" s="9" t="s">
        <v>2106</v>
      </c>
      <c r="O314" s="9">
        <v>30</v>
      </c>
    </row>
    <row r="315" spans="1:15" ht="24" customHeight="1">
      <c r="A315" s="186" t="s">
        <v>1940</v>
      </c>
      <c r="B315" s="187" t="s">
        <v>2076</v>
      </c>
      <c r="C315" s="153" t="s">
        <v>2107</v>
      </c>
      <c r="D315" s="153" t="s">
        <v>2108</v>
      </c>
      <c r="E315" s="153">
        <v>20</v>
      </c>
      <c r="F315" s="153"/>
      <c r="G315" s="153"/>
      <c r="H315" s="153"/>
      <c r="I315" s="153"/>
      <c r="J315" s="153"/>
      <c r="K315" s="153"/>
      <c r="M315" s="9" t="s">
        <v>2107</v>
      </c>
      <c r="N315" s="9" t="s">
        <v>2108</v>
      </c>
      <c r="O315" s="9">
        <v>20</v>
      </c>
    </row>
    <row r="316" spans="1:15" ht="24" customHeight="1">
      <c r="A316" s="186" t="s">
        <v>1940</v>
      </c>
      <c r="B316" s="187" t="s">
        <v>2076</v>
      </c>
      <c r="C316" s="153" t="s">
        <v>2109</v>
      </c>
      <c r="D316" s="153" t="s">
        <v>2110</v>
      </c>
      <c r="E316" s="153">
        <v>20</v>
      </c>
      <c r="F316" s="153"/>
      <c r="G316" s="153"/>
      <c r="H316" s="153"/>
      <c r="I316" s="153"/>
      <c r="J316" s="153"/>
      <c r="K316" s="153"/>
      <c r="M316" s="9" t="s">
        <v>2109</v>
      </c>
      <c r="N316" s="9" t="s">
        <v>2110</v>
      </c>
      <c r="O316" s="9">
        <v>20</v>
      </c>
    </row>
    <row r="317" spans="1:15" ht="24" customHeight="1">
      <c r="A317" s="186" t="s">
        <v>1940</v>
      </c>
      <c r="B317" s="187" t="s">
        <v>2076</v>
      </c>
      <c r="C317" s="153" t="s">
        <v>2111</v>
      </c>
      <c r="D317" s="153" t="s">
        <v>2112</v>
      </c>
      <c r="E317" s="153">
        <v>20</v>
      </c>
      <c r="F317" s="153"/>
      <c r="G317" s="153"/>
      <c r="H317" s="153"/>
      <c r="I317" s="153"/>
      <c r="J317" s="153"/>
      <c r="K317" s="153"/>
      <c r="M317" s="9" t="s">
        <v>2111</v>
      </c>
      <c r="N317" s="9" t="s">
        <v>2112</v>
      </c>
      <c r="O317" s="9">
        <v>20</v>
      </c>
    </row>
    <row r="318" spans="1:15" ht="24" customHeight="1">
      <c r="A318" s="186" t="s">
        <v>1940</v>
      </c>
      <c r="B318" s="187" t="s">
        <v>2076</v>
      </c>
      <c r="C318" s="153" t="s">
        <v>2113</v>
      </c>
      <c r="D318" s="153" t="s">
        <v>2114</v>
      </c>
      <c r="E318" s="153">
        <v>20</v>
      </c>
      <c r="F318" s="153"/>
      <c r="G318" s="153"/>
      <c r="H318" s="153"/>
      <c r="I318" s="153"/>
      <c r="J318" s="153"/>
      <c r="K318" s="153"/>
      <c r="M318" s="9" t="s">
        <v>2113</v>
      </c>
      <c r="N318" s="9" t="s">
        <v>2114</v>
      </c>
      <c r="O318" s="9">
        <v>20</v>
      </c>
    </row>
    <row r="319" spans="1:15" ht="24" customHeight="1">
      <c r="A319" s="186" t="s">
        <v>1940</v>
      </c>
      <c r="B319" s="187" t="s">
        <v>2076</v>
      </c>
      <c r="C319" s="153" t="s">
        <v>2115</v>
      </c>
      <c r="D319" s="153" t="s">
        <v>2116</v>
      </c>
      <c r="E319" s="153">
        <v>20</v>
      </c>
      <c r="F319" s="153"/>
      <c r="G319" s="153"/>
      <c r="H319" s="153"/>
      <c r="I319" s="153"/>
      <c r="J319" s="153"/>
      <c r="K319" s="153"/>
      <c r="M319" s="9" t="s">
        <v>2115</v>
      </c>
      <c r="N319" s="9" t="s">
        <v>2116</v>
      </c>
      <c r="O319" s="9">
        <v>20</v>
      </c>
    </row>
    <row r="320" spans="1:15" ht="24" customHeight="1">
      <c r="A320" s="186" t="s">
        <v>1940</v>
      </c>
      <c r="B320" s="187" t="s">
        <v>2076</v>
      </c>
      <c r="C320" s="153" t="s">
        <v>2117</v>
      </c>
      <c r="D320" s="153" t="s">
        <v>2118</v>
      </c>
      <c r="E320" s="153">
        <v>5</v>
      </c>
      <c r="F320" s="153"/>
      <c r="G320" s="153"/>
      <c r="H320" s="153"/>
      <c r="I320" s="153"/>
      <c r="J320" s="153"/>
      <c r="K320" s="153"/>
      <c r="M320" s="9" t="s">
        <v>2117</v>
      </c>
      <c r="N320" s="9" t="s">
        <v>2118</v>
      </c>
      <c r="O320" s="9">
        <v>5</v>
      </c>
    </row>
    <row r="321" spans="1:15" ht="24" customHeight="1">
      <c r="A321" s="186" t="s">
        <v>1940</v>
      </c>
      <c r="B321" s="187" t="s">
        <v>2076</v>
      </c>
      <c r="C321" s="153" t="s">
        <v>2119</v>
      </c>
      <c r="D321" s="153" t="s">
        <v>2120</v>
      </c>
      <c r="E321" s="153">
        <v>5</v>
      </c>
      <c r="F321" s="153"/>
      <c r="G321" s="153"/>
      <c r="H321" s="153"/>
      <c r="I321" s="153"/>
      <c r="J321" s="153"/>
      <c r="K321" s="153"/>
      <c r="M321" s="9" t="s">
        <v>2119</v>
      </c>
      <c r="N321" s="9" t="s">
        <v>2120</v>
      </c>
      <c r="O321" s="9">
        <v>5</v>
      </c>
    </row>
    <row r="322" spans="1:15" ht="24" customHeight="1">
      <c r="A322" s="186" t="s">
        <v>1940</v>
      </c>
      <c r="B322" s="187" t="s">
        <v>2121</v>
      </c>
      <c r="C322" s="153" t="s">
        <v>2122</v>
      </c>
      <c r="D322" s="153" t="s">
        <v>2123</v>
      </c>
      <c r="E322" s="153">
        <v>50</v>
      </c>
      <c r="F322" s="153"/>
      <c r="G322" s="153"/>
      <c r="H322" s="153"/>
      <c r="I322" s="153"/>
      <c r="J322" s="153"/>
      <c r="K322" s="153"/>
      <c r="M322" s="9" t="s">
        <v>2122</v>
      </c>
      <c r="N322" s="9" t="s">
        <v>2123</v>
      </c>
      <c r="O322" s="9">
        <v>50</v>
      </c>
    </row>
    <row r="323" spans="1:15" ht="24" customHeight="1">
      <c r="A323" s="186" t="s">
        <v>1940</v>
      </c>
      <c r="B323" s="187" t="s">
        <v>2121</v>
      </c>
      <c r="C323" s="153" t="s">
        <v>2124</v>
      </c>
      <c r="D323" s="153" t="s">
        <v>2125</v>
      </c>
      <c r="E323" s="153">
        <v>50</v>
      </c>
      <c r="F323" s="153"/>
      <c r="G323" s="153"/>
      <c r="H323" s="153"/>
      <c r="I323" s="153"/>
      <c r="J323" s="153"/>
      <c r="K323" s="153"/>
      <c r="M323" s="9" t="s">
        <v>2124</v>
      </c>
      <c r="N323" s="9" t="s">
        <v>2125</v>
      </c>
      <c r="O323" s="9">
        <v>50</v>
      </c>
    </row>
    <row r="324" spans="1:15" ht="24" customHeight="1">
      <c r="A324" s="186" t="s">
        <v>1940</v>
      </c>
      <c r="B324" s="187" t="s">
        <v>2121</v>
      </c>
      <c r="C324" s="153" t="s">
        <v>2126</v>
      </c>
      <c r="D324" s="153" t="s">
        <v>2127</v>
      </c>
      <c r="E324" s="153">
        <v>50</v>
      </c>
      <c r="F324" s="153"/>
      <c r="G324" s="153"/>
      <c r="H324" s="153"/>
      <c r="I324" s="153"/>
      <c r="J324" s="153"/>
      <c r="K324" s="153"/>
      <c r="M324" s="9" t="s">
        <v>2126</v>
      </c>
      <c r="N324" s="9" t="s">
        <v>2127</v>
      </c>
      <c r="O324" s="9">
        <v>50</v>
      </c>
    </row>
    <row r="325" spans="1:15" ht="24" customHeight="1">
      <c r="A325" s="186" t="s">
        <v>1940</v>
      </c>
      <c r="B325" s="187" t="s">
        <v>2121</v>
      </c>
      <c r="C325" s="153" t="s">
        <v>2128</v>
      </c>
      <c r="D325" s="153" t="s">
        <v>2129</v>
      </c>
      <c r="E325" s="153">
        <v>50</v>
      </c>
      <c r="F325" s="153"/>
      <c r="G325" s="153"/>
      <c r="H325" s="153"/>
      <c r="I325" s="153"/>
      <c r="J325" s="153"/>
      <c r="K325" s="153"/>
      <c r="M325" s="9" t="s">
        <v>2128</v>
      </c>
      <c r="N325" s="9" t="s">
        <v>2129</v>
      </c>
      <c r="O325" s="9">
        <v>50</v>
      </c>
    </row>
    <row r="326" spans="1:15" ht="24" customHeight="1">
      <c r="A326" s="186" t="s">
        <v>1940</v>
      </c>
      <c r="B326" s="187" t="s">
        <v>2121</v>
      </c>
      <c r="C326" s="153" t="s">
        <v>2130</v>
      </c>
      <c r="D326" s="153" t="s">
        <v>2131</v>
      </c>
      <c r="E326" s="153">
        <v>50</v>
      </c>
      <c r="F326" s="153"/>
      <c r="G326" s="153"/>
      <c r="H326" s="153"/>
      <c r="I326" s="153"/>
      <c r="J326" s="153"/>
      <c r="K326" s="153"/>
      <c r="M326" s="9" t="s">
        <v>2130</v>
      </c>
      <c r="N326" s="9" t="s">
        <v>2131</v>
      </c>
      <c r="O326" s="9">
        <v>50</v>
      </c>
    </row>
    <row r="327" spans="1:15" ht="24" customHeight="1">
      <c r="A327" s="186" t="s">
        <v>1940</v>
      </c>
      <c r="B327" s="187" t="s">
        <v>2121</v>
      </c>
      <c r="C327" s="153" t="s">
        <v>2132</v>
      </c>
      <c r="D327" s="153" t="s">
        <v>2133</v>
      </c>
      <c r="E327" s="153">
        <v>40</v>
      </c>
      <c r="F327" s="153"/>
      <c r="G327" s="153"/>
      <c r="H327" s="153"/>
      <c r="I327" s="153"/>
      <c r="J327" s="153"/>
      <c r="K327" s="153"/>
      <c r="M327" s="9" t="s">
        <v>2132</v>
      </c>
      <c r="N327" s="9" t="s">
        <v>2133</v>
      </c>
      <c r="O327" s="9">
        <v>40</v>
      </c>
    </row>
    <row r="328" spans="1:15" ht="24" customHeight="1">
      <c r="A328" s="186" t="s">
        <v>1940</v>
      </c>
      <c r="B328" s="187" t="s">
        <v>2121</v>
      </c>
      <c r="C328" s="153" t="s">
        <v>2134</v>
      </c>
      <c r="D328" s="153" t="s">
        <v>2135</v>
      </c>
      <c r="E328" s="153">
        <v>40</v>
      </c>
      <c r="F328" s="153"/>
      <c r="G328" s="153"/>
      <c r="H328" s="153"/>
      <c r="I328" s="153"/>
      <c r="J328" s="153"/>
      <c r="K328" s="153"/>
      <c r="M328" s="9" t="s">
        <v>2134</v>
      </c>
      <c r="N328" s="9" t="s">
        <v>2135</v>
      </c>
      <c r="O328" s="9">
        <v>40</v>
      </c>
    </row>
    <row r="329" spans="1:15" ht="24" customHeight="1">
      <c r="A329" s="186" t="s">
        <v>1940</v>
      </c>
      <c r="B329" s="187" t="s">
        <v>2121</v>
      </c>
      <c r="C329" s="153" t="s">
        <v>2136</v>
      </c>
      <c r="D329" s="153" t="s">
        <v>2137</v>
      </c>
      <c r="E329" s="153">
        <v>40</v>
      </c>
      <c r="F329" s="153"/>
      <c r="G329" s="153"/>
      <c r="H329" s="153"/>
      <c r="I329" s="153"/>
      <c r="J329" s="153"/>
      <c r="K329" s="153"/>
      <c r="M329" s="9" t="s">
        <v>2136</v>
      </c>
      <c r="N329" s="9" t="s">
        <v>2137</v>
      </c>
      <c r="O329" s="9">
        <v>40</v>
      </c>
    </row>
    <row r="330" spans="1:15" ht="24" customHeight="1">
      <c r="A330" s="186" t="s">
        <v>1940</v>
      </c>
      <c r="B330" s="187" t="s">
        <v>2121</v>
      </c>
      <c r="C330" s="153" t="s">
        <v>2138</v>
      </c>
      <c r="D330" s="153" t="s">
        <v>2139</v>
      </c>
      <c r="E330" s="153">
        <v>40</v>
      </c>
      <c r="F330" s="153"/>
      <c r="G330" s="153"/>
      <c r="H330" s="153"/>
      <c r="I330" s="153"/>
      <c r="J330" s="153"/>
      <c r="K330" s="153"/>
      <c r="M330" s="9" t="s">
        <v>2138</v>
      </c>
      <c r="N330" s="9" t="s">
        <v>2139</v>
      </c>
      <c r="O330" s="9">
        <v>40</v>
      </c>
    </row>
    <row r="331" spans="1:15" ht="24" customHeight="1">
      <c r="A331" s="186" t="s">
        <v>1940</v>
      </c>
      <c r="B331" s="187" t="s">
        <v>2121</v>
      </c>
      <c r="C331" s="153" t="s">
        <v>2140</v>
      </c>
      <c r="D331" s="153" t="s">
        <v>2141</v>
      </c>
      <c r="E331" s="153">
        <v>40</v>
      </c>
      <c r="F331" s="153"/>
      <c r="G331" s="153"/>
      <c r="H331" s="153"/>
      <c r="I331" s="153"/>
      <c r="J331" s="153"/>
      <c r="K331" s="153"/>
      <c r="M331" s="9" t="s">
        <v>2140</v>
      </c>
      <c r="N331" s="9" t="s">
        <v>2141</v>
      </c>
      <c r="O331" s="9">
        <v>40</v>
      </c>
    </row>
    <row r="332" spans="1:15" ht="24" customHeight="1">
      <c r="A332" s="186" t="s">
        <v>1940</v>
      </c>
      <c r="B332" s="187" t="s">
        <v>2121</v>
      </c>
      <c r="C332" s="153" t="s">
        <v>2142</v>
      </c>
      <c r="D332" s="153" t="s">
        <v>2143</v>
      </c>
      <c r="E332" s="153">
        <v>30</v>
      </c>
      <c r="F332" s="153"/>
      <c r="G332" s="153"/>
      <c r="H332" s="153"/>
      <c r="I332" s="153"/>
      <c r="J332" s="153"/>
      <c r="K332" s="153"/>
      <c r="M332" s="9" t="s">
        <v>2142</v>
      </c>
      <c r="N332" s="9" t="s">
        <v>2143</v>
      </c>
      <c r="O332" s="9">
        <v>30</v>
      </c>
    </row>
    <row r="333" spans="1:15" ht="24" customHeight="1">
      <c r="A333" s="186" t="s">
        <v>1940</v>
      </c>
      <c r="B333" s="187" t="s">
        <v>2121</v>
      </c>
      <c r="C333" s="153" t="s">
        <v>2144</v>
      </c>
      <c r="D333" s="153" t="s">
        <v>2145</v>
      </c>
      <c r="E333" s="153">
        <v>30</v>
      </c>
      <c r="F333" s="153"/>
      <c r="G333" s="153"/>
      <c r="H333" s="153"/>
      <c r="I333" s="153"/>
      <c r="J333" s="153"/>
      <c r="K333" s="153"/>
      <c r="M333" s="9" t="s">
        <v>2144</v>
      </c>
      <c r="N333" s="9" t="s">
        <v>2145</v>
      </c>
      <c r="O333" s="9">
        <v>30</v>
      </c>
    </row>
    <row r="334" spans="1:15" ht="24" customHeight="1">
      <c r="A334" s="186" t="s">
        <v>1940</v>
      </c>
      <c r="B334" s="187" t="s">
        <v>2121</v>
      </c>
      <c r="C334" s="153" t="s">
        <v>2146</v>
      </c>
      <c r="D334" s="153" t="s">
        <v>2147</v>
      </c>
      <c r="E334" s="153">
        <v>30</v>
      </c>
      <c r="F334" s="153"/>
      <c r="G334" s="153"/>
      <c r="H334" s="153"/>
      <c r="I334" s="153"/>
      <c r="J334" s="153"/>
      <c r="K334" s="153"/>
      <c r="M334" s="9" t="s">
        <v>2146</v>
      </c>
      <c r="N334" s="9" t="s">
        <v>2147</v>
      </c>
      <c r="O334" s="9">
        <v>30</v>
      </c>
    </row>
    <row r="335" spans="1:15" ht="24" customHeight="1">
      <c r="A335" s="186" t="s">
        <v>1940</v>
      </c>
      <c r="B335" s="187" t="s">
        <v>2121</v>
      </c>
      <c r="C335" s="153" t="s">
        <v>2148</v>
      </c>
      <c r="D335" s="153" t="s">
        <v>2149</v>
      </c>
      <c r="E335" s="153">
        <v>30</v>
      </c>
      <c r="F335" s="153"/>
      <c r="G335" s="153"/>
      <c r="H335" s="153"/>
      <c r="I335" s="153"/>
      <c r="J335" s="153"/>
      <c r="K335" s="153"/>
      <c r="M335" s="9" t="s">
        <v>2148</v>
      </c>
      <c r="N335" s="9" t="s">
        <v>2149</v>
      </c>
      <c r="O335" s="9">
        <v>30</v>
      </c>
    </row>
    <row r="336" spans="1:15" ht="24" customHeight="1">
      <c r="A336" s="186" t="s">
        <v>1940</v>
      </c>
      <c r="B336" s="187" t="s">
        <v>2121</v>
      </c>
      <c r="C336" s="153" t="s">
        <v>2150</v>
      </c>
      <c r="D336" s="153" t="s">
        <v>2151</v>
      </c>
      <c r="E336" s="153">
        <v>30</v>
      </c>
      <c r="F336" s="153"/>
      <c r="G336" s="153"/>
      <c r="H336" s="153"/>
      <c r="I336" s="153"/>
      <c r="J336" s="153"/>
      <c r="K336" s="153"/>
      <c r="M336" s="9" t="s">
        <v>2150</v>
      </c>
      <c r="N336" s="9" t="s">
        <v>2151</v>
      </c>
      <c r="O336" s="9">
        <v>30</v>
      </c>
    </row>
    <row r="337" spans="1:15" ht="24" customHeight="1">
      <c r="A337" s="186" t="s">
        <v>1940</v>
      </c>
      <c r="B337" s="187" t="s">
        <v>2121</v>
      </c>
      <c r="C337" s="153" t="s">
        <v>2152</v>
      </c>
      <c r="D337" s="153" t="s">
        <v>1846</v>
      </c>
      <c r="E337" s="153">
        <v>20</v>
      </c>
      <c r="F337" s="153"/>
      <c r="G337" s="153"/>
      <c r="H337" s="153"/>
      <c r="I337" s="153"/>
      <c r="J337" s="153"/>
      <c r="K337" s="153"/>
      <c r="M337" s="9" t="s">
        <v>2152</v>
      </c>
      <c r="N337" s="9" t="s">
        <v>1846</v>
      </c>
      <c r="O337" s="9">
        <v>20</v>
      </c>
    </row>
    <row r="338" spans="1:15" ht="24" customHeight="1">
      <c r="A338" s="186" t="s">
        <v>1940</v>
      </c>
      <c r="B338" s="187" t="s">
        <v>2121</v>
      </c>
      <c r="C338" s="153" t="s">
        <v>2153</v>
      </c>
      <c r="D338" s="153" t="s">
        <v>2154</v>
      </c>
      <c r="E338" s="153">
        <v>20</v>
      </c>
      <c r="F338" s="153"/>
      <c r="G338" s="153"/>
      <c r="H338" s="153"/>
      <c r="I338" s="153"/>
      <c r="J338" s="153"/>
      <c r="K338" s="153"/>
      <c r="M338" s="9" t="s">
        <v>2153</v>
      </c>
      <c r="N338" s="9" t="s">
        <v>2154</v>
      </c>
      <c r="O338" s="9">
        <v>20</v>
      </c>
    </row>
    <row r="339" spans="1:15" ht="24" customHeight="1">
      <c r="A339" s="186" t="s">
        <v>1940</v>
      </c>
      <c r="B339" s="187" t="s">
        <v>2121</v>
      </c>
      <c r="C339" s="153" t="s">
        <v>2155</v>
      </c>
      <c r="D339" s="153" t="s">
        <v>2156</v>
      </c>
      <c r="E339" s="153">
        <v>20</v>
      </c>
      <c r="F339" s="153"/>
      <c r="G339" s="153"/>
      <c r="H339" s="153"/>
      <c r="I339" s="153"/>
      <c r="J339" s="153"/>
      <c r="K339" s="153"/>
      <c r="M339" s="9" t="s">
        <v>2155</v>
      </c>
      <c r="N339" s="9" t="s">
        <v>2156</v>
      </c>
      <c r="O339" s="9">
        <v>20</v>
      </c>
    </row>
    <row r="340" spans="1:15" ht="24" customHeight="1">
      <c r="A340" s="186" t="s">
        <v>1940</v>
      </c>
      <c r="B340" s="187" t="s">
        <v>2121</v>
      </c>
      <c r="C340" s="153" t="s">
        <v>2157</v>
      </c>
      <c r="D340" s="153" t="s">
        <v>2158</v>
      </c>
      <c r="E340" s="153">
        <v>20</v>
      </c>
      <c r="F340" s="153"/>
      <c r="G340" s="153"/>
      <c r="H340" s="153"/>
      <c r="I340" s="153"/>
      <c r="J340" s="153"/>
      <c r="K340" s="153"/>
      <c r="M340" s="9" t="s">
        <v>2157</v>
      </c>
      <c r="N340" s="9" t="s">
        <v>2158</v>
      </c>
      <c r="O340" s="9">
        <v>20</v>
      </c>
    </row>
    <row r="341" spans="1:15" ht="24" customHeight="1">
      <c r="A341" s="186" t="s">
        <v>1940</v>
      </c>
      <c r="B341" s="187" t="s">
        <v>2121</v>
      </c>
      <c r="C341" s="153" t="s">
        <v>2159</v>
      </c>
      <c r="D341" s="153" t="s">
        <v>2160</v>
      </c>
      <c r="E341" s="153">
        <v>20</v>
      </c>
      <c r="F341" s="153"/>
      <c r="G341" s="153"/>
      <c r="H341" s="153"/>
      <c r="I341" s="153"/>
      <c r="J341" s="153"/>
      <c r="K341" s="153"/>
      <c r="M341" s="9" t="s">
        <v>2159</v>
      </c>
      <c r="N341" s="9" t="s">
        <v>2160</v>
      </c>
      <c r="O341" s="9">
        <v>20</v>
      </c>
    </row>
    <row r="342" spans="1:15" ht="24" customHeight="1">
      <c r="A342" s="186" t="s">
        <v>1940</v>
      </c>
      <c r="B342" s="187" t="s">
        <v>2121</v>
      </c>
      <c r="C342" s="153" t="s">
        <v>2161</v>
      </c>
      <c r="D342" s="153" t="s">
        <v>2162</v>
      </c>
      <c r="E342" s="153">
        <v>5</v>
      </c>
      <c r="F342" s="153"/>
      <c r="G342" s="153"/>
      <c r="H342" s="153"/>
      <c r="I342" s="153"/>
      <c r="J342" s="153"/>
      <c r="K342" s="153"/>
      <c r="M342" s="9" t="s">
        <v>2161</v>
      </c>
      <c r="N342" s="9" t="s">
        <v>2162</v>
      </c>
      <c r="O342" s="9">
        <v>5</v>
      </c>
    </row>
    <row r="343" spans="1:15" ht="24" customHeight="1">
      <c r="A343" s="186" t="s">
        <v>1940</v>
      </c>
      <c r="B343" s="187" t="s">
        <v>2121</v>
      </c>
      <c r="C343" s="153" t="s">
        <v>2163</v>
      </c>
      <c r="D343" s="153" t="s">
        <v>2164</v>
      </c>
      <c r="E343" s="153">
        <v>5</v>
      </c>
      <c r="F343" s="153"/>
      <c r="G343" s="153"/>
      <c r="H343" s="153"/>
      <c r="I343" s="153"/>
      <c r="J343" s="153"/>
      <c r="K343" s="153"/>
      <c r="M343" s="9" t="s">
        <v>2163</v>
      </c>
      <c r="N343" s="9" t="s">
        <v>2164</v>
      </c>
      <c r="O343" s="9">
        <v>5</v>
      </c>
    </row>
  </sheetData>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6FEE8-7399-4CE7-BD60-911650978125}">
  <sheetPr codeName="Sheet11">
    <tabColor rgb="FF866828"/>
  </sheetPr>
  <dimension ref="A1:E93"/>
  <sheetViews>
    <sheetView workbookViewId="0"/>
  </sheetViews>
  <sheetFormatPr defaultRowHeight="14.4"/>
  <cols>
    <col min="1" max="1" width="12.77734375" style="9" customWidth="1"/>
    <col min="2" max="3" width="18.77734375" style="9" customWidth="1"/>
    <col min="4" max="4" width="78.77734375" style="9" customWidth="1"/>
    <col min="5" max="5" width="22.77734375" style="9" customWidth="1"/>
    <col min="6" max="16384" width="8.88671875" style="9"/>
  </cols>
  <sheetData>
    <row r="1" spans="1:5" ht="24" customHeight="1">
      <c r="A1" s="173" t="s">
        <v>2396</v>
      </c>
      <c r="B1" s="173"/>
      <c r="C1" s="173"/>
      <c r="D1" s="173"/>
      <c r="E1" s="173"/>
    </row>
    <row r="2" spans="1:5" ht="24" customHeight="1">
      <c r="A2" s="184" t="s">
        <v>2397</v>
      </c>
      <c r="B2" s="184"/>
      <c r="C2" s="184"/>
      <c r="D2" s="184"/>
      <c r="E2" s="184"/>
    </row>
    <row r="3" spans="1:5" ht="24" customHeight="1">
      <c r="A3" s="185"/>
      <c r="B3" s="185"/>
      <c r="C3" s="185"/>
      <c r="D3" s="185"/>
      <c r="E3" s="185"/>
    </row>
    <row r="4" spans="1:5" ht="24" customHeight="1">
      <c r="A4" s="152" t="s">
        <v>2398</v>
      </c>
      <c r="B4" s="152" t="s">
        <v>2399</v>
      </c>
      <c r="C4" s="152" t="s">
        <v>1394</v>
      </c>
      <c r="D4" s="152" t="s">
        <v>206</v>
      </c>
      <c r="E4" s="152" t="s">
        <v>136</v>
      </c>
    </row>
    <row r="5" spans="1:5" ht="24" customHeight="1">
      <c r="A5" s="186" t="s">
        <v>2400</v>
      </c>
      <c r="B5" s="187" t="s">
        <v>2401</v>
      </c>
      <c r="C5" s="153" t="s">
        <v>2402</v>
      </c>
      <c r="D5" s="153" t="s">
        <v>2403</v>
      </c>
      <c r="E5" s="153"/>
    </row>
    <row r="6" spans="1:5" ht="24" customHeight="1">
      <c r="A6" s="186" t="s">
        <v>2400</v>
      </c>
      <c r="B6" s="187" t="s">
        <v>2401</v>
      </c>
      <c r="C6" s="153" t="s">
        <v>2404</v>
      </c>
      <c r="D6" s="153" t="s">
        <v>2405</v>
      </c>
      <c r="E6" s="153"/>
    </row>
    <row r="7" spans="1:5" ht="24" customHeight="1">
      <c r="A7" s="186" t="s">
        <v>2400</v>
      </c>
      <c r="B7" s="187" t="s">
        <v>2401</v>
      </c>
      <c r="C7" s="153" t="s">
        <v>2406</v>
      </c>
      <c r="D7" s="153" t="s">
        <v>2407</v>
      </c>
      <c r="E7" s="153"/>
    </row>
    <row r="8" spans="1:5" ht="24" customHeight="1">
      <c r="A8" s="186" t="s">
        <v>2400</v>
      </c>
      <c r="B8" s="187" t="s">
        <v>2401</v>
      </c>
      <c r="C8" s="153" t="s">
        <v>2408</v>
      </c>
      <c r="D8" s="153" t="s">
        <v>2409</v>
      </c>
      <c r="E8" s="153"/>
    </row>
    <row r="9" spans="1:5" ht="24" customHeight="1">
      <c r="A9" s="186" t="s">
        <v>2400</v>
      </c>
      <c r="B9" s="187" t="s">
        <v>2401</v>
      </c>
      <c r="C9" s="153" t="s">
        <v>2410</v>
      </c>
      <c r="D9" s="153" t="s">
        <v>2411</v>
      </c>
      <c r="E9" s="153"/>
    </row>
    <row r="10" spans="1:5" ht="24" customHeight="1">
      <c r="A10" s="186" t="s">
        <v>2400</v>
      </c>
      <c r="B10" s="187" t="s">
        <v>2401</v>
      </c>
      <c r="C10" s="153" t="s">
        <v>2412</v>
      </c>
      <c r="D10" s="153" t="s">
        <v>2413</v>
      </c>
      <c r="E10" s="153"/>
    </row>
    <row r="11" spans="1:5" ht="24" customHeight="1">
      <c r="A11" s="186" t="s">
        <v>2400</v>
      </c>
      <c r="B11" s="187" t="s">
        <v>2401</v>
      </c>
      <c r="C11" s="153" t="s">
        <v>2414</v>
      </c>
      <c r="D11" s="153" t="s">
        <v>2415</v>
      </c>
      <c r="E11" s="153"/>
    </row>
    <row r="12" spans="1:5" ht="24" customHeight="1">
      <c r="A12" s="186" t="s">
        <v>2400</v>
      </c>
      <c r="B12" s="187" t="s">
        <v>2401</v>
      </c>
      <c r="C12" s="153" t="s">
        <v>2416</v>
      </c>
      <c r="D12" s="153" t="s">
        <v>2417</v>
      </c>
      <c r="E12" s="153"/>
    </row>
    <row r="13" spans="1:5" ht="24" customHeight="1">
      <c r="A13" s="186" t="s">
        <v>2400</v>
      </c>
      <c r="B13" s="187" t="s">
        <v>2401</v>
      </c>
      <c r="C13" s="153" t="s">
        <v>2418</v>
      </c>
      <c r="D13" s="153" t="s">
        <v>2419</v>
      </c>
      <c r="E13" s="153"/>
    </row>
    <row r="14" spans="1:5" ht="24" customHeight="1">
      <c r="A14" s="186" t="s">
        <v>2400</v>
      </c>
      <c r="B14" s="187" t="s">
        <v>2401</v>
      </c>
      <c r="C14" s="153" t="s">
        <v>2420</v>
      </c>
      <c r="D14" s="153" t="s">
        <v>2421</v>
      </c>
      <c r="E14" s="153"/>
    </row>
    <row r="15" spans="1:5" ht="24" customHeight="1">
      <c r="A15" s="186" t="s">
        <v>2400</v>
      </c>
      <c r="B15" s="187" t="s">
        <v>2422</v>
      </c>
      <c r="C15" s="153" t="s">
        <v>2423</v>
      </c>
      <c r="D15" s="153" t="s">
        <v>2424</v>
      </c>
      <c r="E15" s="153"/>
    </row>
    <row r="16" spans="1:5" ht="24" customHeight="1">
      <c r="A16" s="186" t="s">
        <v>2400</v>
      </c>
      <c r="B16" s="187" t="s">
        <v>2422</v>
      </c>
      <c r="C16" s="153" t="s">
        <v>2425</v>
      </c>
      <c r="D16" s="153" t="s">
        <v>2426</v>
      </c>
      <c r="E16" s="153"/>
    </row>
    <row r="17" spans="1:5" ht="24" customHeight="1">
      <c r="A17" s="186" t="s">
        <v>2400</v>
      </c>
      <c r="B17" s="187" t="s">
        <v>2422</v>
      </c>
      <c r="C17" s="153" t="s">
        <v>2427</v>
      </c>
      <c r="D17" s="153" t="s">
        <v>2428</v>
      </c>
      <c r="E17" s="153"/>
    </row>
    <row r="18" spans="1:5" ht="24" customHeight="1">
      <c r="A18" s="186" t="s">
        <v>2400</v>
      </c>
      <c r="B18" s="187" t="s">
        <v>2422</v>
      </c>
      <c r="C18" s="153" t="s">
        <v>2429</v>
      </c>
      <c r="D18" s="153" t="s">
        <v>2430</v>
      </c>
      <c r="E18" s="153"/>
    </row>
    <row r="19" spans="1:5" ht="24" customHeight="1">
      <c r="A19" s="186" t="s">
        <v>2400</v>
      </c>
      <c r="B19" s="187" t="s">
        <v>2422</v>
      </c>
      <c r="C19" s="153" t="s">
        <v>2431</v>
      </c>
      <c r="D19" s="153" t="s">
        <v>2432</v>
      </c>
      <c r="E19" s="153"/>
    </row>
    <row r="20" spans="1:5" ht="24" customHeight="1">
      <c r="A20" s="186" t="s">
        <v>2400</v>
      </c>
      <c r="B20" s="187" t="s">
        <v>2422</v>
      </c>
      <c r="C20" s="153" t="s">
        <v>2433</v>
      </c>
      <c r="D20" s="153" t="s">
        <v>2434</v>
      </c>
      <c r="E20" s="153"/>
    </row>
    <row r="21" spans="1:5" ht="24" customHeight="1">
      <c r="A21" s="186" t="s">
        <v>2400</v>
      </c>
      <c r="B21" s="187" t="s">
        <v>2422</v>
      </c>
      <c r="C21" s="153" t="s">
        <v>2435</v>
      </c>
      <c r="D21" s="153" t="s">
        <v>2436</v>
      </c>
      <c r="E21" s="153"/>
    </row>
    <row r="22" spans="1:5" ht="24" customHeight="1">
      <c r="A22" s="186" t="s">
        <v>2400</v>
      </c>
      <c r="B22" s="187" t="s">
        <v>2422</v>
      </c>
      <c r="C22" s="153" t="s">
        <v>2437</v>
      </c>
      <c r="D22" s="153" t="s">
        <v>2438</v>
      </c>
      <c r="E22" s="153"/>
    </row>
    <row r="23" spans="1:5" ht="24" customHeight="1">
      <c r="A23" s="186" t="s">
        <v>2400</v>
      </c>
      <c r="B23" s="187" t="s">
        <v>2422</v>
      </c>
      <c r="C23" s="153" t="s">
        <v>2439</v>
      </c>
      <c r="D23" s="153" t="s">
        <v>2440</v>
      </c>
      <c r="E23" s="153"/>
    </row>
    <row r="24" spans="1:5" ht="24" customHeight="1">
      <c r="A24" s="186" t="s">
        <v>2400</v>
      </c>
      <c r="B24" s="187" t="s">
        <v>2441</v>
      </c>
      <c r="C24" s="153" t="s">
        <v>2442</v>
      </c>
      <c r="D24" s="153" t="s">
        <v>2443</v>
      </c>
      <c r="E24" s="153"/>
    </row>
    <row r="25" spans="1:5" ht="24" customHeight="1">
      <c r="A25" s="186" t="s">
        <v>2400</v>
      </c>
      <c r="B25" s="187" t="s">
        <v>2441</v>
      </c>
      <c r="C25" s="153" t="s">
        <v>2444</v>
      </c>
      <c r="D25" s="153" t="s">
        <v>2445</v>
      </c>
      <c r="E25" s="153"/>
    </row>
    <row r="26" spans="1:5" ht="24" customHeight="1">
      <c r="A26" s="186" t="s">
        <v>2400</v>
      </c>
      <c r="B26" s="187" t="s">
        <v>2441</v>
      </c>
      <c r="C26" s="153" t="s">
        <v>2446</v>
      </c>
      <c r="D26" s="153" t="s">
        <v>2447</v>
      </c>
      <c r="E26" s="153"/>
    </row>
    <row r="27" spans="1:5" ht="24" customHeight="1">
      <c r="A27" s="186" t="s">
        <v>2400</v>
      </c>
      <c r="B27" s="187" t="s">
        <v>2441</v>
      </c>
      <c r="C27" s="153" t="s">
        <v>2448</v>
      </c>
      <c r="D27" s="153" t="s">
        <v>2449</v>
      </c>
      <c r="E27" s="153"/>
    </row>
    <row r="28" spans="1:5" ht="24" customHeight="1">
      <c r="A28" s="186" t="s">
        <v>2400</v>
      </c>
      <c r="B28" s="187" t="s">
        <v>2441</v>
      </c>
      <c r="C28" s="153" t="s">
        <v>2450</v>
      </c>
      <c r="D28" s="153" t="s">
        <v>2451</v>
      </c>
      <c r="E28" s="153"/>
    </row>
    <row r="29" spans="1:5" ht="24" customHeight="1">
      <c r="A29" s="186" t="s">
        <v>2400</v>
      </c>
      <c r="B29" s="187" t="s">
        <v>2441</v>
      </c>
      <c r="C29" s="153" t="s">
        <v>2452</v>
      </c>
      <c r="D29" s="153" t="s">
        <v>2453</v>
      </c>
      <c r="E29" s="153"/>
    </row>
    <row r="30" spans="1:5" ht="24" customHeight="1">
      <c r="A30" s="186" t="s">
        <v>2454</v>
      </c>
      <c r="B30" s="187" t="s">
        <v>2401</v>
      </c>
      <c r="C30" s="153" t="s">
        <v>2455</v>
      </c>
      <c r="D30" s="153" t="s">
        <v>2456</v>
      </c>
      <c r="E30" s="153"/>
    </row>
    <row r="31" spans="1:5" ht="24" customHeight="1">
      <c r="A31" s="186" t="s">
        <v>2454</v>
      </c>
      <c r="B31" s="187" t="s">
        <v>2401</v>
      </c>
      <c r="C31" s="153" t="s">
        <v>2457</v>
      </c>
      <c r="D31" s="153" t="s">
        <v>2458</v>
      </c>
      <c r="E31" s="153"/>
    </row>
    <row r="32" spans="1:5" ht="24" customHeight="1">
      <c r="A32" s="186" t="s">
        <v>2454</v>
      </c>
      <c r="B32" s="187" t="s">
        <v>2401</v>
      </c>
      <c r="C32" s="153" t="s">
        <v>2459</v>
      </c>
      <c r="D32" s="153" t="s">
        <v>2460</v>
      </c>
      <c r="E32" s="153"/>
    </row>
    <row r="33" spans="1:5" ht="24" customHeight="1">
      <c r="A33" s="186" t="s">
        <v>2454</v>
      </c>
      <c r="B33" s="187" t="s">
        <v>2401</v>
      </c>
      <c r="C33" s="153" t="s">
        <v>2461</v>
      </c>
      <c r="D33" s="153" t="s">
        <v>2462</v>
      </c>
      <c r="E33" s="153"/>
    </row>
    <row r="34" spans="1:5" ht="24" customHeight="1">
      <c r="A34" s="186" t="s">
        <v>2454</v>
      </c>
      <c r="B34" s="187" t="s">
        <v>2401</v>
      </c>
      <c r="C34" s="153" t="s">
        <v>2463</v>
      </c>
      <c r="D34" s="153" t="s">
        <v>2464</v>
      </c>
      <c r="E34" s="153"/>
    </row>
    <row r="35" spans="1:5" ht="24" customHeight="1">
      <c r="A35" s="186" t="s">
        <v>2454</v>
      </c>
      <c r="B35" s="187" t="s">
        <v>2401</v>
      </c>
      <c r="C35" s="153" t="s">
        <v>2465</v>
      </c>
      <c r="D35" s="153" t="s">
        <v>2466</v>
      </c>
      <c r="E35" s="153"/>
    </row>
    <row r="36" spans="1:5" ht="24" customHeight="1">
      <c r="A36" s="186" t="s">
        <v>2454</v>
      </c>
      <c r="B36" s="187" t="s">
        <v>2401</v>
      </c>
      <c r="C36" s="153" t="s">
        <v>2467</v>
      </c>
      <c r="D36" s="153" t="s">
        <v>2468</v>
      </c>
      <c r="E36" s="153"/>
    </row>
    <row r="37" spans="1:5" ht="24" customHeight="1">
      <c r="A37" s="186" t="s">
        <v>2454</v>
      </c>
      <c r="B37" s="187" t="s">
        <v>2401</v>
      </c>
      <c r="C37" s="153" t="s">
        <v>2469</v>
      </c>
      <c r="D37" s="153" t="s">
        <v>2470</v>
      </c>
      <c r="E37" s="153"/>
    </row>
    <row r="38" spans="1:5" ht="24" customHeight="1">
      <c r="A38" s="186" t="s">
        <v>2454</v>
      </c>
      <c r="B38" s="187" t="s">
        <v>2401</v>
      </c>
      <c r="C38" s="153" t="s">
        <v>2471</v>
      </c>
      <c r="D38" s="153" t="s">
        <v>2472</v>
      </c>
      <c r="E38" s="153"/>
    </row>
    <row r="39" spans="1:5" ht="24" customHeight="1">
      <c r="A39" s="186" t="s">
        <v>2454</v>
      </c>
      <c r="B39" s="187" t="s">
        <v>2401</v>
      </c>
      <c r="C39" s="153" t="s">
        <v>2473</v>
      </c>
      <c r="D39" s="153" t="s">
        <v>2474</v>
      </c>
      <c r="E39" s="153"/>
    </row>
    <row r="40" spans="1:5" ht="24" customHeight="1">
      <c r="A40" s="186" t="s">
        <v>2454</v>
      </c>
      <c r="B40" s="187" t="s">
        <v>2475</v>
      </c>
      <c r="C40" s="153" t="s">
        <v>2476</v>
      </c>
      <c r="D40" s="153" t="s">
        <v>2477</v>
      </c>
      <c r="E40" s="153"/>
    </row>
    <row r="41" spans="1:5" ht="24" customHeight="1">
      <c r="A41" s="186" t="s">
        <v>2454</v>
      </c>
      <c r="B41" s="187" t="s">
        <v>2475</v>
      </c>
      <c r="C41" s="153" t="s">
        <v>2478</v>
      </c>
      <c r="D41" s="153" t="s">
        <v>2479</v>
      </c>
      <c r="E41" s="153"/>
    </row>
    <row r="42" spans="1:5" ht="24" customHeight="1">
      <c r="A42" s="186" t="s">
        <v>2454</v>
      </c>
      <c r="B42" s="187" t="s">
        <v>2475</v>
      </c>
      <c r="C42" s="153" t="s">
        <v>2480</v>
      </c>
      <c r="D42" s="153" t="s">
        <v>2481</v>
      </c>
      <c r="E42" s="153"/>
    </row>
    <row r="43" spans="1:5" ht="24" customHeight="1">
      <c r="A43" s="186" t="s">
        <v>2454</v>
      </c>
      <c r="B43" s="187" t="s">
        <v>2475</v>
      </c>
      <c r="C43" s="153" t="s">
        <v>2482</v>
      </c>
      <c r="D43" s="153" t="s">
        <v>2483</v>
      </c>
      <c r="E43" s="153"/>
    </row>
    <row r="44" spans="1:5" ht="24" customHeight="1">
      <c r="A44" s="186" t="s">
        <v>2454</v>
      </c>
      <c r="B44" s="187" t="s">
        <v>2475</v>
      </c>
      <c r="C44" s="153" t="s">
        <v>2484</v>
      </c>
      <c r="D44" s="153" t="s">
        <v>2485</v>
      </c>
      <c r="E44" s="153"/>
    </row>
    <row r="45" spans="1:5" ht="24" customHeight="1">
      <c r="A45" s="186" t="s">
        <v>2454</v>
      </c>
      <c r="B45" s="187" t="s">
        <v>2475</v>
      </c>
      <c r="C45" s="153" t="s">
        <v>2486</v>
      </c>
      <c r="D45" s="153" t="s">
        <v>2487</v>
      </c>
      <c r="E45" s="153"/>
    </row>
    <row r="46" spans="1:5" ht="24" customHeight="1">
      <c r="A46" s="186" t="s">
        <v>2454</v>
      </c>
      <c r="B46" s="187" t="s">
        <v>2475</v>
      </c>
      <c r="C46" s="153" t="s">
        <v>2488</v>
      </c>
      <c r="D46" s="153" t="s">
        <v>2489</v>
      </c>
      <c r="E46" s="153"/>
    </row>
    <row r="47" spans="1:5" ht="24" customHeight="1">
      <c r="A47" s="186" t="s">
        <v>2454</v>
      </c>
      <c r="B47" s="187" t="s">
        <v>2475</v>
      </c>
      <c r="C47" s="153" t="s">
        <v>2461</v>
      </c>
      <c r="D47" s="153" t="s">
        <v>2490</v>
      </c>
      <c r="E47" s="153"/>
    </row>
    <row r="48" spans="1:5" ht="24" customHeight="1">
      <c r="A48" s="186" t="s">
        <v>2454</v>
      </c>
      <c r="B48" s="187" t="s">
        <v>2475</v>
      </c>
      <c r="C48" s="153" t="s">
        <v>2491</v>
      </c>
      <c r="D48" s="153" t="s">
        <v>2492</v>
      </c>
      <c r="E48" s="153"/>
    </row>
    <row r="49" spans="1:5" ht="24" customHeight="1">
      <c r="A49" s="186" t="s">
        <v>2454</v>
      </c>
      <c r="B49" s="187" t="s">
        <v>2441</v>
      </c>
      <c r="C49" s="153" t="s">
        <v>2493</v>
      </c>
      <c r="D49" s="153" t="s">
        <v>2494</v>
      </c>
      <c r="E49" s="153"/>
    </row>
    <row r="50" spans="1:5" ht="24" customHeight="1">
      <c r="A50" s="186" t="s">
        <v>2454</v>
      </c>
      <c r="B50" s="187" t="s">
        <v>2441</v>
      </c>
      <c r="C50" s="153" t="s">
        <v>2495</v>
      </c>
      <c r="D50" s="153" t="s">
        <v>2496</v>
      </c>
      <c r="E50" s="153"/>
    </row>
    <row r="51" spans="1:5" ht="24" customHeight="1">
      <c r="A51" s="186" t="s">
        <v>2454</v>
      </c>
      <c r="B51" s="187" t="s">
        <v>2441</v>
      </c>
      <c r="C51" s="153" t="s">
        <v>2497</v>
      </c>
      <c r="D51" s="153" t="s">
        <v>2498</v>
      </c>
      <c r="E51" s="153"/>
    </row>
    <row r="52" spans="1:5" ht="24" customHeight="1">
      <c r="A52" s="186" t="s">
        <v>2454</v>
      </c>
      <c r="B52" s="187" t="s">
        <v>2441</v>
      </c>
      <c r="C52" s="153" t="s">
        <v>2499</v>
      </c>
      <c r="D52" s="153" t="s">
        <v>2500</v>
      </c>
      <c r="E52" s="153"/>
    </row>
    <row r="53" spans="1:5" ht="24" customHeight="1">
      <c r="A53" s="186" t="s">
        <v>2454</v>
      </c>
      <c r="B53" s="187" t="s">
        <v>2441</v>
      </c>
      <c r="C53" s="153" t="s">
        <v>2501</v>
      </c>
      <c r="D53" s="153" t="s">
        <v>2502</v>
      </c>
      <c r="E53" s="153"/>
    </row>
    <row r="54" spans="1:5" ht="24" customHeight="1">
      <c r="A54" s="186" t="s">
        <v>2454</v>
      </c>
      <c r="B54" s="187" t="s">
        <v>2441</v>
      </c>
      <c r="C54" s="153" t="s">
        <v>2503</v>
      </c>
      <c r="D54" s="153" t="s">
        <v>2504</v>
      </c>
      <c r="E54" s="153"/>
    </row>
    <row r="55" spans="1:5" ht="24" customHeight="1">
      <c r="A55" s="186" t="s">
        <v>2505</v>
      </c>
      <c r="B55" s="187" t="s">
        <v>2401</v>
      </c>
      <c r="C55" s="153" t="s">
        <v>2506</v>
      </c>
      <c r="D55" s="153" t="s">
        <v>2507</v>
      </c>
      <c r="E55" s="153"/>
    </row>
    <row r="56" spans="1:5" ht="24" customHeight="1">
      <c r="A56" s="186" t="s">
        <v>2505</v>
      </c>
      <c r="B56" s="187" t="s">
        <v>2401</v>
      </c>
      <c r="C56" s="153" t="s">
        <v>2508</v>
      </c>
      <c r="D56" s="153" t="s">
        <v>2509</v>
      </c>
      <c r="E56" s="153"/>
    </row>
    <row r="57" spans="1:5" ht="24" customHeight="1">
      <c r="A57" s="186" t="s">
        <v>2505</v>
      </c>
      <c r="B57" s="187" t="s">
        <v>2401</v>
      </c>
      <c r="C57" s="153" t="s">
        <v>2510</v>
      </c>
      <c r="D57" s="153" t="s">
        <v>2511</v>
      </c>
      <c r="E57" s="153"/>
    </row>
    <row r="58" spans="1:5" ht="24" customHeight="1">
      <c r="A58" s="186" t="s">
        <v>2505</v>
      </c>
      <c r="B58" s="187" t="s">
        <v>2401</v>
      </c>
      <c r="C58" s="153" t="s">
        <v>2512</v>
      </c>
      <c r="D58" s="153" t="s">
        <v>2513</v>
      </c>
      <c r="E58" s="153"/>
    </row>
    <row r="59" spans="1:5" ht="24" customHeight="1">
      <c r="A59" s="186" t="s">
        <v>2505</v>
      </c>
      <c r="B59" s="187" t="s">
        <v>2401</v>
      </c>
      <c r="C59" s="153" t="s">
        <v>2514</v>
      </c>
      <c r="D59" s="153" t="s">
        <v>2515</v>
      </c>
      <c r="E59" s="153"/>
    </row>
    <row r="60" spans="1:5" ht="24" customHeight="1">
      <c r="A60" s="186" t="s">
        <v>2505</v>
      </c>
      <c r="B60" s="187" t="s">
        <v>2401</v>
      </c>
      <c r="C60" s="153" t="s">
        <v>2516</v>
      </c>
      <c r="D60" s="153" t="s">
        <v>2517</v>
      </c>
      <c r="E60" s="153"/>
    </row>
    <row r="61" spans="1:5" ht="24" customHeight="1">
      <c r="A61" s="186" t="s">
        <v>2505</v>
      </c>
      <c r="B61" s="187" t="s">
        <v>2401</v>
      </c>
      <c r="C61" s="153" t="s">
        <v>2518</v>
      </c>
      <c r="D61" s="153" t="s">
        <v>2519</v>
      </c>
      <c r="E61" s="153"/>
    </row>
    <row r="62" spans="1:5" ht="24" customHeight="1">
      <c r="A62" s="186" t="s">
        <v>2505</v>
      </c>
      <c r="B62" s="187" t="s">
        <v>2401</v>
      </c>
      <c r="C62" s="153" t="s">
        <v>2520</v>
      </c>
      <c r="D62" s="153" t="s">
        <v>2521</v>
      </c>
      <c r="E62" s="153"/>
    </row>
    <row r="63" spans="1:5" ht="24" customHeight="1">
      <c r="A63" s="186" t="s">
        <v>2505</v>
      </c>
      <c r="B63" s="187" t="s">
        <v>2401</v>
      </c>
      <c r="C63" s="153" t="s">
        <v>2522</v>
      </c>
      <c r="D63" s="153" t="s">
        <v>2523</v>
      </c>
      <c r="E63" s="153"/>
    </row>
    <row r="64" spans="1:5" ht="24" customHeight="1">
      <c r="A64" s="186" t="s">
        <v>2505</v>
      </c>
      <c r="B64" s="187" t="s">
        <v>2401</v>
      </c>
      <c r="C64" s="153" t="s">
        <v>2524</v>
      </c>
      <c r="D64" s="153" t="s">
        <v>2525</v>
      </c>
      <c r="E64" s="153"/>
    </row>
    <row r="65" spans="1:5" ht="24" customHeight="1">
      <c r="A65" s="186" t="s">
        <v>2505</v>
      </c>
      <c r="B65" s="187" t="s">
        <v>2475</v>
      </c>
      <c r="C65" s="153" t="s">
        <v>2526</v>
      </c>
      <c r="D65" s="153" t="s">
        <v>2527</v>
      </c>
      <c r="E65" s="153"/>
    </row>
    <row r="66" spans="1:5" ht="24" customHeight="1">
      <c r="A66" s="186" t="s">
        <v>2505</v>
      </c>
      <c r="B66" s="187" t="s">
        <v>2475</v>
      </c>
      <c r="C66" s="153" t="s">
        <v>2528</v>
      </c>
      <c r="D66" s="153" t="s">
        <v>2529</v>
      </c>
      <c r="E66" s="153"/>
    </row>
    <row r="67" spans="1:5" ht="24" customHeight="1">
      <c r="A67" s="186" t="s">
        <v>2505</v>
      </c>
      <c r="B67" s="187" t="s">
        <v>2475</v>
      </c>
      <c r="C67" s="153" t="s">
        <v>2530</v>
      </c>
      <c r="D67" s="153" t="s">
        <v>2531</v>
      </c>
      <c r="E67" s="153"/>
    </row>
    <row r="68" spans="1:5" ht="24" customHeight="1">
      <c r="A68" s="186" t="s">
        <v>2505</v>
      </c>
      <c r="B68" s="187" t="s">
        <v>2475</v>
      </c>
      <c r="C68" s="153" t="s">
        <v>2532</v>
      </c>
      <c r="D68" s="153" t="s">
        <v>2533</v>
      </c>
      <c r="E68" s="153"/>
    </row>
    <row r="69" spans="1:5" ht="24" customHeight="1">
      <c r="A69" s="186" t="s">
        <v>2505</v>
      </c>
      <c r="B69" s="187" t="s">
        <v>2475</v>
      </c>
      <c r="C69" s="153" t="s">
        <v>2534</v>
      </c>
      <c r="D69" s="153" t="s">
        <v>2535</v>
      </c>
      <c r="E69" s="153"/>
    </row>
    <row r="70" spans="1:5" ht="24" customHeight="1">
      <c r="A70" s="186" t="s">
        <v>2505</v>
      </c>
      <c r="B70" s="187" t="s">
        <v>2475</v>
      </c>
      <c r="C70" s="153" t="s">
        <v>2536</v>
      </c>
      <c r="D70" s="153" t="s">
        <v>2537</v>
      </c>
      <c r="E70" s="153"/>
    </row>
    <row r="71" spans="1:5" ht="24" customHeight="1">
      <c r="A71" s="186" t="s">
        <v>2505</v>
      </c>
      <c r="B71" s="187" t="s">
        <v>2475</v>
      </c>
      <c r="C71" s="153" t="s">
        <v>2538</v>
      </c>
      <c r="D71" s="153" t="s">
        <v>2539</v>
      </c>
      <c r="E71" s="153"/>
    </row>
    <row r="72" spans="1:5" ht="24" customHeight="1">
      <c r="A72" s="186" t="s">
        <v>2505</v>
      </c>
      <c r="B72" s="187" t="s">
        <v>2475</v>
      </c>
      <c r="C72" s="153" t="s">
        <v>2540</v>
      </c>
      <c r="D72" s="153" t="s">
        <v>2541</v>
      </c>
      <c r="E72" s="153"/>
    </row>
    <row r="73" spans="1:5" ht="24" customHeight="1">
      <c r="A73" s="186" t="s">
        <v>2505</v>
      </c>
      <c r="B73" s="187" t="s">
        <v>2475</v>
      </c>
      <c r="C73" s="153" t="s">
        <v>2542</v>
      </c>
      <c r="D73" s="153" t="s">
        <v>2543</v>
      </c>
      <c r="E73" s="153"/>
    </row>
    <row r="74" spans="1:5" ht="24" customHeight="1">
      <c r="A74" s="186" t="s">
        <v>2505</v>
      </c>
      <c r="B74" s="187" t="s">
        <v>2441</v>
      </c>
      <c r="C74" s="153" t="s">
        <v>2544</v>
      </c>
      <c r="D74" s="153" t="s">
        <v>2545</v>
      </c>
      <c r="E74" s="153"/>
    </row>
    <row r="75" spans="1:5" ht="24" customHeight="1">
      <c r="A75" s="186" t="s">
        <v>2505</v>
      </c>
      <c r="B75" s="187" t="s">
        <v>2441</v>
      </c>
      <c r="C75" s="153" t="s">
        <v>2546</v>
      </c>
      <c r="D75" s="153" t="s">
        <v>2547</v>
      </c>
      <c r="E75" s="153"/>
    </row>
    <row r="76" spans="1:5" ht="24" customHeight="1">
      <c r="A76" s="186" t="s">
        <v>2505</v>
      </c>
      <c r="B76" s="187" t="s">
        <v>2441</v>
      </c>
      <c r="C76" s="153" t="s">
        <v>2548</v>
      </c>
      <c r="D76" s="153" t="s">
        <v>2549</v>
      </c>
      <c r="E76" s="153"/>
    </row>
    <row r="77" spans="1:5" ht="24" customHeight="1">
      <c r="A77" s="186" t="s">
        <v>2505</v>
      </c>
      <c r="B77" s="187" t="s">
        <v>2441</v>
      </c>
      <c r="C77" s="153" t="s">
        <v>2550</v>
      </c>
      <c r="D77" s="153" t="s">
        <v>2551</v>
      </c>
      <c r="E77" s="153"/>
    </row>
    <row r="78" spans="1:5" ht="24" customHeight="1">
      <c r="A78" s="186" t="s">
        <v>2505</v>
      </c>
      <c r="B78" s="187" t="s">
        <v>2441</v>
      </c>
      <c r="C78" s="153" t="s">
        <v>2552</v>
      </c>
      <c r="D78" s="153" t="s">
        <v>2553</v>
      </c>
      <c r="E78" s="153"/>
    </row>
    <row r="79" spans="1:5" ht="24" customHeight="1">
      <c r="A79" s="186" t="s">
        <v>2554</v>
      </c>
      <c r="B79" s="187" t="s">
        <v>2401</v>
      </c>
      <c r="C79" s="153" t="s">
        <v>2555</v>
      </c>
      <c r="D79" s="153"/>
      <c r="E79" s="153"/>
    </row>
    <row r="80" spans="1:5" ht="24" customHeight="1">
      <c r="A80" s="186" t="s">
        <v>2554</v>
      </c>
      <c r="B80" s="187" t="s">
        <v>2401</v>
      </c>
      <c r="C80" s="153" t="s">
        <v>2556</v>
      </c>
      <c r="D80" s="153"/>
      <c r="E80" s="153"/>
    </row>
    <row r="81" spans="1:5" ht="24" customHeight="1">
      <c r="A81" s="186" t="s">
        <v>2554</v>
      </c>
      <c r="B81" s="187" t="s">
        <v>2401</v>
      </c>
      <c r="C81" s="153" t="s">
        <v>2557</v>
      </c>
      <c r="D81" s="153"/>
      <c r="E81" s="153"/>
    </row>
    <row r="82" spans="1:5" ht="24" customHeight="1">
      <c r="A82" s="186" t="s">
        <v>2554</v>
      </c>
      <c r="B82" s="187" t="s">
        <v>2401</v>
      </c>
      <c r="C82" s="153" t="s">
        <v>2558</v>
      </c>
      <c r="D82" s="153"/>
      <c r="E82" s="153"/>
    </row>
    <row r="83" spans="1:5" ht="24" customHeight="1">
      <c r="A83" s="186" t="s">
        <v>2554</v>
      </c>
      <c r="B83" s="187" t="s">
        <v>2401</v>
      </c>
      <c r="C83" s="153" t="s">
        <v>2559</v>
      </c>
      <c r="D83" s="153"/>
      <c r="E83" s="153"/>
    </row>
    <row r="84" spans="1:5" ht="24" customHeight="1">
      <c r="A84" s="186" t="s">
        <v>2554</v>
      </c>
      <c r="B84" s="187" t="s">
        <v>2401</v>
      </c>
      <c r="C84" s="153" t="s">
        <v>2560</v>
      </c>
      <c r="D84" s="153"/>
      <c r="E84" s="153"/>
    </row>
    <row r="85" spans="1:5" ht="24" customHeight="1">
      <c r="A85" s="186" t="s">
        <v>2554</v>
      </c>
      <c r="B85" s="187" t="s">
        <v>2441</v>
      </c>
      <c r="C85" s="153" t="s">
        <v>2561</v>
      </c>
      <c r="D85" s="153" t="s">
        <v>2562</v>
      </c>
      <c r="E85" s="153"/>
    </row>
    <row r="86" spans="1:5" ht="24" customHeight="1">
      <c r="A86" s="186" t="s">
        <v>2554</v>
      </c>
      <c r="B86" s="187" t="s">
        <v>2441</v>
      </c>
      <c r="C86" s="153" t="s">
        <v>2563</v>
      </c>
      <c r="D86" s="153" t="s">
        <v>2564</v>
      </c>
      <c r="E86" s="153"/>
    </row>
    <row r="87" spans="1:5" ht="24" customHeight="1">
      <c r="A87" s="186" t="s">
        <v>2554</v>
      </c>
      <c r="B87" s="187" t="s">
        <v>2441</v>
      </c>
      <c r="C87" s="153" t="s">
        <v>2565</v>
      </c>
      <c r="D87" s="153" t="s">
        <v>2566</v>
      </c>
      <c r="E87" s="153"/>
    </row>
    <row r="88" spans="1:5" ht="24" customHeight="1">
      <c r="A88" s="186" t="s">
        <v>2554</v>
      </c>
      <c r="B88" s="187" t="s">
        <v>2441</v>
      </c>
      <c r="C88" s="153" t="s">
        <v>2567</v>
      </c>
      <c r="D88" s="153" t="s">
        <v>2568</v>
      </c>
      <c r="E88" s="153"/>
    </row>
    <row r="89" spans="1:5" ht="24" customHeight="1">
      <c r="A89" s="186" t="s">
        <v>2554</v>
      </c>
      <c r="B89" s="187" t="s">
        <v>2441</v>
      </c>
      <c r="C89" s="153" t="s">
        <v>2569</v>
      </c>
      <c r="D89" s="153" t="s">
        <v>2570</v>
      </c>
      <c r="E89" s="153"/>
    </row>
    <row r="90" spans="1:5" ht="24" customHeight="1">
      <c r="A90" s="186" t="s">
        <v>2554</v>
      </c>
      <c r="B90" s="187" t="s">
        <v>2441</v>
      </c>
      <c r="C90" s="153" t="s">
        <v>2571</v>
      </c>
      <c r="D90" s="153" t="s">
        <v>2572</v>
      </c>
      <c r="E90" s="153"/>
    </row>
    <row r="91" spans="1:5" ht="24" customHeight="1">
      <c r="A91" s="186" t="s">
        <v>2554</v>
      </c>
      <c r="B91" s="187" t="s">
        <v>2573</v>
      </c>
      <c r="C91" s="153" t="s">
        <v>2574</v>
      </c>
      <c r="D91" s="153"/>
      <c r="E91" s="153"/>
    </row>
    <row r="92" spans="1:5" ht="24" customHeight="1">
      <c r="A92" s="186" t="s">
        <v>2575</v>
      </c>
      <c r="B92" s="187" t="s">
        <v>2576</v>
      </c>
      <c r="C92" s="153" t="s">
        <v>2577</v>
      </c>
      <c r="D92" s="153" t="s">
        <v>2578</v>
      </c>
      <c r="E92" s="153" t="s">
        <v>2579</v>
      </c>
    </row>
    <row r="93" spans="1:5" ht="24" customHeight="1">
      <c r="A93" s="186" t="s">
        <v>2575</v>
      </c>
      <c r="B93" s="187" t="s">
        <v>2580</v>
      </c>
      <c r="C93" s="153" t="s">
        <v>2581</v>
      </c>
      <c r="D93" s="153" t="s">
        <v>2582</v>
      </c>
      <c r="E93" s="153" t="s">
        <v>2583</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34EAC-40DF-493E-B8A2-D317F56A98DA}">
  <sheetPr codeName="Sheet12">
    <tabColor rgb="FF866828"/>
  </sheetPr>
  <dimension ref="A1:R56"/>
  <sheetViews>
    <sheetView workbookViewId="0">
      <selection activeCell="B26" sqref="B26:G26"/>
    </sheetView>
  </sheetViews>
  <sheetFormatPr defaultRowHeight="14.4"/>
  <cols>
    <col min="1" max="1" width="14.77734375" style="9" customWidth="1"/>
    <col min="2" max="2" width="10.77734375" style="9" customWidth="1"/>
    <col min="3" max="3" width="14.77734375" style="9" customWidth="1"/>
    <col min="4" max="4" width="10.77734375" style="9" customWidth="1"/>
    <col min="5" max="5" width="12.77734375" style="9" customWidth="1"/>
    <col min="6" max="7" width="10.77734375" style="9" customWidth="1"/>
    <col min="8" max="8" width="14.77734375" style="9" customWidth="1"/>
    <col min="9" max="13" width="10.77734375" style="9" customWidth="1"/>
    <col min="14" max="14" width="14.77734375" style="9" customWidth="1"/>
    <col min="15" max="18" width="10.77734375" style="9" customWidth="1"/>
    <col min="19" max="16384" width="8.88671875" style="9"/>
  </cols>
  <sheetData>
    <row r="1" spans="1:18" ht="24" customHeight="1">
      <c r="A1" s="173" t="s">
        <v>2584</v>
      </c>
      <c r="B1" s="173"/>
      <c r="C1" s="173"/>
      <c r="D1" s="173"/>
      <c r="E1" s="173"/>
      <c r="F1" s="173"/>
      <c r="G1" s="173"/>
      <c r="H1" s="173"/>
      <c r="I1" s="173"/>
      <c r="J1" s="173"/>
      <c r="K1" s="173"/>
      <c r="L1" s="173"/>
      <c r="M1" s="173"/>
      <c r="N1" s="173"/>
      <c r="O1" s="173"/>
      <c r="P1" s="173"/>
      <c r="Q1" s="173"/>
      <c r="R1" s="173"/>
    </row>
    <row r="2" spans="1:18" ht="24" customHeight="1">
      <c r="A2" s="152" t="s">
        <v>17</v>
      </c>
      <c r="B2" s="188"/>
      <c r="C2" s="152" t="s">
        <v>18</v>
      </c>
      <c r="D2" s="188"/>
      <c r="E2" s="152" t="s">
        <v>19</v>
      </c>
      <c r="F2" s="188"/>
      <c r="G2" s="189" t="s">
        <v>43</v>
      </c>
      <c r="H2" s="190" t="s">
        <v>248</v>
      </c>
      <c r="I2" s="190"/>
      <c r="J2" s="190"/>
      <c r="K2" s="184" t="str">
        <f>IF(OR(H2="",H2="空"),"",IFERROR(VLOOKUP(H2,装备列表!$M$5:$T$400,2,FALSE),""))</f>
        <v/>
      </c>
      <c r="L2" s="184"/>
      <c r="M2" s="184"/>
      <c r="N2" s="184"/>
      <c r="O2" s="184"/>
      <c r="P2" s="184"/>
      <c r="Q2" s="184"/>
      <c r="R2" s="184"/>
    </row>
    <row r="3" spans="1:18" ht="24" customHeight="1">
      <c r="A3" s="152" t="s">
        <v>24</v>
      </c>
      <c r="B3" s="188"/>
      <c r="C3" s="152" t="s">
        <v>25</v>
      </c>
      <c r="D3" s="188"/>
      <c r="E3" s="152"/>
      <c r="F3" s="188"/>
      <c r="G3" s="189" t="s">
        <v>49</v>
      </c>
      <c r="H3" s="190" t="s">
        <v>248</v>
      </c>
      <c r="I3" s="190"/>
      <c r="J3" s="190"/>
      <c r="K3" s="184" t="str">
        <f>IF(OR(H3="",H3="空"),"",IFERROR(VLOOKUP(H3,装备列表!$M$5:$T$400,2,FALSE),""))</f>
        <v/>
      </c>
      <c r="L3" s="184"/>
      <c r="M3" s="184"/>
      <c r="N3" s="184"/>
      <c r="O3" s="184"/>
      <c r="P3" s="184"/>
      <c r="Q3" s="184"/>
      <c r="R3" s="184"/>
    </row>
    <row r="4" spans="1:18" ht="24" customHeight="1">
      <c r="A4" s="152" t="s">
        <v>28</v>
      </c>
      <c r="B4" s="188"/>
      <c r="C4" s="152" t="s">
        <v>29</v>
      </c>
      <c r="D4" s="188"/>
      <c r="E4" s="152"/>
      <c r="F4" s="188"/>
      <c r="G4" s="189" t="s">
        <v>56</v>
      </c>
      <c r="H4" s="190" t="s">
        <v>248</v>
      </c>
      <c r="I4" s="190"/>
      <c r="J4" s="190"/>
      <c r="K4" s="184" t="str">
        <f>IF(OR(H4="",H4="空"),"",IFERROR(VLOOKUP(H4,装备列表!$M$5:$T$400,2,FALSE),""))</f>
        <v/>
      </c>
      <c r="L4" s="184"/>
      <c r="M4" s="184"/>
      <c r="N4" s="184"/>
      <c r="O4" s="184"/>
      <c r="P4" s="184"/>
      <c r="Q4" s="184"/>
      <c r="R4" s="184"/>
    </row>
    <row r="5" spans="1:18" ht="24" customHeight="1">
      <c r="A5" s="152" t="s">
        <v>33</v>
      </c>
      <c r="B5" s="188"/>
      <c r="C5" s="152" t="s">
        <v>34</v>
      </c>
      <c r="D5" s="188"/>
      <c r="E5" s="152"/>
      <c r="F5" s="188"/>
      <c r="G5" s="189" t="s">
        <v>1401</v>
      </c>
      <c r="H5" s="190" t="s">
        <v>248</v>
      </c>
      <c r="I5" s="190"/>
      <c r="J5" s="190"/>
      <c r="K5" s="184" t="str">
        <f>IF(OR(H5="",H5="空"),"",IFERROR(VLOOKUP(H5,装备列表!$M$5:$T$400,2,FALSE),""))</f>
        <v/>
      </c>
      <c r="L5" s="184"/>
      <c r="M5" s="184"/>
      <c r="N5" s="184"/>
      <c r="O5" s="184"/>
      <c r="P5" s="184"/>
      <c r="Q5" s="184"/>
      <c r="R5" s="184"/>
    </row>
    <row r="6" spans="1:18" ht="24" customHeight="1">
      <c r="A6" s="185"/>
      <c r="B6" s="185"/>
      <c r="C6" s="185"/>
      <c r="D6" s="185"/>
      <c r="E6" s="185"/>
      <c r="F6" s="185"/>
      <c r="G6" s="185"/>
      <c r="H6" s="185"/>
      <c r="I6" s="185"/>
      <c r="J6" s="185"/>
      <c r="K6" s="185"/>
      <c r="L6" s="185"/>
      <c r="M6" s="185"/>
      <c r="N6" s="185"/>
      <c r="O6" s="185"/>
      <c r="P6" s="185"/>
      <c r="Q6" s="185"/>
      <c r="R6" s="185"/>
    </row>
    <row r="7" spans="1:18" ht="24" customHeight="1">
      <c r="A7" s="191" t="s">
        <v>2588</v>
      </c>
      <c r="B7" s="191"/>
      <c r="C7" s="191"/>
      <c r="D7" s="191"/>
      <c r="E7" s="191"/>
      <c r="F7" s="191"/>
      <c r="G7" s="191"/>
      <c r="H7" s="191" t="s">
        <v>2589</v>
      </c>
      <c r="I7" s="191"/>
      <c r="J7" s="191"/>
      <c r="K7" s="191"/>
      <c r="L7" s="191"/>
      <c r="M7" s="191"/>
      <c r="N7" s="192" t="s">
        <v>2590</v>
      </c>
      <c r="O7" s="192"/>
      <c r="P7" s="192"/>
      <c r="Q7" s="192"/>
      <c r="R7" s="192"/>
    </row>
    <row r="8" spans="1:18" ht="24" customHeight="1">
      <c r="A8" s="189" t="s">
        <v>73</v>
      </c>
      <c r="B8" s="193" t="s">
        <v>2594</v>
      </c>
      <c r="C8" s="193"/>
      <c r="D8" s="193"/>
      <c r="E8" s="193"/>
      <c r="F8" s="193"/>
      <c r="G8" s="193"/>
      <c r="H8" s="189" t="s">
        <v>2591</v>
      </c>
      <c r="I8" s="189" t="s">
        <v>2592</v>
      </c>
      <c r="J8" s="193" t="s">
        <v>2595</v>
      </c>
      <c r="K8" s="193"/>
      <c r="L8" s="193"/>
      <c r="M8" s="193"/>
      <c r="N8" s="189" t="s">
        <v>2593</v>
      </c>
      <c r="O8" s="193" t="s">
        <v>2596</v>
      </c>
      <c r="P8" s="193"/>
      <c r="Q8" s="193"/>
      <c r="R8" s="193"/>
    </row>
    <row r="9" spans="1:18" ht="24" customHeight="1">
      <c r="A9" s="153" t="s">
        <v>248</v>
      </c>
      <c r="B9" s="194" t="str">
        <f>IF(OR(A9="",A9="空"),"",IFERROR(VLOOKUP(A9,'书籍、特性与技能'!$AA$2:$AD$400,2,FALSE),""))</f>
        <v/>
      </c>
      <c r="C9" s="194"/>
      <c r="D9" s="194"/>
      <c r="E9" s="194"/>
      <c r="F9" s="194"/>
      <c r="G9" s="194"/>
      <c r="H9" s="153" t="s">
        <v>248</v>
      </c>
      <c r="I9" s="153"/>
      <c r="J9" s="194" t="str">
        <f>IF(OR(H9="",H9="空"),"",IFERROR(VLOOKUP(H9,装备列表!$M$5:$T$400,2,FALSE),""))</f>
        <v/>
      </c>
      <c r="K9" s="194"/>
      <c r="L9" s="194"/>
      <c r="M9" s="194"/>
      <c r="N9" s="153"/>
      <c r="O9" s="194"/>
      <c r="P9" s="194"/>
      <c r="Q9" s="194"/>
      <c r="R9" s="194"/>
    </row>
    <row r="10" spans="1:18" ht="24" customHeight="1">
      <c r="A10" s="153" t="s">
        <v>248</v>
      </c>
      <c r="B10" s="194" t="str">
        <f>IF(OR(A10="",A10="空"),"",IFERROR(VLOOKUP(A10,'书籍、特性与技能'!$AA$2:$AD$400,2,FALSE),""))</f>
        <v/>
      </c>
      <c r="C10" s="194"/>
      <c r="D10" s="194"/>
      <c r="E10" s="194"/>
      <c r="F10" s="194"/>
      <c r="G10" s="194"/>
      <c r="H10" s="153" t="s">
        <v>248</v>
      </c>
      <c r="I10" s="153"/>
      <c r="J10" s="194" t="str">
        <f>IF(OR(H10="",H10="空"),"",IFERROR(VLOOKUP(H10,装备列表!$M$5:$T$400,2,FALSE),""))</f>
        <v/>
      </c>
      <c r="K10" s="194"/>
      <c r="L10" s="194"/>
      <c r="M10" s="194"/>
      <c r="N10" s="153"/>
      <c r="O10" s="194"/>
      <c r="P10" s="194"/>
      <c r="Q10" s="194"/>
      <c r="R10" s="194"/>
    </row>
    <row r="11" spans="1:18" ht="24" customHeight="1">
      <c r="A11" s="153" t="s">
        <v>248</v>
      </c>
      <c r="B11" s="194" t="str">
        <f>IF(OR(A11="",A11="空"),"",IFERROR(VLOOKUP(A11,'书籍、特性与技能'!$AA$2:$AD$400,2,FALSE),""))</f>
        <v/>
      </c>
      <c r="C11" s="194"/>
      <c r="D11" s="194"/>
      <c r="E11" s="194"/>
      <c r="F11" s="194"/>
      <c r="G11" s="194"/>
      <c r="H11" s="153" t="s">
        <v>248</v>
      </c>
      <c r="I11" s="153"/>
      <c r="J11" s="194" t="str">
        <f>IF(OR(H11="",H11="空"),"",IFERROR(VLOOKUP(H11,装备列表!$M$5:$T$400,2,FALSE),""))</f>
        <v/>
      </c>
      <c r="K11" s="194"/>
      <c r="L11" s="194"/>
      <c r="M11" s="194"/>
      <c r="N11" s="153"/>
      <c r="O11" s="194"/>
      <c r="P11" s="194"/>
      <c r="Q11" s="194"/>
      <c r="R11" s="194"/>
    </row>
    <row r="12" spans="1:18" ht="24" customHeight="1">
      <c r="A12" s="153" t="s">
        <v>248</v>
      </c>
      <c r="B12" s="194" t="str">
        <f>IF(OR(A12="",A12="空"),"",IFERROR(VLOOKUP(A12,'书籍、特性与技能'!$AA$2:$AD$400,2,FALSE),""))</f>
        <v/>
      </c>
      <c r="C12" s="194"/>
      <c r="D12" s="194"/>
      <c r="E12" s="194"/>
      <c r="F12" s="194"/>
      <c r="G12" s="194"/>
      <c r="H12" s="153" t="s">
        <v>248</v>
      </c>
      <c r="I12" s="153"/>
      <c r="J12" s="194" t="str">
        <f>IF(OR(H12="",H12="空"),"",IFERROR(VLOOKUP(H12,装备列表!$M$5:$T$400,2,FALSE),""))</f>
        <v/>
      </c>
      <c r="K12" s="194"/>
      <c r="L12" s="194"/>
      <c r="M12" s="194"/>
      <c r="N12" s="153"/>
      <c r="O12" s="194"/>
      <c r="P12" s="194"/>
      <c r="Q12" s="194"/>
      <c r="R12" s="194"/>
    </row>
    <row r="13" spans="1:18" ht="24" customHeight="1">
      <c r="A13" s="172"/>
      <c r="B13" s="172"/>
      <c r="C13" s="172"/>
      <c r="D13" s="172"/>
      <c r="E13" s="172"/>
      <c r="F13" s="172"/>
      <c r="G13" s="172"/>
      <c r="H13" s="172"/>
      <c r="I13" s="172"/>
      <c r="J13" s="172"/>
      <c r="K13" s="172"/>
      <c r="L13" s="172"/>
      <c r="M13" s="172"/>
      <c r="N13" s="172"/>
      <c r="O13" s="172"/>
      <c r="P13" s="172"/>
      <c r="Q13" s="172"/>
      <c r="R13" s="172"/>
    </row>
    <row r="14" spans="1:18" ht="24" customHeight="1">
      <c r="A14" s="172"/>
      <c r="B14" s="172"/>
      <c r="C14" s="172"/>
      <c r="D14" s="172"/>
      <c r="E14" s="172"/>
      <c r="F14" s="172"/>
      <c r="G14" s="172"/>
      <c r="H14" s="172"/>
      <c r="I14" s="172"/>
      <c r="J14" s="172"/>
      <c r="K14" s="172"/>
      <c r="L14" s="172"/>
      <c r="M14" s="172"/>
      <c r="N14" s="172"/>
      <c r="O14" s="172"/>
      <c r="P14" s="172"/>
      <c r="Q14" s="172"/>
      <c r="R14" s="172"/>
    </row>
    <row r="15" spans="1:18" ht="24" customHeight="1">
      <c r="A15" s="173" t="s">
        <v>2585</v>
      </c>
      <c r="B15" s="173"/>
      <c r="C15" s="173"/>
      <c r="D15" s="173"/>
      <c r="E15" s="173"/>
      <c r="F15" s="173"/>
      <c r="G15" s="173"/>
      <c r="H15" s="173"/>
      <c r="I15" s="173"/>
      <c r="J15" s="173"/>
      <c r="K15" s="173"/>
      <c r="L15" s="173"/>
      <c r="M15" s="173"/>
      <c r="N15" s="173"/>
      <c r="O15" s="173"/>
      <c r="P15" s="173"/>
      <c r="Q15" s="173"/>
      <c r="R15" s="173"/>
    </row>
    <row r="16" spans="1:18" ht="24" customHeight="1">
      <c r="A16" s="152" t="s">
        <v>17</v>
      </c>
      <c r="B16" s="188"/>
      <c r="C16" s="152" t="s">
        <v>18</v>
      </c>
      <c r="D16" s="188"/>
      <c r="E16" s="152" t="s">
        <v>19</v>
      </c>
      <c r="F16" s="188"/>
      <c r="G16" s="189" t="s">
        <v>43</v>
      </c>
      <c r="H16" s="190" t="s">
        <v>248</v>
      </c>
      <c r="I16" s="190"/>
      <c r="J16" s="190"/>
      <c r="K16" s="184" t="str">
        <f>IF(OR(H16="",H16="空"),"",IFERROR(VLOOKUP(H16,装备列表!$M$5:$T$400,2,FALSE),""))</f>
        <v/>
      </c>
      <c r="L16" s="184"/>
      <c r="M16" s="184"/>
      <c r="N16" s="184"/>
      <c r="O16" s="184"/>
      <c r="P16" s="184"/>
      <c r="Q16" s="184"/>
      <c r="R16" s="184"/>
    </row>
    <row r="17" spans="1:18" ht="24" customHeight="1">
      <c r="A17" s="152" t="s">
        <v>24</v>
      </c>
      <c r="B17" s="188"/>
      <c r="C17" s="152" t="s">
        <v>25</v>
      </c>
      <c r="D17" s="188"/>
      <c r="E17" s="152"/>
      <c r="F17" s="188"/>
      <c r="G17" s="189" t="s">
        <v>49</v>
      </c>
      <c r="H17" s="190" t="s">
        <v>248</v>
      </c>
      <c r="I17" s="190"/>
      <c r="J17" s="190"/>
      <c r="K17" s="184" t="str">
        <f>IF(OR(H17="",H17="空"),"",IFERROR(VLOOKUP(H17,装备列表!$M$5:$T$400,2,FALSE),""))</f>
        <v/>
      </c>
      <c r="L17" s="184"/>
      <c r="M17" s="184"/>
      <c r="N17" s="184"/>
      <c r="O17" s="184"/>
      <c r="P17" s="184"/>
      <c r="Q17" s="184"/>
      <c r="R17" s="184"/>
    </row>
    <row r="18" spans="1:18" ht="24" customHeight="1">
      <c r="A18" s="152" t="s">
        <v>28</v>
      </c>
      <c r="B18" s="188"/>
      <c r="C18" s="152" t="s">
        <v>29</v>
      </c>
      <c r="D18" s="188"/>
      <c r="E18" s="152"/>
      <c r="F18" s="188"/>
      <c r="G18" s="189" t="s">
        <v>56</v>
      </c>
      <c r="H18" s="190" t="s">
        <v>248</v>
      </c>
      <c r="I18" s="190"/>
      <c r="J18" s="190"/>
      <c r="K18" s="184" t="str">
        <f>IF(OR(H18="",H18="空"),"",IFERROR(VLOOKUP(H18,装备列表!$M$5:$T$400,2,FALSE),""))</f>
        <v/>
      </c>
      <c r="L18" s="184"/>
      <c r="M18" s="184"/>
      <c r="N18" s="184"/>
      <c r="O18" s="184"/>
      <c r="P18" s="184"/>
      <c r="Q18" s="184"/>
      <c r="R18" s="184"/>
    </row>
    <row r="19" spans="1:18" ht="24" customHeight="1">
      <c r="A19" s="152" t="s">
        <v>33</v>
      </c>
      <c r="B19" s="188"/>
      <c r="C19" s="152" t="s">
        <v>34</v>
      </c>
      <c r="D19" s="188"/>
      <c r="E19" s="152"/>
      <c r="F19" s="188"/>
      <c r="G19" s="189" t="s">
        <v>1401</v>
      </c>
      <c r="H19" s="190" t="s">
        <v>248</v>
      </c>
      <c r="I19" s="190"/>
      <c r="J19" s="190"/>
      <c r="K19" s="184" t="str">
        <f>IF(OR(H19="",H19="空"),"",IFERROR(VLOOKUP(H19,装备列表!$M$5:$T$400,2,FALSE),""))</f>
        <v/>
      </c>
      <c r="L19" s="184"/>
      <c r="M19" s="184"/>
      <c r="N19" s="184"/>
      <c r="O19" s="184"/>
      <c r="P19" s="184"/>
      <c r="Q19" s="184"/>
      <c r="R19" s="184"/>
    </row>
    <row r="20" spans="1:18" ht="24" customHeight="1">
      <c r="A20" s="185"/>
      <c r="B20" s="185"/>
      <c r="C20" s="185"/>
      <c r="D20" s="185"/>
      <c r="E20" s="185"/>
      <c r="F20" s="185"/>
      <c r="G20" s="185"/>
      <c r="H20" s="185"/>
      <c r="I20" s="185"/>
      <c r="J20" s="185"/>
      <c r="K20" s="185"/>
      <c r="L20" s="185"/>
      <c r="M20" s="185"/>
      <c r="N20" s="185"/>
      <c r="O20" s="185"/>
      <c r="P20" s="185"/>
      <c r="Q20" s="185"/>
      <c r="R20" s="185"/>
    </row>
    <row r="21" spans="1:18" ht="24" customHeight="1">
      <c r="A21" s="191" t="s">
        <v>2588</v>
      </c>
      <c r="B21" s="191"/>
      <c r="C21" s="191"/>
      <c r="D21" s="191"/>
      <c r="E21" s="191"/>
      <c r="F21" s="191"/>
      <c r="G21" s="191"/>
      <c r="H21" s="191" t="s">
        <v>2589</v>
      </c>
      <c r="I21" s="191"/>
      <c r="J21" s="191"/>
      <c r="K21" s="191"/>
      <c r="L21" s="191"/>
      <c r="M21" s="191"/>
      <c r="N21" s="192" t="s">
        <v>2590</v>
      </c>
      <c r="O21" s="192"/>
      <c r="P21" s="192"/>
      <c r="Q21" s="192"/>
      <c r="R21" s="192"/>
    </row>
    <row r="22" spans="1:18" ht="24" customHeight="1">
      <c r="A22" s="189" t="s">
        <v>73</v>
      </c>
      <c r="B22" s="193" t="s">
        <v>2594</v>
      </c>
      <c r="C22" s="193"/>
      <c r="D22" s="193"/>
      <c r="E22" s="193"/>
      <c r="F22" s="193"/>
      <c r="G22" s="193"/>
      <c r="H22" s="189" t="s">
        <v>2591</v>
      </c>
      <c r="I22" s="189" t="s">
        <v>2592</v>
      </c>
      <c r="J22" s="193" t="s">
        <v>2595</v>
      </c>
      <c r="K22" s="193"/>
      <c r="L22" s="193"/>
      <c r="M22" s="193"/>
      <c r="N22" s="189" t="s">
        <v>2593</v>
      </c>
      <c r="O22" s="193" t="s">
        <v>2596</v>
      </c>
      <c r="P22" s="193"/>
      <c r="Q22" s="193"/>
      <c r="R22" s="193"/>
    </row>
    <row r="23" spans="1:18" ht="24" customHeight="1">
      <c r="A23" s="153" t="s">
        <v>248</v>
      </c>
      <c r="B23" s="194" t="str">
        <f>IF(OR(A23="",A23="空"),"",IFERROR(VLOOKUP(A23,'书籍、特性与技能'!$AA$2:$AD$400,2,FALSE),""))</f>
        <v/>
      </c>
      <c r="C23" s="194"/>
      <c r="D23" s="194"/>
      <c r="E23" s="194"/>
      <c r="F23" s="194"/>
      <c r="G23" s="194"/>
      <c r="H23" s="153" t="s">
        <v>248</v>
      </c>
      <c r="I23" s="153"/>
      <c r="J23" s="194" t="str">
        <f>IF(OR(H23="",H23="空"),"",IFERROR(VLOOKUP(H23,装备列表!$M$5:$T$400,2,FALSE),""))</f>
        <v/>
      </c>
      <c r="K23" s="194"/>
      <c r="L23" s="194"/>
      <c r="M23" s="194"/>
      <c r="N23" s="153"/>
      <c r="O23" s="194"/>
      <c r="P23" s="194"/>
      <c r="Q23" s="194"/>
      <c r="R23" s="194"/>
    </row>
    <row r="24" spans="1:18" ht="24" customHeight="1">
      <c r="A24" s="153" t="s">
        <v>248</v>
      </c>
      <c r="B24" s="194" t="str">
        <f>IF(OR(A24="",A24="空"),"",IFERROR(VLOOKUP(A24,'书籍、特性与技能'!$AA$2:$AD$400,2,FALSE),""))</f>
        <v/>
      </c>
      <c r="C24" s="194"/>
      <c r="D24" s="194"/>
      <c r="E24" s="194"/>
      <c r="F24" s="194"/>
      <c r="G24" s="194"/>
      <c r="H24" s="153" t="s">
        <v>248</v>
      </c>
      <c r="I24" s="153"/>
      <c r="J24" s="194" t="str">
        <f>IF(OR(H24="",H24="空"),"",IFERROR(VLOOKUP(H24,装备列表!$M$5:$T$400,2,FALSE),""))</f>
        <v/>
      </c>
      <c r="K24" s="194"/>
      <c r="L24" s="194"/>
      <c r="M24" s="194"/>
      <c r="N24" s="153"/>
      <c r="O24" s="194"/>
      <c r="P24" s="194"/>
      <c r="Q24" s="194"/>
      <c r="R24" s="194"/>
    </row>
    <row r="25" spans="1:18" ht="24" customHeight="1">
      <c r="A25" s="153" t="s">
        <v>248</v>
      </c>
      <c r="B25" s="194" t="str">
        <f>IF(OR(A25="",A25="空"),"",IFERROR(VLOOKUP(A25,'书籍、特性与技能'!$AA$2:$AD$400,2,FALSE),""))</f>
        <v/>
      </c>
      <c r="C25" s="194"/>
      <c r="D25" s="194"/>
      <c r="E25" s="194"/>
      <c r="F25" s="194"/>
      <c r="G25" s="194"/>
      <c r="H25" s="153" t="s">
        <v>248</v>
      </c>
      <c r="I25" s="153"/>
      <c r="J25" s="194" t="str">
        <f>IF(OR(H25="",H25="空"),"",IFERROR(VLOOKUP(H25,装备列表!$M$5:$T$400,2,FALSE),""))</f>
        <v/>
      </c>
      <c r="K25" s="194"/>
      <c r="L25" s="194"/>
      <c r="M25" s="194"/>
      <c r="N25" s="153"/>
      <c r="O25" s="194"/>
      <c r="P25" s="194"/>
      <c r="Q25" s="194"/>
      <c r="R25" s="194"/>
    </row>
    <row r="26" spans="1:18" ht="24" customHeight="1">
      <c r="A26" s="153" t="s">
        <v>248</v>
      </c>
      <c r="B26" s="194" t="str">
        <f>IF(OR(A26="",A26="空"),"",IFERROR(VLOOKUP(A26,'书籍、特性与技能'!$AA$2:$AD$400,2,FALSE),""))</f>
        <v/>
      </c>
      <c r="C26" s="194"/>
      <c r="D26" s="194"/>
      <c r="E26" s="194"/>
      <c r="F26" s="194"/>
      <c r="G26" s="194"/>
      <c r="H26" s="153" t="s">
        <v>248</v>
      </c>
      <c r="I26" s="153"/>
      <c r="J26" s="194" t="str">
        <f>IF(OR(H26="",H26="空"),"",IFERROR(VLOOKUP(H26,装备列表!$M$5:$T$400,2,FALSE),""))</f>
        <v/>
      </c>
      <c r="K26" s="194"/>
      <c r="L26" s="194"/>
      <c r="M26" s="194"/>
      <c r="N26" s="153"/>
      <c r="O26" s="194"/>
      <c r="P26" s="194"/>
      <c r="Q26" s="194"/>
      <c r="R26" s="194"/>
    </row>
    <row r="27" spans="1:18" ht="24" customHeight="1">
      <c r="A27" s="172"/>
      <c r="B27" s="172"/>
      <c r="C27" s="172"/>
      <c r="D27" s="172"/>
      <c r="E27" s="172"/>
      <c r="F27" s="172"/>
      <c r="G27" s="172"/>
      <c r="H27" s="172"/>
      <c r="I27" s="172"/>
      <c r="J27" s="172"/>
      <c r="K27" s="172"/>
      <c r="L27" s="172"/>
      <c r="M27" s="172"/>
      <c r="N27" s="172"/>
      <c r="O27" s="172"/>
      <c r="P27" s="172"/>
      <c r="Q27" s="172"/>
      <c r="R27" s="172"/>
    </row>
    <row r="28" spans="1:18" ht="24" customHeight="1">
      <c r="A28" s="172"/>
      <c r="B28" s="172"/>
      <c r="C28" s="172"/>
      <c r="D28" s="172"/>
      <c r="E28" s="172"/>
      <c r="F28" s="172"/>
      <c r="G28" s="172"/>
      <c r="H28" s="172"/>
      <c r="I28" s="172"/>
      <c r="J28" s="172"/>
      <c r="K28" s="172"/>
      <c r="L28" s="172"/>
      <c r="M28" s="172"/>
      <c r="N28" s="172"/>
      <c r="O28" s="172"/>
      <c r="P28" s="172"/>
      <c r="Q28" s="172"/>
      <c r="R28" s="172"/>
    </row>
    <row r="29" spans="1:18" ht="24" customHeight="1">
      <c r="A29" s="173" t="s">
        <v>2586</v>
      </c>
      <c r="B29" s="173"/>
      <c r="C29" s="173"/>
      <c r="D29" s="173"/>
      <c r="E29" s="173"/>
      <c r="F29" s="173"/>
      <c r="G29" s="173"/>
      <c r="H29" s="173"/>
      <c r="I29" s="173"/>
      <c r="J29" s="173"/>
      <c r="K29" s="173"/>
      <c r="L29" s="173"/>
      <c r="M29" s="173"/>
      <c r="N29" s="173"/>
      <c r="O29" s="173"/>
      <c r="P29" s="173"/>
      <c r="Q29" s="173"/>
      <c r="R29" s="173"/>
    </row>
    <row r="30" spans="1:18" ht="24" customHeight="1">
      <c r="A30" s="152" t="s">
        <v>17</v>
      </c>
      <c r="B30" s="188"/>
      <c r="C30" s="152" t="s">
        <v>18</v>
      </c>
      <c r="D30" s="188"/>
      <c r="E30" s="152" t="s">
        <v>19</v>
      </c>
      <c r="F30" s="188"/>
      <c r="G30" s="189" t="s">
        <v>43</v>
      </c>
      <c r="H30" s="190" t="s">
        <v>248</v>
      </c>
      <c r="I30" s="190"/>
      <c r="J30" s="190"/>
      <c r="K30" s="184" t="str">
        <f>IF(OR(H30="",H30="空"),"",IFERROR(VLOOKUP(H30,装备列表!$M$5:$T$400,2,FALSE),""))</f>
        <v/>
      </c>
      <c r="L30" s="184"/>
      <c r="M30" s="184"/>
      <c r="N30" s="184"/>
      <c r="O30" s="184"/>
      <c r="P30" s="184"/>
      <c r="Q30" s="184"/>
      <c r="R30" s="184"/>
    </row>
    <row r="31" spans="1:18" ht="24" customHeight="1">
      <c r="A31" s="152" t="s">
        <v>24</v>
      </c>
      <c r="B31" s="188"/>
      <c r="C31" s="152" t="s">
        <v>25</v>
      </c>
      <c r="D31" s="188"/>
      <c r="E31" s="152"/>
      <c r="F31" s="188"/>
      <c r="G31" s="189" t="s">
        <v>49</v>
      </c>
      <c r="H31" s="190" t="s">
        <v>248</v>
      </c>
      <c r="I31" s="190"/>
      <c r="J31" s="190"/>
      <c r="K31" s="184" t="str">
        <f>IF(OR(H31="",H31="空"),"",IFERROR(VLOOKUP(H31,装备列表!$M$5:$T$400,2,FALSE),""))</f>
        <v/>
      </c>
      <c r="L31" s="184"/>
      <c r="M31" s="184"/>
      <c r="N31" s="184"/>
      <c r="O31" s="184"/>
      <c r="P31" s="184"/>
      <c r="Q31" s="184"/>
      <c r="R31" s="184"/>
    </row>
    <row r="32" spans="1:18" ht="24" customHeight="1">
      <c r="A32" s="152" t="s">
        <v>28</v>
      </c>
      <c r="B32" s="188"/>
      <c r="C32" s="152" t="s">
        <v>29</v>
      </c>
      <c r="D32" s="188"/>
      <c r="E32" s="152"/>
      <c r="F32" s="188"/>
      <c r="G32" s="189" t="s">
        <v>56</v>
      </c>
      <c r="H32" s="190" t="s">
        <v>248</v>
      </c>
      <c r="I32" s="190"/>
      <c r="J32" s="190"/>
      <c r="K32" s="184" t="str">
        <f>IF(OR(H32="",H32="空"),"",IFERROR(VLOOKUP(H32,装备列表!$M$5:$T$400,2,FALSE),""))</f>
        <v/>
      </c>
      <c r="L32" s="184"/>
      <c r="M32" s="184"/>
      <c r="N32" s="184"/>
      <c r="O32" s="184"/>
      <c r="P32" s="184"/>
      <c r="Q32" s="184"/>
      <c r="R32" s="184"/>
    </row>
    <row r="33" spans="1:18" ht="24" customHeight="1">
      <c r="A33" s="152" t="s">
        <v>33</v>
      </c>
      <c r="B33" s="188"/>
      <c r="C33" s="152" t="s">
        <v>34</v>
      </c>
      <c r="D33" s="188"/>
      <c r="E33" s="152"/>
      <c r="F33" s="188"/>
      <c r="G33" s="189" t="s">
        <v>1401</v>
      </c>
      <c r="H33" s="190" t="s">
        <v>248</v>
      </c>
      <c r="I33" s="190"/>
      <c r="J33" s="190"/>
      <c r="K33" s="184" t="str">
        <f>IF(OR(H33="",H33="空"),"",IFERROR(VLOOKUP(H33,装备列表!$M$5:$T$400,2,FALSE),""))</f>
        <v/>
      </c>
      <c r="L33" s="184"/>
      <c r="M33" s="184"/>
      <c r="N33" s="184"/>
      <c r="O33" s="184"/>
      <c r="P33" s="184"/>
      <c r="Q33" s="184"/>
      <c r="R33" s="184"/>
    </row>
    <row r="34" spans="1:18" ht="24" customHeight="1">
      <c r="A34" s="185"/>
      <c r="B34" s="185"/>
      <c r="C34" s="185"/>
      <c r="D34" s="185"/>
      <c r="E34" s="185"/>
      <c r="F34" s="185"/>
      <c r="G34" s="185"/>
      <c r="H34" s="185"/>
      <c r="I34" s="185"/>
      <c r="J34" s="185"/>
      <c r="K34" s="185"/>
      <c r="L34" s="185"/>
      <c r="M34" s="185"/>
      <c r="N34" s="185"/>
      <c r="O34" s="185"/>
      <c r="P34" s="185"/>
      <c r="Q34" s="185"/>
      <c r="R34" s="185"/>
    </row>
    <row r="35" spans="1:18" ht="24" customHeight="1">
      <c r="A35" s="191" t="s">
        <v>2588</v>
      </c>
      <c r="B35" s="191"/>
      <c r="C35" s="191"/>
      <c r="D35" s="191"/>
      <c r="E35" s="191"/>
      <c r="F35" s="191"/>
      <c r="G35" s="191"/>
      <c r="H35" s="191" t="s">
        <v>2589</v>
      </c>
      <c r="I35" s="191"/>
      <c r="J35" s="191"/>
      <c r="K35" s="191"/>
      <c r="L35" s="191"/>
      <c r="M35" s="191"/>
      <c r="N35" s="192" t="s">
        <v>2590</v>
      </c>
      <c r="O35" s="192"/>
      <c r="P35" s="192"/>
      <c r="Q35" s="192"/>
      <c r="R35" s="192"/>
    </row>
    <row r="36" spans="1:18" ht="24" customHeight="1">
      <c r="A36" s="189" t="s">
        <v>73</v>
      </c>
      <c r="B36" s="193" t="s">
        <v>2594</v>
      </c>
      <c r="C36" s="193"/>
      <c r="D36" s="193"/>
      <c r="E36" s="193"/>
      <c r="F36" s="193"/>
      <c r="G36" s="193"/>
      <c r="H36" s="189" t="s">
        <v>2591</v>
      </c>
      <c r="I36" s="189" t="s">
        <v>2592</v>
      </c>
      <c r="J36" s="193" t="s">
        <v>2595</v>
      </c>
      <c r="K36" s="193"/>
      <c r="L36" s="193"/>
      <c r="M36" s="193"/>
      <c r="N36" s="189" t="s">
        <v>2593</v>
      </c>
      <c r="O36" s="193" t="s">
        <v>2596</v>
      </c>
      <c r="P36" s="193"/>
      <c r="Q36" s="193"/>
      <c r="R36" s="193"/>
    </row>
    <row r="37" spans="1:18" ht="24" customHeight="1">
      <c r="A37" s="153" t="s">
        <v>248</v>
      </c>
      <c r="B37" s="194" t="str">
        <f>IF(OR(A37="",A37="空"),"",IFERROR(VLOOKUP(A37,'书籍、特性与技能'!$AA$2:$AD$400,2,FALSE),""))</f>
        <v/>
      </c>
      <c r="C37" s="194"/>
      <c r="D37" s="194"/>
      <c r="E37" s="194"/>
      <c r="F37" s="194"/>
      <c r="G37" s="194"/>
      <c r="H37" s="153" t="s">
        <v>248</v>
      </c>
      <c r="I37" s="153"/>
      <c r="J37" s="194" t="str">
        <f>IF(OR(H37="",H37="空"),"",IFERROR(VLOOKUP(H37,装备列表!$M$5:$T$400,2,FALSE),""))</f>
        <v/>
      </c>
      <c r="K37" s="194"/>
      <c r="L37" s="194"/>
      <c r="M37" s="194"/>
      <c r="N37" s="153"/>
      <c r="O37" s="194"/>
      <c r="P37" s="194"/>
      <c r="Q37" s="194"/>
      <c r="R37" s="194"/>
    </row>
    <row r="38" spans="1:18" ht="24" customHeight="1">
      <c r="A38" s="153" t="s">
        <v>248</v>
      </c>
      <c r="B38" s="194" t="str">
        <f>IF(OR(A38="",A38="空"),"",IFERROR(VLOOKUP(A38,'书籍、特性与技能'!$AA$2:$AD$400,2,FALSE),""))</f>
        <v/>
      </c>
      <c r="C38" s="194"/>
      <c r="D38" s="194"/>
      <c r="E38" s="194"/>
      <c r="F38" s="194"/>
      <c r="G38" s="194"/>
      <c r="H38" s="153" t="s">
        <v>248</v>
      </c>
      <c r="I38" s="153"/>
      <c r="J38" s="194" t="str">
        <f>IF(OR(H38="",H38="空"),"",IFERROR(VLOOKUP(H38,装备列表!$M$5:$T$400,2,FALSE),""))</f>
        <v/>
      </c>
      <c r="K38" s="194"/>
      <c r="L38" s="194"/>
      <c r="M38" s="194"/>
      <c r="N38" s="153"/>
      <c r="O38" s="194"/>
      <c r="P38" s="194"/>
      <c r="Q38" s="194"/>
      <c r="R38" s="194"/>
    </row>
    <row r="39" spans="1:18" ht="24" customHeight="1">
      <c r="A39" s="153" t="s">
        <v>248</v>
      </c>
      <c r="B39" s="194" t="str">
        <f>IF(OR(A39="",A39="空"),"",IFERROR(VLOOKUP(A39,'书籍、特性与技能'!$AA$2:$AD$400,2,FALSE),""))</f>
        <v/>
      </c>
      <c r="C39" s="194"/>
      <c r="D39" s="194"/>
      <c r="E39" s="194"/>
      <c r="F39" s="194"/>
      <c r="G39" s="194"/>
      <c r="H39" s="153" t="s">
        <v>248</v>
      </c>
      <c r="I39" s="153"/>
      <c r="J39" s="194" t="str">
        <f>IF(OR(H39="",H39="空"),"",IFERROR(VLOOKUP(H39,装备列表!$M$5:$T$400,2,FALSE),""))</f>
        <v/>
      </c>
      <c r="K39" s="194"/>
      <c r="L39" s="194"/>
      <c r="M39" s="194"/>
      <c r="N39" s="153"/>
      <c r="O39" s="194"/>
      <c r="P39" s="194"/>
      <c r="Q39" s="194"/>
      <c r="R39" s="194"/>
    </row>
    <row r="40" spans="1:18" ht="24" customHeight="1">
      <c r="A40" s="153" t="s">
        <v>248</v>
      </c>
      <c r="B40" s="194" t="str">
        <f>IF(OR(A40="",A40="空"),"",IFERROR(VLOOKUP(A40,'书籍、特性与技能'!$AA$2:$AD$400,2,FALSE),""))</f>
        <v/>
      </c>
      <c r="C40" s="194"/>
      <c r="D40" s="194"/>
      <c r="E40" s="194"/>
      <c r="F40" s="194"/>
      <c r="G40" s="194"/>
      <c r="H40" s="153" t="s">
        <v>248</v>
      </c>
      <c r="I40" s="153"/>
      <c r="J40" s="194" t="str">
        <f>IF(OR(H40="",H40="空"),"",IFERROR(VLOOKUP(H40,装备列表!$M$5:$T$400,2,FALSE),""))</f>
        <v/>
      </c>
      <c r="K40" s="194"/>
      <c r="L40" s="194"/>
      <c r="M40" s="194"/>
      <c r="N40" s="153"/>
      <c r="O40" s="194"/>
      <c r="P40" s="194"/>
      <c r="Q40" s="194"/>
      <c r="R40" s="194"/>
    </row>
    <row r="41" spans="1:18" ht="24" customHeight="1">
      <c r="A41" s="172"/>
      <c r="B41" s="172"/>
      <c r="C41" s="172"/>
      <c r="D41" s="172"/>
      <c r="E41" s="172"/>
      <c r="F41" s="172"/>
      <c r="G41" s="172"/>
      <c r="H41" s="172"/>
      <c r="I41" s="172"/>
      <c r="J41" s="172"/>
      <c r="K41" s="172"/>
      <c r="L41" s="172"/>
      <c r="M41" s="172"/>
      <c r="N41" s="172"/>
      <c r="O41" s="172"/>
      <c r="P41" s="172"/>
      <c r="Q41" s="172"/>
      <c r="R41" s="172"/>
    </row>
    <row r="42" spans="1:18" ht="24" customHeight="1">
      <c r="A42" s="172"/>
      <c r="B42" s="172"/>
      <c r="C42" s="172"/>
      <c r="D42" s="172"/>
      <c r="E42" s="172"/>
      <c r="F42" s="172"/>
      <c r="G42" s="172"/>
      <c r="H42" s="172"/>
      <c r="I42" s="172"/>
      <c r="J42" s="172"/>
      <c r="K42" s="172"/>
      <c r="L42" s="172"/>
      <c r="M42" s="172"/>
      <c r="N42" s="172"/>
      <c r="O42" s="172"/>
      <c r="P42" s="172"/>
      <c r="Q42" s="172"/>
      <c r="R42" s="172"/>
    </row>
    <row r="43" spans="1:18" ht="24" customHeight="1">
      <c r="A43" s="173" t="s">
        <v>2587</v>
      </c>
      <c r="B43" s="173"/>
      <c r="C43" s="173"/>
      <c r="D43" s="173"/>
      <c r="E43" s="173"/>
      <c r="F43" s="173"/>
      <c r="G43" s="173"/>
      <c r="H43" s="173"/>
      <c r="I43" s="173"/>
      <c r="J43" s="173"/>
      <c r="K43" s="173"/>
      <c r="L43" s="173"/>
      <c r="M43" s="173"/>
      <c r="N43" s="173"/>
      <c r="O43" s="173"/>
      <c r="P43" s="173"/>
      <c r="Q43" s="173"/>
      <c r="R43" s="173"/>
    </row>
    <row r="44" spans="1:18" ht="24" customHeight="1">
      <c r="A44" s="152" t="s">
        <v>17</v>
      </c>
      <c r="B44" s="188"/>
      <c r="C44" s="152" t="s">
        <v>18</v>
      </c>
      <c r="D44" s="188"/>
      <c r="E44" s="152" t="s">
        <v>19</v>
      </c>
      <c r="F44" s="188"/>
      <c r="G44" s="189" t="s">
        <v>43</v>
      </c>
      <c r="H44" s="190" t="s">
        <v>248</v>
      </c>
      <c r="I44" s="190"/>
      <c r="J44" s="190"/>
      <c r="K44" s="184" t="str">
        <f>IF(OR(H44="",H44="空"),"",IFERROR(VLOOKUP(H44,装备列表!$M$5:$T$400,2,FALSE),""))</f>
        <v/>
      </c>
      <c r="L44" s="184"/>
      <c r="M44" s="184"/>
      <c r="N44" s="184"/>
      <c r="O44" s="184"/>
      <c r="P44" s="184"/>
      <c r="Q44" s="184"/>
      <c r="R44" s="184"/>
    </row>
    <row r="45" spans="1:18" ht="24" customHeight="1">
      <c r="A45" s="152" t="s">
        <v>24</v>
      </c>
      <c r="B45" s="188"/>
      <c r="C45" s="152" t="s">
        <v>25</v>
      </c>
      <c r="D45" s="188"/>
      <c r="E45" s="152"/>
      <c r="F45" s="188"/>
      <c r="G45" s="189" t="s">
        <v>49</v>
      </c>
      <c r="H45" s="190" t="s">
        <v>248</v>
      </c>
      <c r="I45" s="190"/>
      <c r="J45" s="190"/>
      <c r="K45" s="184" t="str">
        <f>IF(OR(H45="",H45="空"),"",IFERROR(VLOOKUP(H45,装备列表!$M$5:$T$400,2,FALSE),""))</f>
        <v/>
      </c>
      <c r="L45" s="184"/>
      <c r="M45" s="184"/>
      <c r="N45" s="184"/>
      <c r="O45" s="184"/>
      <c r="P45" s="184"/>
      <c r="Q45" s="184"/>
      <c r="R45" s="184"/>
    </row>
    <row r="46" spans="1:18" ht="24" customHeight="1">
      <c r="A46" s="152" t="s">
        <v>28</v>
      </c>
      <c r="B46" s="188"/>
      <c r="C46" s="152" t="s">
        <v>29</v>
      </c>
      <c r="D46" s="188"/>
      <c r="E46" s="152"/>
      <c r="F46" s="188"/>
      <c r="G46" s="189" t="s">
        <v>56</v>
      </c>
      <c r="H46" s="190" t="s">
        <v>248</v>
      </c>
      <c r="I46" s="190"/>
      <c r="J46" s="190"/>
      <c r="K46" s="184" t="str">
        <f>IF(OR(H46="",H46="空"),"",IFERROR(VLOOKUP(H46,装备列表!$M$5:$T$400,2,FALSE),""))</f>
        <v/>
      </c>
      <c r="L46" s="184"/>
      <c r="M46" s="184"/>
      <c r="N46" s="184"/>
      <c r="O46" s="184"/>
      <c r="P46" s="184"/>
      <c r="Q46" s="184"/>
      <c r="R46" s="184"/>
    </row>
    <row r="47" spans="1:18" ht="24" customHeight="1">
      <c r="A47" s="152" t="s">
        <v>33</v>
      </c>
      <c r="B47" s="188"/>
      <c r="C47" s="152" t="s">
        <v>34</v>
      </c>
      <c r="D47" s="188"/>
      <c r="E47" s="152"/>
      <c r="F47" s="188"/>
      <c r="G47" s="189" t="s">
        <v>1401</v>
      </c>
      <c r="H47" s="190" t="s">
        <v>248</v>
      </c>
      <c r="I47" s="190"/>
      <c r="J47" s="190"/>
      <c r="K47" s="184" t="str">
        <f>IF(OR(H47="",H47="空"),"",IFERROR(VLOOKUP(H47,装备列表!$M$5:$T$400,2,FALSE),""))</f>
        <v/>
      </c>
      <c r="L47" s="184"/>
      <c r="M47" s="184"/>
      <c r="N47" s="184"/>
      <c r="O47" s="184"/>
      <c r="P47" s="184"/>
      <c r="Q47" s="184"/>
      <c r="R47" s="184"/>
    </row>
    <row r="48" spans="1:18" ht="24" customHeight="1">
      <c r="A48" s="185"/>
      <c r="B48" s="185"/>
      <c r="C48" s="185"/>
      <c r="D48" s="185"/>
      <c r="E48" s="185"/>
      <c r="F48" s="185"/>
      <c r="G48" s="185"/>
      <c r="H48" s="185"/>
      <c r="I48" s="185"/>
      <c r="J48" s="185"/>
      <c r="K48" s="185"/>
      <c r="L48" s="185"/>
      <c r="M48" s="185"/>
      <c r="N48" s="185"/>
      <c r="O48" s="185"/>
      <c r="P48" s="185"/>
      <c r="Q48" s="185"/>
      <c r="R48" s="185"/>
    </row>
    <row r="49" spans="1:18" ht="24" customHeight="1">
      <c r="A49" s="191" t="s">
        <v>2588</v>
      </c>
      <c r="B49" s="191"/>
      <c r="C49" s="191"/>
      <c r="D49" s="191"/>
      <c r="E49" s="191"/>
      <c r="F49" s="191"/>
      <c r="G49" s="191"/>
      <c r="H49" s="191" t="s">
        <v>2589</v>
      </c>
      <c r="I49" s="191"/>
      <c r="J49" s="191"/>
      <c r="K49" s="191"/>
      <c r="L49" s="191"/>
      <c r="M49" s="191"/>
      <c r="N49" s="192" t="s">
        <v>2590</v>
      </c>
      <c r="O49" s="192"/>
      <c r="P49" s="192"/>
      <c r="Q49" s="192"/>
      <c r="R49" s="192"/>
    </row>
    <row r="50" spans="1:18" ht="24" customHeight="1">
      <c r="A50" s="189" t="s">
        <v>73</v>
      </c>
      <c r="B50" s="193" t="s">
        <v>2594</v>
      </c>
      <c r="C50" s="193"/>
      <c r="D50" s="193"/>
      <c r="E50" s="193"/>
      <c r="F50" s="193"/>
      <c r="G50" s="193"/>
      <c r="H50" s="189" t="s">
        <v>2591</v>
      </c>
      <c r="I50" s="189" t="s">
        <v>2592</v>
      </c>
      <c r="J50" s="193" t="s">
        <v>2595</v>
      </c>
      <c r="K50" s="193"/>
      <c r="L50" s="193"/>
      <c r="M50" s="193"/>
      <c r="N50" s="189" t="s">
        <v>2593</v>
      </c>
      <c r="O50" s="193" t="s">
        <v>2596</v>
      </c>
      <c r="P50" s="193"/>
      <c r="Q50" s="193"/>
      <c r="R50" s="193"/>
    </row>
    <row r="51" spans="1:18" ht="24" customHeight="1">
      <c r="A51" s="153" t="s">
        <v>248</v>
      </c>
      <c r="B51" s="194" t="str">
        <f>IF(OR(A51="",A51="空"),"",IFERROR(VLOOKUP(A51,'书籍、特性与技能'!$AA$2:$AD$400,2,FALSE),""))</f>
        <v/>
      </c>
      <c r="C51" s="194"/>
      <c r="D51" s="194"/>
      <c r="E51" s="194"/>
      <c r="F51" s="194"/>
      <c r="G51" s="194"/>
      <c r="H51" s="153" t="s">
        <v>248</v>
      </c>
      <c r="I51" s="153"/>
      <c r="J51" s="194" t="str">
        <f>IF(OR(H51="",H51="空"),"",IFERROR(VLOOKUP(H51,装备列表!$M$5:$T$400,2,FALSE),""))</f>
        <v/>
      </c>
      <c r="K51" s="194"/>
      <c r="L51" s="194"/>
      <c r="M51" s="194"/>
      <c r="N51" s="153"/>
      <c r="O51" s="194"/>
      <c r="P51" s="194"/>
      <c r="Q51" s="194"/>
      <c r="R51" s="194"/>
    </row>
    <row r="52" spans="1:18" ht="24" customHeight="1">
      <c r="A52" s="153" t="s">
        <v>248</v>
      </c>
      <c r="B52" s="194" t="str">
        <f>IF(OR(A52="",A52="空"),"",IFERROR(VLOOKUP(A52,'书籍、特性与技能'!$AA$2:$AD$400,2,FALSE),""))</f>
        <v/>
      </c>
      <c r="C52" s="194"/>
      <c r="D52" s="194"/>
      <c r="E52" s="194"/>
      <c r="F52" s="194"/>
      <c r="G52" s="194"/>
      <c r="H52" s="153" t="s">
        <v>248</v>
      </c>
      <c r="I52" s="153"/>
      <c r="J52" s="194" t="str">
        <f>IF(OR(H52="",H52="空"),"",IFERROR(VLOOKUP(H52,装备列表!$M$5:$T$400,2,FALSE),""))</f>
        <v/>
      </c>
      <c r="K52" s="194"/>
      <c r="L52" s="194"/>
      <c r="M52" s="194"/>
      <c r="N52" s="153"/>
      <c r="O52" s="194"/>
      <c r="P52" s="194"/>
      <c r="Q52" s="194"/>
      <c r="R52" s="194"/>
    </row>
    <row r="53" spans="1:18" ht="24" customHeight="1">
      <c r="A53" s="153" t="s">
        <v>248</v>
      </c>
      <c r="B53" s="194" t="str">
        <f>IF(OR(A53="",A53="空"),"",IFERROR(VLOOKUP(A53,'书籍、特性与技能'!$AA$2:$AD$400,2,FALSE),""))</f>
        <v/>
      </c>
      <c r="C53" s="194"/>
      <c r="D53" s="194"/>
      <c r="E53" s="194"/>
      <c r="F53" s="194"/>
      <c r="G53" s="194"/>
      <c r="H53" s="153" t="s">
        <v>248</v>
      </c>
      <c r="I53" s="153"/>
      <c r="J53" s="194" t="str">
        <f>IF(OR(H53="",H53="空"),"",IFERROR(VLOOKUP(H53,装备列表!$M$5:$T$400,2,FALSE),""))</f>
        <v/>
      </c>
      <c r="K53" s="194"/>
      <c r="L53" s="194"/>
      <c r="M53" s="194"/>
      <c r="N53" s="153"/>
      <c r="O53" s="194"/>
      <c r="P53" s="194"/>
      <c r="Q53" s="194"/>
      <c r="R53" s="194"/>
    </row>
    <row r="54" spans="1:18" ht="24" customHeight="1">
      <c r="A54" s="153" t="s">
        <v>248</v>
      </c>
      <c r="B54" s="194" t="str">
        <f>IF(OR(A54="",A54="空"),"",IFERROR(VLOOKUP(A54,'书籍、特性与技能'!$AA$2:$AD$400,2,FALSE),""))</f>
        <v/>
      </c>
      <c r="C54" s="194"/>
      <c r="D54" s="194"/>
      <c r="E54" s="194"/>
      <c r="F54" s="194"/>
      <c r="G54" s="194"/>
      <c r="H54" s="153" t="s">
        <v>248</v>
      </c>
      <c r="I54" s="153"/>
      <c r="J54" s="194" t="str">
        <f>IF(OR(H54="",H54="空"),"",IFERROR(VLOOKUP(H54,装备列表!$M$5:$T$400,2,FALSE),""))</f>
        <v/>
      </c>
      <c r="K54" s="194"/>
      <c r="L54" s="194"/>
      <c r="M54" s="194"/>
      <c r="N54" s="153"/>
      <c r="O54" s="194"/>
      <c r="P54" s="194"/>
      <c r="Q54" s="194"/>
      <c r="R54" s="194"/>
    </row>
    <row r="55" spans="1:18" ht="24" customHeight="1">
      <c r="A55" s="172"/>
      <c r="B55" s="172"/>
      <c r="C55" s="172"/>
      <c r="D55" s="172"/>
      <c r="E55" s="172"/>
      <c r="F55" s="172"/>
      <c r="G55" s="172"/>
      <c r="H55" s="172"/>
      <c r="I55" s="172"/>
      <c r="J55" s="172"/>
      <c r="K55" s="172"/>
      <c r="L55" s="172"/>
      <c r="M55" s="172"/>
      <c r="N55" s="172"/>
      <c r="O55" s="172"/>
      <c r="P55" s="172"/>
      <c r="Q55" s="172"/>
      <c r="R55" s="172"/>
    </row>
    <row r="56" spans="1:18" ht="24" customHeight="1">
      <c r="A56" s="172"/>
      <c r="B56" s="172"/>
      <c r="C56" s="172"/>
      <c r="D56" s="172"/>
      <c r="E56" s="172"/>
      <c r="F56" s="172"/>
      <c r="G56" s="172"/>
      <c r="H56" s="172"/>
      <c r="I56" s="172"/>
      <c r="J56" s="172"/>
      <c r="K56" s="172"/>
      <c r="L56" s="172"/>
      <c r="M56" s="172"/>
      <c r="N56" s="172"/>
      <c r="O56" s="172"/>
      <c r="P56" s="172"/>
      <c r="Q56" s="172"/>
      <c r="R56" s="172"/>
    </row>
  </sheetData>
  <mergeCells count="108">
    <mergeCell ref="A15:R15"/>
    <mergeCell ref="A29:R29"/>
    <mergeCell ref="A43:R43"/>
    <mergeCell ref="H2:J2"/>
    <mergeCell ref="K2:R2"/>
    <mergeCell ref="H3:J3"/>
    <mergeCell ref="K3:R3"/>
    <mergeCell ref="H4:J4"/>
    <mergeCell ref="K4:R4"/>
    <mergeCell ref="H5:J5"/>
    <mergeCell ref="K5:R5"/>
    <mergeCell ref="A7:G7"/>
    <mergeCell ref="H7:M7"/>
    <mergeCell ref="N7:R7"/>
    <mergeCell ref="B8:G8"/>
    <mergeCell ref="J8:M8"/>
    <mergeCell ref="O8:R8"/>
    <mergeCell ref="A1:R1"/>
    <mergeCell ref="B11:G11"/>
    <mergeCell ref="J11:M11"/>
    <mergeCell ref="O11:R11"/>
    <mergeCell ref="B12:G12"/>
    <mergeCell ref="J12:M12"/>
    <mergeCell ref="O12:R12"/>
    <mergeCell ref="B9:G9"/>
    <mergeCell ref="J9:M9"/>
    <mergeCell ref="O9:R9"/>
    <mergeCell ref="B10:G10"/>
    <mergeCell ref="J10:M10"/>
    <mergeCell ref="O10:R10"/>
    <mergeCell ref="H19:J19"/>
    <mergeCell ref="K19:R19"/>
    <mergeCell ref="A21:G21"/>
    <mergeCell ref="H21:M21"/>
    <mergeCell ref="N21:R21"/>
    <mergeCell ref="B22:G22"/>
    <mergeCell ref="J22:M22"/>
    <mergeCell ref="O22:R22"/>
    <mergeCell ref="H16:J16"/>
    <mergeCell ref="K16:R16"/>
    <mergeCell ref="H17:J17"/>
    <mergeCell ref="K17:R17"/>
    <mergeCell ref="H18:J18"/>
    <mergeCell ref="K18:R18"/>
    <mergeCell ref="B25:G25"/>
    <mergeCell ref="J25:M25"/>
    <mergeCell ref="O25:R25"/>
    <mergeCell ref="B26:G26"/>
    <mergeCell ref="J26:M26"/>
    <mergeCell ref="O26:R26"/>
    <mergeCell ref="B23:G23"/>
    <mergeCell ref="J23:M23"/>
    <mergeCell ref="O23:R23"/>
    <mergeCell ref="B24:G24"/>
    <mergeCell ref="J24:M24"/>
    <mergeCell ref="O24:R24"/>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39:G39"/>
    <mergeCell ref="J39:M39"/>
    <mergeCell ref="O39:R39"/>
    <mergeCell ref="B40:G40"/>
    <mergeCell ref="J40:M40"/>
    <mergeCell ref="O40:R40"/>
    <mergeCell ref="B37:G37"/>
    <mergeCell ref="J37:M37"/>
    <mergeCell ref="O37:R37"/>
    <mergeCell ref="B38:G38"/>
    <mergeCell ref="J38:M38"/>
    <mergeCell ref="O38:R38"/>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53:G53"/>
    <mergeCell ref="J53:M53"/>
    <mergeCell ref="O53:R53"/>
    <mergeCell ref="B54:G54"/>
    <mergeCell ref="J54:M54"/>
    <mergeCell ref="O54:R54"/>
    <mergeCell ref="B51:G51"/>
    <mergeCell ref="J51:M51"/>
    <mergeCell ref="O51:R51"/>
    <mergeCell ref="B52:G52"/>
    <mergeCell ref="J52:M52"/>
    <mergeCell ref="O52:R52"/>
  </mergeCells>
  <phoneticPr fontId="13" type="noConversion"/>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028802B1-42E4-4F3D-9A7B-C778C3254949}">
          <x14:formula1>
            <xm:f>OFFSET('书籍、特性与技能'!$AA$2,0,0,COUNTA('书籍、特性与技能'!$AA$2:$AA$400),1)</xm:f>
          </x14:formula1>
          <xm:sqref>A9:A12 A23:A26 A37:A40 A51:A54</xm:sqref>
        </x14:dataValidation>
        <x14:dataValidation type="list" allowBlank="1" showInputMessage="1" showErrorMessage="1" xr:uid="{C65371F7-6972-452C-9452-9C2536A0EB03}">
          <x14:formula1>
            <xm:f>OFFSET(装备列表!$V$5,0,0,COUNTA(装备列表!$V$5:$V$100),1)</xm:f>
          </x14:formula1>
          <xm:sqref>H2 H16 H30 H44</xm:sqref>
        </x14:dataValidation>
        <x14:dataValidation type="list" allowBlank="1" showInputMessage="1" showErrorMessage="1" xr:uid="{2DD6F3E8-D35E-49FB-8B11-75E8CC5EFAA2}">
          <x14:formula1>
            <xm:f>OFFSET(装备列表!$W$5,0,0,COUNTA(装备列表!$W$5:$W$120),1)</xm:f>
          </x14:formula1>
          <xm:sqref>H3 H17 H31 H45</xm:sqref>
        </x14:dataValidation>
        <x14:dataValidation type="list" allowBlank="1" showInputMessage="1" showErrorMessage="1" xr:uid="{4F9068E9-B20A-4A45-B7D7-CE66689F88D5}">
          <x14:formula1>
            <xm:f>OFFSET(装备列表!$X$5,0,0,COUNTA(装备列表!$X$5:$X$100),1)</xm:f>
          </x14:formula1>
          <xm:sqref>H4 H18 H32 H46</xm:sqref>
        </x14:dataValidation>
        <x14:dataValidation type="list" allowBlank="1" showInputMessage="1" showErrorMessage="1" xr:uid="{4A72FC32-21B8-4E2D-9DC1-C129D9774F65}">
          <x14:formula1>
            <xm:f>OFFSET(装备列表!$Y$5,0,0,COUNTA(装备列表!$Y$5:$Y$150),1)</xm:f>
          </x14:formula1>
          <xm:sqref>H5 H19 H33 H47</xm:sqref>
        </x14:dataValidation>
        <x14:dataValidation type="list" allowBlank="1" showInputMessage="1" showErrorMessage="1" xr:uid="{5B7BBF95-6DF1-4AFE-A1DE-A10FCC8056B4}">
          <x14:formula1>
            <xm:f>OFFSET(装备列表!$Z$5,0,0,COUNTA(装备列表!$Z$5:$Z$200),1)</xm:f>
          </x14:formula1>
          <xm:sqref>H9:H12 H23:H26 H37:H40 H51:H54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63" t="s">
        <v>128</v>
      </c>
      <c r="B1" s="64"/>
      <c r="C1" s="64"/>
      <c r="D1" s="64"/>
      <c r="E1" s="65"/>
      <c r="F1" s="15"/>
      <c r="G1" s="15"/>
      <c r="H1" s="66" t="s">
        <v>129</v>
      </c>
      <c r="I1" s="67"/>
      <c r="J1" s="15"/>
      <c r="K1" s="68" t="s">
        <v>130</v>
      </c>
      <c r="L1" s="69"/>
      <c r="M1" s="69"/>
      <c r="N1" s="15"/>
      <c r="O1" s="70" t="s">
        <v>131</v>
      </c>
      <c r="P1" s="70"/>
      <c r="Q1" s="70"/>
      <c r="R1" s="70"/>
      <c r="S1" s="70"/>
      <c r="T1" s="70"/>
      <c r="U1" s="70"/>
      <c r="V1" s="70"/>
      <c r="W1" s="70"/>
    </row>
    <row r="2" spans="1:23">
      <c r="A2" s="15"/>
      <c r="B2" s="15"/>
      <c r="C2" s="15"/>
      <c r="D2" s="15"/>
      <c r="E2" s="15"/>
      <c r="F2" s="15"/>
      <c r="G2" s="15"/>
      <c r="H2" s="15"/>
      <c r="I2" s="15"/>
      <c r="J2" s="15"/>
      <c r="K2" s="15"/>
      <c r="L2" s="15"/>
      <c r="M2" s="15"/>
      <c r="N2" s="15"/>
      <c r="O2" s="15"/>
      <c r="P2" s="15"/>
      <c r="Q2" s="15"/>
      <c r="R2" s="15"/>
      <c r="S2" s="15"/>
      <c r="T2" s="15"/>
      <c r="U2" s="15"/>
      <c r="V2" s="15"/>
      <c r="W2" s="15"/>
    </row>
    <row r="3" spans="1:23" ht="24" customHeight="1">
      <c r="A3" s="71" t="s">
        <v>132</v>
      </c>
      <c r="B3" s="72"/>
      <c r="C3" s="72"/>
      <c r="D3" s="72"/>
      <c r="E3" s="73"/>
      <c r="F3" s="15"/>
      <c r="G3" s="15"/>
      <c r="H3" s="138" t="s">
        <v>133</v>
      </c>
      <c r="I3" s="123">
        <f>15</f>
        <v>15</v>
      </c>
      <c r="J3" s="15"/>
      <c r="K3" s="93" t="s">
        <v>134</v>
      </c>
      <c r="L3" s="93" t="s">
        <v>135</v>
      </c>
      <c r="M3" s="93" t="s">
        <v>136</v>
      </c>
      <c r="N3" s="15"/>
      <c r="O3" s="139" t="s">
        <v>137</v>
      </c>
      <c r="P3" s="139"/>
      <c r="Q3" s="139"/>
      <c r="R3" s="139"/>
      <c r="S3" s="15"/>
      <c r="T3" s="141" t="s">
        <v>138</v>
      </c>
      <c r="U3" s="141"/>
      <c r="V3" s="141"/>
      <c r="W3" s="141"/>
    </row>
    <row r="4" spans="1:23" ht="24" customHeight="1">
      <c r="A4" s="135" t="s">
        <v>139</v>
      </c>
      <c r="B4" s="136" t="s">
        <v>140</v>
      </c>
      <c r="C4" s="136"/>
      <c r="D4" s="136"/>
      <c r="E4" s="137"/>
      <c r="F4" s="15"/>
      <c r="G4" s="15"/>
      <c r="H4" s="138" t="s">
        <v>141</v>
      </c>
      <c r="I4" s="123">
        <f>SUM(L4:L13)</f>
        <v>0</v>
      </c>
      <c r="J4" s="15"/>
      <c r="K4" s="123"/>
      <c r="L4" s="123"/>
      <c r="M4" s="123"/>
      <c r="N4" s="15"/>
      <c r="O4" s="138" t="s">
        <v>142</v>
      </c>
      <c r="P4" s="123" t="s">
        <v>2598</v>
      </c>
      <c r="Q4" s="138" t="s">
        <v>143</v>
      </c>
      <c r="R4" s="123">
        <f>SUM(P10:P12)</f>
        <v>0</v>
      </c>
      <c r="S4" s="15"/>
      <c r="T4" s="138" t="s">
        <v>144</v>
      </c>
      <c r="U4" s="138" t="s">
        <v>145</v>
      </c>
      <c r="V4" s="138" t="s">
        <v>146</v>
      </c>
      <c r="W4" s="138" t="s">
        <v>11</v>
      </c>
    </row>
    <row r="5" spans="1:23" ht="24" customHeight="1">
      <c r="A5" s="195">
        <v>1</v>
      </c>
      <c r="B5" s="196"/>
      <c r="C5" s="74"/>
      <c r="D5" s="74"/>
      <c r="E5" s="75"/>
      <c r="F5" s="15"/>
      <c r="G5" s="15"/>
      <c r="H5" s="138" t="s">
        <v>147</v>
      </c>
      <c r="I5" s="123">
        <f>I3+I4</f>
        <v>15</v>
      </c>
      <c r="J5" s="15"/>
      <c r="K5" s="123"/>
      <c r="L5" s="123"/>
      <c r="M5" s="123"/>
      <c r="N5" s="15"/>
      <c r="O5" s="138" t="s">
        <v>148</v>
      </c>
      <c r="P5" s="123">
        <f>5+COUNTIF($U$5:$U$14,"特种护甲插件")*10</f>
        <v>5</v>
      </c>
      <c r="Q5" s="138" t="s">
        <v>149</v>
      </c>
      <c r="R5" s="123">
        <v>200</v>
      </c>
      <c r="S5" s="15"/>
      <c r="T5" s="123">
        <v>1</v>
      </c>
      <c r="U5" s="123"/>
      <c r="V5" s="123">
        <f>IF(OR(U5="",U5="空"),0,IFERROR(VLOOKUP(U5,【墨家】物品库!$AJ$5:$AK$100,2,FALSE),0))</f>
        <v>0</v>
      </c>
      <c r="W5" s="123" t="str">
        <f>IF(OR(U5="",U5="空"),"",IFERROR(VLOOKUP(U5,【墨家】物品库!$AJ$5:$AL$100,3,FALSE),""))</f>
        <v/>
      </c>
    </row>
    <row r="6" spans="1:23" ht="24" customHeight="1">
      <c r="A6" s="195">
        <v>2</v>
      </c>
      <c r="B6" s="196"/>
      <c r="C6" s="74"/>
      <c r="D6" s="74"/>
      <c r="E6" s="75"/>
      <c r="F6" s="15"/>
      <c r="G6" s="15"/>
      <c r="H6" s="138" t="s">
        <v>150</v>
      </c>
      <c r="I6" s="123">
        <f>SUM(F5:F304)</f>
        <v>0</v>
      </c>
      <c r="J6" s="15"/>
      <c r="K6" s="123"/>
      <c r="L6" s="123"/>
      <c r="M6" s="123"/>
      <c r="N6" s="15"/>
      <c r="O6" s="138" t="s">
        <v>41</v>
      </c>
      <c r="P6" s="123">
        <v>20</v>
      </c>
      <c r="Q6" s="138" t="s">
        <v>151</v>
      </c>
      <c r="R6" s="123">
        <f>1+MAX(0,INT(($I$5-10)/10))</f>
        <v>1</v>
      </c>
      <c r="S6" s="15"/>
      <c r="T6" s="123">
        <v>2</v>
      </c>
      <c r="U6" s="123"/>
      <c r="V6" s="123">
        <f>IF(OR(U6="",U6="空"),0,IFERROR(VLOOKUP(U6,【墨家】物品库!$AJ$5:$AK$100,2,FALSE),0))</f>
        <v>0</v>
      </c>
      <c r="W6" s="123" t="str">
        <f>IF(OR(U6="",U6="空"),"",IFERROR(VLOOKUP(U6,【墨家】物品库!$AJ$5:$AL$100,3,FALSE),""))</f>
        <v/>
      </c>
    </row>
    <row r="7" spans="1:23" ht="24" customHeight="1">
      <c r="A7" s="195">
        <v>3</v>
      </c>
      <c r="B7" s="196"/>
      <c r="C7" s="74"/>
      <c r="D7" s="74"/>
      <c r="E7" s="75"/>
      <c r="F7" s="15"/>
      <c r="G7" s="15"/>
      <c r="H7" s="138" t="s">
        <v>152</v>
      </c>
      <c r="I7" s="123">
        <f>R12</f>
        <v>0</v>
      </c>
      <c r="J7" s="15"/>
      <c r="K7" s="123"/>
      <c r="L7" s="123"/>
      <c r="M7" s="123"/>
      <c r="N7" s="15"/>
      <c r="O7" s="138" t="s">
        <v>153</v>
      </c>
      <c r="P7" s="123"/>
      <c r="Q7" s="138" t="s">
        <v>154</v>
      </c>
      <c r="R7" s="123">
        <f>COUNTA($U$5:$U$14)-COUNTIF($U$5:$U$14,"空")</f>
        <v>0</v>
      </c>
      <c r="S7" s="15"/>
      <c r="T7" s="123">
        <v>3</v>
      </c>
      <c r="U7" s="123"/>
      <c r="V7" s="123">
        <f>IF(OR(U7="",U7="空"),0,IFERROR(VLOOKUP(U7,【墨家】物品库!$AJ$5:$AK$100,2,FALSE),0))</f>
        <v>0</v>
      </c>
      <c r="W7" s="123" t="str">
        <f>IF(OR(U7="",U7="空"),"",IFERROR(VLOOKUP(U7,【墨家】物品库!$AJ$5:$AL$100,3,FALSE),""))</f>
        <v/>
      </c>
    </row>
    <row r="8" spans="1:23" ht="24" customHeight="1">
      <c r="A8" s="195">
        <v>4</v>
      </c>
      <c r="B8" s="196"/>
      <c r="C8" s="74"/>
      <c r="D8" s="74"/>
      <c r="E8" s="75"/>
      <c r="F8" s="15"/>
      <c r="G8" s="15"/>
      <c r="H8" s="138" t="s">
        <v>155</v>
      </c>
      <c r="I8" s="123">
        <f>I5-I6</f>
        <v>15</v>
      </c>
      <c r="J8" s="15"/>
      <c r="K8" s="123"/>
      <c r="L8" s="123"/>
      <c r="M8" s="123"/>
      <c r="N8" s="15"/>
      <c r="O8" s="138" t="s">
        <v>156</v>
      </c>
      <c r="P8" s="123">
        <v>60</v>
      </c>
      <c r="Q8" s="138" t="s">
        <v>157</v>
      </c>
      <c r="R8" s="123">
        <f>R6-R7</f>
        <v>1</v>
      </c>
      <c r="S8" s="15"/>
      <c r="T8" s="123">
        <v>4</v>
      </c>
      <c r="U8" s="123"/>
      <c r="V8" s="123">
        <f>IF(OR(U8="",U8="空"),0,IFERROR(VLOOKUP(U8,【墨家】物品库!$AJ$5:$AK$100,2,FALSE),0))</f>
        <v>0</v>
      </c>
      <c r="W8" s="123" t="str">
        <f>IF(OR(U8="",U8="空"),"",IFERROR(VLOOKUP(U8,【墨家】物品库!$AJ$5:$AL$100,3,FALSE),""))</f>
        <v/>
      </c>
    </row>
    <row r="9" spans="1:23" ht="24" customHeight="1">
      <c r="A9" s="195">
        <v>5</v>
      </c>
      <c r="B9" s="196"/>
      <c r="C9" s="74"/>
      <c r="D9" s="74"/>
      <c r="E9" s="75"/>
      <c r="F9" s="15"/>
      <c r="G9" s="15"/>
      <c r="H9" s="138" t="s">
        <v>158</v>
      </c>
      <c r="I9" s="128" t="s">
        <v>159</v>
      </c>
      <c r="J9" s="15"/>
      <c r="K9" s="123"/>
      <c r="L9" s="123"/>
      <c r="M9" s="123"/>
      <c r="N9" s="15"/>
      <c r="O9" s="138" t="s">
        <v>160</v>
      </c>
      <c r="P9" s="123" t="s">
        <v>2599</v>
      </c>
      <c r="Q9" s="138" t="s">
        <v>162</v>
      </c>
      <c r="R9" s="123">
        <v>5</v>
      </c>
      <c r="S9" s="15"/>
      <c r="T9" s="123">
        <v>5</v>
      </c>
      <c r="U9" s="123"/>
      <c r="V9" s="123">
        <f>IF(OR(U9="",U9="空"),0,IFERROR(VLOOKUP(U9,【墨家】物品库!$AJ$5:$AK$100,2,FALSE),0))</f>
        <v>0</v>
      </c>
      <c r="W9" s="123" t="str">
        <f>IF(OR(U9="",U9="空"),"",IFERROR(VLOOKUP(U9,【墨家】物品库!$AJ$5:$AL$100,3,FALSE),""))</f>
        <v/>
      </c>
    </row>
    <row r="10" spans="1:23" ht="24" customHeight="1">
      <c r="A10" s="195">
        <v>6</v>
      </c>
      <c r="B10" s="196"/>
      <c r="C10" s="74"/>
      <c r="D10" s="74"/>
      <c r="E10" s="75"/>
      <c r="F10" s="15"/>
      <c r="G10" s="15"/>
      <c r="H10" s="138" t="s">
        <v>163</v>
      </c>
      <c r="I10" s="128" t="s">
        <v>164</v>
      </c>
      <c r="J10" s="15"/>
      <c r="K10" s="123"/>
      <c r="L10" s="123"/>
      <c r="M10" s="123"/>
      <c r="N10" s="15"/>
      <c r="O10" s="138" t="s">
        <v>25</v>
      </c>
      <c r="P10" s="123"/>
      <c r="Q10" s="138" t="s">
        <v>165</v>
      </c>
      <c r="R10" s="123">
        <f>R7*R9</f>
        <v>0</v>
      </c>
      <c r="S10" s="15"/>
      <c r="T10" s="123">
        <v>6</v>
      </c>
      <c r="U10" s="123"/>
      <c r="V10" s="123">
        <f>IF(OR(U10="",U10="空"),0,IFERROR(VLOOKUP(U10,【墨家】物品库!$AJ$5:$AK$100,2,FALSE),0))</f>
        <v>0</v>
      </c>
      <c r="W10" s="123" t="str">
        <f>IF(OR(U10="",U10="空"),"",IFERROR(VLOOKUP(U10,【墨家】物品库!$AJ$5:$AL$100,3,FALSE),""))</f>
        <v/>
      </c>
    </row>
    <row r="11" spans="1:23" ht="24" customHeight="1">
      <c r="A11" s="195">
        <v>7</v>
      </c>
      <c r="B11" s="196"/>
      <c r="C11" s="74"/>
      <c r="D11" s="74"/>
      <c r="E11" s="75"/>
      <c r="F11" s="15"/>
      <c r="G11" s="15"/>
      <c r="H11" s="138" t="s">
        <v>166</v>
      </c>
      <c r="I11" s="128" t="s">
        <v>167</v>
      </c>
      <c r="J11" s="15"/>
      <c r="K11" s="123"/>
      <c r="L11" s="123"/>
      <c r="M11" s="123"/>
      <c r="N11" s="15"/>
      <c r="O11" s="138" t="s">
        <v>33</v>
      </c>
      <c r="P11" s="123"/>
      <c r="Q11" s="138" t="s">
        <v>168</v>
      </c>
      <c r="R11" s="123">
        <f>SUM($Q$17:$Q$19)</f>
        <v>0</v>
      </c>
      <c r="S11" s="15"/>
      <c r="T11" s="123">
        <v>7</v>
      </c>
      <c r="U11" s="123"/>
      <c r="V11" s="123">
        <f>IF(OR(U11="",U11="空"),0,IFERROR(VLOOKUP(U11,【墨家】物品库!$AJ$5:$AK$100,2,FALSE),0))</f>
        <v>0</v>
      </c>
      <c r="W11" s="123" t="str">
        <f>IF(OR(U11="",U11="空"),"",IFERROR(VLOOKUP(U11,【墨家】物品库!$AJ$5:$AL$100,3,FALSE),""))</f>
        <v/>
      </c>
    </row>
    <row r="12" spans="1:23" ht="24" customHeight="1">
      <c r="A12" s="195">
        <v>8</v>
      </c>
      <c r="B12" s="196"/>
      <c r="C12" s="74"/>
      <c r="D12" s="74"/>
      <c r="E12" s="75"/>
      <c r="F12" s="15"/>
      <c r="G12" s="15"/>
      <c r="H12" s="138" t="s">
        <v>169</v>
      </c>
      <c r="I12" s="128" t="s">
        <v>170</v>
      </c>
      <c r="J12" s="15"/>
      <c r="K12" s="123"/>
      <c r="L12" s="123"/>
      <c r="M12" s="123"/>
      <c r="N12" s="15"/>
      <c r="O12" s="138" t="s">
        <v>24</v>
      </c>
      <c r="P12" s="123"/>
      <c r="Q12" s="138" t="s">
        <v>171</v>
      </c>
      <c r="R12" s="123">
        <f>R10+R11</f>
        <v>0</v>
      </c>
      <c r="S12" s="15"/>
      <c r="T12" s="123">
        <v>8</v>
      </c>
      <c r="U12" s="123"/>
      <c r="V12" s="123">
        <f>IF(OR(U12="",U12="空"),0,IFERROR(VLOOKUP(U12,【墨家】物品库!$AJ$5:$AK$100,2,FALSE),0))</f>
        <v>0</v>
      </c>
      <c r="W12" s="123" t="str">
        <f>IF(OR(U12="",U12="空"),"",IFERROR(VLOOKUP(U12,【墨家】物品库!$AJ$5:$AL$100,3,FALSE),""))</f>
        <v/>
      </c>
    </row>
    <row r="13" spans="1:23" ht="24" customHeight="1">
      <c r="A13" s="195">
        <v>9</v>
      </c>
      <c r="B13" s="196"/>
      <c r="C13" s="74"/>
      <c r="D13" s="74"/>
      <c r="E13" s="75"/>
      <c r="F13" s="15"/>
      <c r="G13" s="15"/>
      <c r="H13" s="138" t="s">
        <v>172</v>
      </c>
      <c r="I13" s="128" t="s">
        <v>173</v>
      </c>
      <c r="J13" s="15"/>
      <c r="K13" s="123"/>
      <c r="L13" s="123"/>
      <c r="M13" s="123"/>
      <c r="N13" s="15"/>
      <c r="O13" s="138" t="s">
        <v>174</v>
      </c>
      <c r="P13" s="123" t="s">
        <v>175</v>
      </c>
      <c r="Q13" s="140" t="s">
        <v>176</v>
      </c>
      <c r="R13" s="140"/>
      <c r="S13" s="15"/>
      <c r="T13" s="123">
        <v>9</v>
      </c>
      <c r="U13" s="123"/>
      <c r="V13" s="123">
        <f>IF(OR(U13="",U13="空"),0,IFERROR(VLOOKUP(U13,【墨家】物品库!$AJ$5:$AK$100,2,FALSE),0))</f>
        <v>0</v>
      </c>
      <c r="W13" s="123" t="str">
        <f>IF(OR(U13="",U13="空"),"",IFERROR(VLOOKUP(U13,【墨家】物品库!$AJ$5:$AL$100,3,FALSE),""))</f>
        <v/>
      </c>
    </row>
    <row r="14" spans="1:23" ht="24" customHeight="1">
      <c r="A14" s="195">
        <v>10</v>
      </c>
      <c r="B14" s="196"/>
      <c r="C14" s="74"/>
      <c r="D14" s="74"/>
      <c r="E14" s="75"/>
      <c r="F14" s="15"/>
      <c r="G14" s="15"/>
      <c r="H14" s="138" t="s">
        <v>177</v>
      </c>
      <c r="I14" s="105" t="s">
        <v>178</v>
      </c>
      <c r="J14" s="15"/>
      <c r="K14" s="15"/>
      <c r="L14" s="15"/>
      <c r="M14" s="15"/>
      <c r="N14" s="15"/>
      <c r="O14" s="15"/>
      <c r="P14" s="15"/>
      <c r="Q14" s="15"/>
      <c r="R14" s="15"/>
      <c r="S14" s="15"/>
      <c r="T14" s="123">
        <v>10</v>
      </c>
      <c r="U14" s="123"/>
      <c r="V14" s="123">
        <f>IF(OR(U14="",U14="空"),0,IFERROR(VLOOKUP(U14,【墨家】物品库!$AJ$5:$AK$100,2,FALSE),0))</f>
        <v>0</v>
      </c>
      <c r="W14" s="123" t="str">
        <f>IF(OR(U14="",U14="空"),"",IFERROR(VLOOKUP(U14,【墨家】物品库!$AJ$5:$AL$100,3,FALSE),""))</f>
        <v/>
      </c>
    </row>
    <row r="15" spans="1:23" ht="24" customHeight="1">
      <c r="A15" s="195">
        <v>11</v>
      </c>
      <c r="B15" s="196"/>
      <c r="C15" s="74"/>
      <c r="D15" s="74"/>
      <c r="E15" s="75"/>
      <c r="F15" s="15"/>
      <c r="G15" s="15"/>
      <c r="H15" s="138" t="s">
        <v>179</v>
      </c>
      <c r="I15" s="105" t="s">
        <v>180</v>
      </c>
      <c r="J15" s="15"/>
      <c r="K15" s="15"/>
      <c r="L15" s="15"/>
      <c r="M15" s="15"/>
      <c r="N15" s="15"/>
      <c r="O15" s="139" t="s">
        <v>181</v>
      </c>
      <c r="P15" s="139"/>
      <c r="Q15" s="139"/>
      <c r="R15" s="139"/>
      <c r="S15" s="15"/>
      <c r="T15" s="15"/>
      <c r="U15" s="15"/>
      <c r="V15" s="15"/>
      <c r="W15" s="15"/>
    </row>
    <row r="16" spans="1:23" ht="24" customHeight="1">
      <c r="A16" s="195">
        <v>12</v>
      </c>
      <c r="B16" s="196"/>
      <c r="C16" s="74"/>
      <c r="D16" s="74"/>
      <c r="E16" s="75"/>
      <c r="F16" s="15"/>
      <c r="G16" s="15"/>
      <c r="H16" s="138" t="s">
        <v>182</v>
      </c>
      <c r="I16" s="105" t="s">
        <v>183</v>
      </c>
      <c r="J16" s="15"/>
      <c r="K16" s="15"/>
      <c r="L16" s="15"/>
      <c r="M16" s="15"/>
      <c r="N16" s="15"/>
      <c r="O16" s="138" t="s">
        <v>144</v>
      </c>
      <c r="P16" s="138" t="s">
        <v>184</v>
      </c>
      <c r="Q16" s="138" t="s">
        <v>146</v>
      </c>
      <c r="R16" s="138" t="s">
        <v>11</v>
      </c>
      <c r="S16" s="15"/>
      <c r="T16" s="15"/>
      <c r="U16" s="15"/>
      <c r="V16" s="15"/>
      <c r="W16" s="15"/>
    </row>
    <row r="17" spans="1:23" ht="24" customHeight="1">
      <c r="A17" s="195">
        <v>13</v>
      </c>
      <c r="B17" s="196"/>
      <c r="C17" s="74"/>
      <c r="D17" s="74"/>
      <c r="E17" s="75"/>
      <c r="F17" s="15"/>
      <c r="G17" s="15"/>
      <c r="H17" s="15"/>
      <c r="I17" s="15"/>
      <c r="J17" s="15"/>
      <c r="K17" s="15"/>
      <c r="L17" s="15"/>
      <c r="M17" s="15"/>
      <c r="N17" s="15"/>
      <c r="O17" s="123">
        <v>1</v>
      </c>
      <c r="P17" s="123"/>
      <c r="Q17" s="123">
        <f>IF(OR(P17="",P17="空"),0,IFERROR(VLOOKUP(P17,【墨家】物品库!$AN$5:$AO$50,2,FALSE),0))</f>
        <v>0</v>
      </c>
      <c r="R17" s="123" t="str">
        <f>IF(OR(P17="",P17="空"),"",IFERROR(VLOOKUP(P17,【墨家】物品库!$AN$5:$AP$50,3,FALSE),""))</f>
        <v/>
      </c>
      <c r="S17" s="15"/>
      <c r="T17" s="15"/>
      <c r="U17" s="15"/>
      <c r="V17" s="15"/>
      <c r="W17" s="15"/>
    </row>
    <row r="18" spans="1:23" ht="24" customHeight="1">
      <c r="A18" s="195">
        <v>14</v>
      </c>
      <c r="B18" s="196"/>
      <c r="C18" s="74"/>
      <c r="D18" s="74"/>
      <c r="E18" s="75"/>
      <c r="F18" s="15"/>
      <c r="G18" s="15"/>
      <c r="H18" s="15"/>
      <c r="I18" s="15"/>
      <c r="J18" s="15"/>
      <c r="K18" s="15"/>
      <c r="L18" s="15"/>
      <c r="M18" s="15"/>
      <c r="N18" s="15"/>
      <c r="O18" s="123">
        <v>2</v>
      </c>
      <c r="P18" s="123"/>
      <c r="Q18" s="123">
        <f>IF(OR(P18="",P18="空"),0,IFERROR(VLOOKUP(P18,【墨家】物品库!$AN$5:$AO$50,2,FALSE),0))</f>
        <v>0</v>
      </c>
      <c r="R18" s="123" t="str">
        <f>IF(OR(P18="",P18="空"),"",IFERROR(VLOOKUP(P18,【墨家】物品库!$AN$5:$AP$50,3,FALSE),""))</f>
        <v/>
      </c>
      <c r="S18" s="15"/>
      <c r="T18" s="15"/>
      <c r="U18" s="15"/>
      <c r="V18" s="15"/>
      <c r="W18" s="15"/>
    </row>
    <row r="19" spans="1:23" ht="24" customHeight="1">
      <c r="A19" s="195">
        <v>15</v>
      </c>
      <c r="B19" s="196"/>
      <c r="C19" s="74"/>
      <c r="D19" s="74"/>
      <c r="E19" s="75"/>
      <c r="F19" s="15"/>
      <c r="G19" s="15"/>
      <c r="H19" s="15"/>
      <c r="I19" s="15"/>
      <c r="J19" s="15"/>
      <c r="K19" s="15"/>
      <c r="L19" s="15"/>
      <c r="M19" s="15"/>
      <c r="N19" s="15"/>
      <c r="O19" s="123">
        <v>3</v>
      </c>
      <c r="P19" s="123"/>
      <c r="Q19" s="123">
        <f>IF(OR(P19="",P19="空"),0,IFERROR(VLOOKUP(P19,【墨家】物品库!$AN$5:$AO$50,2,FALSE),0))</f>
        <v>0</v>
      </c>
      <c r="R19" s="123" t="str">
        <f>IF(OR(P19="",P19="空"),"",IFERROR(VLOOKUP(P19,【墨家】物品库!$AN$5:$AP$50,3,FALSE),""))</f>
        <v/>
      </c>
      <c r="S19" s="15"/>
      <c r="T19" s="15"/>
      <c r="U19" s="15"/>
      <c r="V19" s="15"/>
      <c r="W19" s="15"/>
    </row>
    <row r="20" spans="1:23" ht="24" hidden="1" customHeight="1">
      <c r="A20" s="42">
        <v>16</v>
      </c>
      <c r="B20" s="40"/>
      <c r="C20" s="44"/>
      <c r="D20" s="44"/>
      <c r="E20" s="45"/>
      <c r="F20" s="15"/>
      <c r="G20" s="15"/>
      <c r="H20" s="15"/>
      <c r="I20" s="15"/>
      <c r="J20" s="15"/>
      <c r="K20" s="15"/>
      <c r="L20" s="15"/>
      <c r="M20" s="15"/>
      <c r="N20" s="15"/>
      <c r="O20" s="15"/>
      <c r="P20" s="15"/>
      <c r="Q20" s="15"/>
      <c r="R20" s="15"/>
      <c r="S20" s="15"/>
      <c r="T20" s="15"/>
      <c r="U20" s="15"/>
      <c r="V20" s="15"/>
      <c r="W20" s="15"/>
    </row>
    <row r="21" spans="1:23" ht="28.05" hidden="1" customHeight="1">
      <c r="A21" s="42">
        <v>17</v>
      </c>
      <c r="B21" s="40"/>
      <c r="C21" s="44"/>
      <c r="D21" s="44"/>
      <c r="E21" s="45"/>
      <c r="F21" s="15"/>
      <c r="G21" s="15"/>
      <c r="H21" s="15"/>
      <c r="I21" s="15"/>
      <c r="J21" s="15"/>
      <c r="K21" s="15"/>
      <c r="L21" s="15"/>
      <c r="M21" s="15"/>
      <c r="N21" s="15"/>
      <c r="O21" s="141" t="s">
        <v>185</v>
      </c>
      <c r="P21" s="141"/>
      <c r="Q21" s="141"/>
      <c r="R21" s="141"/>
      <c r="S21" s="141"/>
      <c r="T21" s="141"/>
      <c r="U21" s="141"/>
      <c r="V21" s="141"/>
      <c r="W21" s="141"/>
    </row>
    <row r="22" spans="1:23" ht="28.05" hidden="1" customHeight="1">
      <c r="A22" s="42">
        <v>18</v>
      </c>
      <c r="B22" s="40"/>
      <c r="C22" s="44"/>
      <c r="D22" s="44"/>
      <c r="E22" s="45"/>
      <c r="F22" s="15"/>
      <c r="G22" s="15"/>
      <c r="H22" s="15"/>
      <c r="I22" s="15"/>
      <c r="J22" s="15"/>
      <c r="K22" s="15"/>
      <c r="L22" s="15"/>
      <c r="M22" s="15"/>
      <c r="N22" s="15"/>
      <c r="O22" s="138" t="s">
        <v>186</v>
      </c>
      <c r="P22" s="138" t="s">
        <v>187</v>
      </c>
      <c r="Q22" s="94" t="s">
        <v>188</v>
      </c>
      <c r="R22" s="94"/>
      <c r="S22" s="94"/>
      <c r="T22" s="94"/>
      <c r="U22" s="94"/>
      <c r="V22" s="94"/>
      <c r="W22" s="94"/>
    </row>
    <row r="23" spans="1:23" ht="28.05" hidden="1" customHeight="1">
      <c r="A23" s="42">
        <v>19</v>
      </c>
      <c r="B23" s="40"/>
      <c r="C23" s="44"/>
      <c r="D23" s="44"/>
      <c r="E23" s="45"/>
      <c r="F23" s="15"/>
      <c r="G23" s="15"/>
      <c r="H23" s="15"/>
      <c r="I23" s="15"/>
      <c r="J23" s="15"/>
      <c r="K23" s="15"/>
      <c r="L23" s="15"/>
      <c r="M23" s="15"/>
      <c r="N23" s="15"/>
      <c r="O23" s="138">
        <v>15</v>
      </c>
      <c r="P23" s="138" t="s">
        <v>189</v>
      </c>
      <c r="Q23" s="94" t="s">
        <v>190</v>
      </c>
      <c r="R23" s="94"/>
      <c r="S23" s="94"/>
      <c r="T23" s="94"/>
      <c r="U23" s="94"/>
      <c r="V23" s="94"/>
      <c r="W23" s="94"/>
    </row>
    <row r="24" spans="1:23" ht="28.05" hidden="1" customHeight="1">
      <c r="A24" s="42">
        <v>20</v>
      </c>
      <c r="B24" s="40"/>
      <c r="C24" s="44"/>
      <c r="D24" s="44"/>
      <c r="E24" s="45"/>
      <c r="F24" s="15"/>
      <c r="G24" s="15"/>
      <c r="H24" s="15"/>
      <c r="I24" s="15"/>
      <c r="J24" s="15"/>
      <c r="K24" s="15"/>
      <c r="L24" s="15"/>
      <c r="M24" s="15"/>
      <c r="N24" s="15"/>
      <c r="O24" s="138">
        <v>20</v>
      </c>
      <c r="P24" s="138" t="s">
        <v>191</v>
      </c>
      <c r="Q24" s="94" t="s">
        <v>192</v>
      </c>
      <c r="R24" s="94"/>
      <c r="S24" s="94"/>
      <c r="T24" s="94"/>
      <c r="U24" s="94"/>
      <c r="V24" s="94"/>
      <c r="W24" s="94"/>
    </row>
    <row r="25" spans="1:23" ht="28.05" hidden="1" customHeight="1">
      <c r="A25" s="42">
        <v>21</v>
      </c>
      <c r="B25" s="40"/>
      <c r="C25" s="44"/>
      <c r="D25" s="44"/>
      <c r="E25" s="45"/>
      <c r="F25" s="15"/>
      <c r="G25" s="15"/>
      <c r="H25" s="15"/>
      <c r="I25" s="15"/>
      <c r="J25" s="15"/>
      <c r="K25" s="15"/>
      <c r="L25" s="15"/>
      <c r="M25" s="15"/>
      <c r="N25" s="15"/>
      <c r="O25" s="138">
        <v>25</v>
      </c>
      <c r="P25" s="138" t="s">
        <v>193</v>
      </c>
      <c r="Q25" s="94" t="s">
        <v>194</v>
      </c>
      <c r="R25" s="94"/>
      <c r="S25" s="94"/>
      <c r="T25" s="94"/>
      <c r="U25" s="94"/>
      <c r="V25" s="94"/>
      <c r="W25" s="94"/>
    </row>
    <row r="26" spans="1:23" ht="28.05" hidden="1" customHeight="1">
      <c r="A26" s="42">
        <v>22</v>
      </c>
      <c r="B26" s="40"/>
      <c r="C26" s="44"/>
      <c r="D26" s="44"/>
      <c r="E26" s="45"/>
      <c r="F26" s="15"/>
      <c r="G26" s="15"/>
      <c r="H26" s="15"/>
      <c r="I26" s="15"/>
      <c r="J26" s="15"/>
      <c r="K26" s="15"/>
      <c r="L26" s="15"/>
      <c r="M26" s="15"/>
      <c r="N26" s="15"/>
      <c r="O26" s="138">
        <v>30</v>
      </c>
      <c r="P26" s="138" t="s">
        <v>195</v>
      </c>
      <c r="Q26" s="94" t="s">
        <v>196</v>
      </c>
      <c r="R26" s="94"/>
      <c r="S26" s="94"/>
      <c r="T26" s="94"/>
      <c r="U26" s="94"/>
      <c r="V26" s="94"/>
      <c r="W26" s="94"/>
    </row>
    <row r="27" spans="1:23" ht="28.05" hidden="1" customHeight="1">
      <c r="A27" s="42">
        <v>23</v>
      </c>
      <c r="B27" s="40"/>
      <c r="C27" s="44"/>
      <c r="D27" s="44"/>
      <c r="E27" s="45"/>
      <c r="F27" s="15"/>
      <c r="G27" s="15"/>
      <c r="H27" s="15"/>
      <c r="I27" s="15"/>
      <c r="J27" s="15"/>
      <c r="K27" s="15"/>
      <c r="L27" s="15"/>
      <c r="M27" s="15"/>
      <c r="N27" s="15"/>
      <c r="O27" s="138">
        <v>35</v>
      </c>
      <c r="P27" s="138" t="s">
        <v>197</v>
      </c>
      <c r="Q27" s="94" t="s">
        <v>198</v>
      </c>
      <c r="R27" s="94"/>
      <c r="S27" s="94"/>
      <c r="T27" s="94"/>
      <c r="U27" s="94"/>
      <c r="V27" s="94"/>
      <c r="W27" s="94"/>
    </row>
    <row r="28" spans="1:23" ht="28.05" hidden="1" customHeight="1">
      <c r="A28" s="42">
        <v>24</v>
      </c>
      <c r="B28" s="40"/>
      <c r="C28" s="44"/>
      <c r="D28" s="44"/>
      <c r="E28" s="45"/>
      <c r="F28" s="15"/>
      <c r="G28" s="15"/>
      <c r="H28" s="15"/>
      <c r="I28" s="15"/>
      <c r="J28" s="15"/>
      <c r="K28" s="15"/>
      <c r="L28" s="15"/>
      <c r="M28" s="15"/>
      <c r="N28" s="15"/>
      <c r="O28" s="138">
        <v>40</v>
      </c>
      <c r="P28" s="138" t="s">
        <v>199</v>
      </c>
      <c r="Q28" s="94" t="s">
        <v>200</v>
      </c>
      <c r="R28" s="94"/>
      <c r="S28" s="94"/>
      <c r="T28" s="94"/>
      <c r="U28" s="94"/>
      <c r="V28" s="94"/>
      <c r="W28" s="94"/>
    </row>
    <row r="29" spans="1:23" ht="24" hidden="1" customHeight="1">
      <c r="A29" s="42">
        <v>25</v>
      </c>
      <c r="B29" s="40"/>
      <c r="C29" s="44"/>
      <c r="D29" s="44"/>
      <c r="E29" s="45"/>
      <c r="F29" s="15"/>
      <c r="G29" s="15"/>
      <c r="H29" s="15"/>
      <c r="I29" s="15"/>
      <c r="J29" s="15"/>
      <c r="K29" s="15"/>
      <c r="L29" s="15"/>
      <c r="M29" s="15"/>
      <c r="N29" s="15"/>
      <c r="O29" s="15"/>
      <c r="P29" s="15"/>
      <c r="Q29" s="15"/>
      <c r="R29" s="15"/>
      <c r="S29" s="15"/>
      <c r="T29" s="15"/>
      <c r="U29" s="15"/>
      <c r="V29" s="15"/>
      <c r="W29" s="15"/>
    </row>
    <row r="30" spans="1:23" ht="24" hidden="1" customHeight="1">
      <c r="A30" s="42">
        <v>26</v>
      </c>
      <c r="B30" s="40"/>
      <c r="C30" s="44"/>
      <c r="D30" s="44"/>
      <c r="E30" s="45"/>
      <c r="F30" s="15"/>
      <c r="G30" s="15"/>
      <c r="H30" s="15"/>
      <c r="I30" s="15"/>
      <c r="J30" s="15"/>
      <c r="K30" s="15"/>
      <c r="L30" s="15"/>
      <c r="M30" s="15"/>
      <c r="N30" s="15"/>
      <c r="O30" s="15"/>
      <c r="P30" s="15"/>
      <c r="Q30" s="15"/>
      <c r="R30" s="15"/>
      <c r="S30" s="15"/>
      <c r="T30" s="15"/>
      <c r="U30" s="15"/>
      <c r="V30" s="15"/>
      <c r="W30" s="15"/>
    </row>
    <row r="31" spans="1:23" ht="24" hidden="1" customHeight="1">
      <c r="A31" s="42">
        <v>27</v>
      </c>
      <c r="B31" s="40"/>
      <c r="C31" s="44"/>
      <c r="D31" s="44"/>
      <c r="E31" s="45"/>
      <c r="F31" s="15"/>
      <c r="G31" s="15"/>
      <c r="H31" s="15"/>
      <c r="I31" s="15"/>
      <c r="J31" s="15"/>
      <c r="K31" s="15"/>
      <c r="L31" s="15"/>
      <c r="M31" s="15"/>
      <c r="N31" s="15"/>
      <c r="O31" s="15"/>
      <c r="P31" s="15"/>
      <c r="Q31" s="15"/>
      <c r="R31" s="15"/>
      <c r="S31" s="15"/>
      <c r="T31" s="15"/>
      <c r="U31" s="15"/>
      <c r="V31" s="15"/>
      <c r="W31" s="15"/>
    </row>
    <row r="32" spans="1:23" ht="24" hidden="1" customHeight="1">
      <c r="A32" s="42">
        <v>28</v>
      </c>
      <c r="B32" s="40"/>
      <c r="C32" s="44"/>
      <c r="D32" s="44"/>
      <c r="E32" s="45"/>
      <c r="F32" s="15"/>
      <c r="G32" s="15"/>
      <c r="H32" s="15"/>
      <c r="I32" s="15"/>
      <c r="J32" s="15"/>
      <c r="K32" s="15"/>
      <c r="L32" s="15"/>
      <c r="M32" s="15"/>
      <c r="N32" s="15"/>
      <c r="O32" s="15"/>
      <c r="P32" s="15"/>
      <c r="Q32" s="15"/>
      <c r="R32" s="15"/>
      <c r="S32" s="15"/>
      <c r="T32" s="15"/>
      <c r="U32" s="15"/>
      <c r="V32" s="15"/>
      <c r="W32" s="15"/>
    </row>
    <row r="33" spans="1:23" ht="24" hidden="1" customHeight="1">
      <c r="A33" s="42">
        <v>29</v>
      </c>
      <c r="B33" s="40"/>
      <c r="C33" s="44"/>
      <c r="D33" s="44"/>
      <c r="E33" s="45"/>
      <c r="F33" s="15"/>
      <c r="G33" s="15"/>
      <c r="H33" s="15"/>
      <c r="I33" s="15"/>
      <c r="J33" s="15"/>
      <c r="K33" s="15"/>
      <c r="L33" s="15"/>
      <c r="M33" s="15"/>
      <c r="N33" s="15"/>
      <c r="O33" s="15"/>
      <c r="P33" s="15"/>
      <c r="Q33" s="15"/>
      <c r="R33" s="15"/>
      <c r="S33" s="15"/>
      <c r="T33" s="15"/>
      <c r="U33" s="15"/>
      <c r="V33" s="15"/>
      <c r="W33" s="15"/>
    </row>
    <row r="34" spans="1:23" ht="24" hidden="1" customHeight="1">
      <c r="A34" s="42">
        <v>30</v>
      </c>
      <c r="B34" s="40"/>
      <c r="C34" s="44"/>
      <c r="D34" s="44"/>
      <c r="E34" s="45"/>
      <c r="F34" s="15"/>
      <c r="G34" s="15"/>
      <c r="H34" s="15"/>
      <c r="I34" s="15"/>
      <c r="J34" s="15"/>
      <c r="K34" s="15"/>
      <c r="L34" s="15"/>
      <c r="M34" s="15"/>
      <c r="N34" s="15"/>
      <c r="O34" s="15"/>
      <c r="P34" s="15"/>
      <c r="Q34" s="15"/>
      <c r="R34" s="15"/>
      <c r="S34" s="15"/>
      <c r="T34" s="15"/>
      <c r="U34" s="15"/>
      <c r="V34" s="15"/>
      <c r="W34" s="15"/>
    </row>
    <row r="35" spans="1:23" ht="24" hidden="1" customHeight="1">
      <c r="A35" s="42">
        <v>31</v>
      </c>
      <c r="B35" s="40"/>
      <c r="C35" s="44"/>
      <c r="D35" s="44"/>
      <c r="E35" s="45"/>
      <c r="F35" s="15"/>
      <c r="G35" s="15"/>
      <c r="H35" s="15"/>
      <c r="I35" s="15"/>
      <c r="J35" s="15"/>
      <c r="K35" s="15"/>
      <c r="L35" s="15"/>
      <c r="M35" s="15"/>
      <c r="N35" s="15"/>
      <c r="O35" s="15"/>
      <c r="P35" s="15"/>
      <c r="Q35" s="15"/>
      <c r="R35" s="15"/>
      <c r="S35" s="15"/>
      <c r="T35" s="15"/>
      <c r="U35" s="15"/>
      <c r="V35" s="15"/>
      <c r="W35" s="15"/>
    </row>
    <row r="36" spans="1:23" ht="24" hidden="1" customHeight="1">
      <c r="A36" s="42">
        <v>32</v>
      </c>
      <c r="B36" s="40"/>
      <c r="C36" s="44"/>
      <c r="D36" s="44"/>
      <c r="E36" s="45"/>
      <c r="F36" s="15"/>
      <c r="G36" s="15"/>
      <c r="H36" s="15"/>
      <c r="I36" s="15"/>
      <c r="J36" s="15"/>
      <c r="K36" s="15"/>
      <c r="L36" s="15"/>
      <c r="M36" s="15"/>
      <c r="N36" s="15"/>
      <c r="O36" s="15"/>
      <c r="P36" s="15"/>
      <c r="Q36" s="15"/>
      <c r="R36" s="15"/>
      <c r="S36" s="15"/>
      <c r="T36" s="15"/>
      <c r="U36" s="15"/>
      <c r="V36" s="15"/>
      <c r="W36" s="15"/>
    </row>
    <row r="37" spans="1:23" ht="24" hidden="1" customHeight="1">
      <c r="A37" s="42">
        <v>33</v>
      </c>
      <c r="B37" s="40"/>
      <c r="C37" s="44"/>
      <c r="D37" s="44"/>
      <c r="E37" s="45"/>
      <c r="F37" s="15"/>
      <c r="G37" s="15"/>
      <c r="H37" s="15"/>
      <c r="I37" s="15"/>
      <c r="J37" s="15"/>
      <c r="K37" s="15"/>
      <c r="L37" s="15"/>
      <c r="M37" s="15"/>
      <c r="N37" s="15"/>
      <c r="O37" s="15"/>
      <c r="P37" s="15"/>
      <c r="Q37" s="15"/>
      <c r="R37" s="15"/>
      <c r="S37" s="15"/>
      <c r="T37" s="15"/>
      <c r="U37" s="15"/>
      <c r="V37" s="15"/>
      <c r="W37" s="15"/>
    </row>
    <row r="38" spans="1:23" ht="24" hidden="1" customHeight="1">
      <c r="A38" s="42">
        <v>34</v>
      </c>
      <c r="B38" s="40"/>
      <c r="C38" s="44"/>
      <c r="D38" s="44"/>
      <c r="E38" s="45"/>
      <c r="F38" s="15"/>
      <c r="G38" s="15"/>
      <c r="H38" s="15"/>
      <c r="I38" s="15"/>
      <c r="J38" s="15"/>
      <c r="K38" s="15"/>
      <c r="L38" s="15"/>
      <c r="M38" s="15"/>
      <c r="N38" s="15"/>
      <c r="O38" s="15"/>
      <c r="P38" s="15"/>
      <c r="Q38" s="15"/>
      <c r="R38" s="15"/>
      <c r="S38" s="15"/>
      <c r="T38" s="15"/>
      <c r="U38" s="15"/>
      <c r="V38" s="15"/>
      <c r="W38" s="15"/>
    </row>
    <row r="39" spans="1:23" ht="24" hidden="1" customHeight="1">
      <c r="A39" s="42">
        <v>35</v>
      </c>
      <c r="B39" s="40"/>
      <c r="C39" s="44"/>
      <c r="D39" s="44"/>
      <c r="E39" s="45"/>
      <c r="F39" s="15"/>
      <c r="G39" s="15"/>
      <c r="H39" s="15"/>
      <c r="I39" s="15"/>
      <c r="J39" s="15"/>
      <c r="K39" s="15"/>
      <c r="L39" s="15"/>
      <c r="M39" s="15"/>
      <c r="N39" s="15"/>
      <c r="O39" s="15"/>
      <c r="P39" s="15"/>
      <c r="Q39" s="15"/>
      <c r="R39" s="15"/>
      <c r="S39" s="15"/>
      <c r="T39" s="15"/>
      <c r="U39" s="15"/>
      <c r="V39" s="15"/>
      <c r="W39" s="15"/>
    </row>
    <row r="40" spans="1:23" ht="24" hidden="1" customHeight="1">
      <c r="A40" s="42">
        <v>36</v>
      </c>
      <c r="B40" s="40"/>
      <c r="C40" s="44"/>
      <c r="D40" s="44"/>
      <c r="E40" s="45"/>
      <c r="F40" s="15"/>
      <c r="G40" s="15"/>
      <c r="H40" s="15"/>
      <c r="I40" s="15"/>
      <c r="J40" s="15"/>
      <c r="K40" s="15"/>
      <c r="L40" s="15"/>
      <c r="M40" s="15"/>
      <c r="N40" s="15"/>
      <c r="O40" s="15"/>
      <c r="P40" s="15"/>
      <c r="Q40" s="15"/>
      <c r="R40" s="15"/>
      <c r="S40" s="15"/>
      <c r="T40" s="15"/>
      <c r="U40" s="15"/>
      <c r="V40" s="15"/>
      <c r="W40" s="15"/>
    </row>
    <row r="41" spans="1:23" ht="24" hidden="1" customHeight="1">
      <c r="A41" s="42">
        <v>37</v>
      </c>
      <c r="B41" s="40"/>
      <c r="C41" s="44"/>
      <c r="D41" s="44"/>
      <c r="E41" s="45"/>
      <c r="F41" s="15"/>
      <c r="G41" s="15"/>
      <c r="H41" s="15"/>
      <c r="I41" s="15"/>
      <c r="J41" s="15"/>
      <c r="K41" s="15"/>
      <c r="L41" s="15"/>
      <c r="M41" s="15"/>
      <c r="N41" s="15"/>
      <c r="O41" s="15"/>
      <c r="P41" s="15"/>
      <c r="Q41" s="15"/>
      <c r="R41" s="15"/>
      <c r="S41" s="15"/>
      <c r="T41" s="15"/>
      <c r="U41" s="15"/>
      <c r="V41" s="15"/>
      <c r="W41" s="15"/>
    </row>
    <row r="42" spans="1:23" ht="24" hidden="1" customHeight="1">
      <c r="A42" s="42">
        <v>38</v>
      </c>
      <c r="B42" s="40"/>
      <c r="C42" s="44"/>
      <c r="D42" s="44"/>
      <c r="E42" s="45"/>
      <c r="F42" s="15"/>
      <c r="G42" s="15"/>
      <c r="H42" s="15"/>
      <c r="I42" s="15"/>
      <c r="J42" s="15"/>
      <c r="K42" s="15"/>
      <c r="L42" s="15"/>
      <c r="M42" s="15"/>
      <c r="N42" s="15"/>
      <c r="O42" s="15"/>
      <c r="P42" s="15"/>
      <c r="Q42" s="15"/>
      <c r="R42" s="15"/>
      <c r="S42" s="15"/>
      <c r="T42" s="15"/>
      <c r="U42" s="15"/>
      <c r="V42" s="15"/>
      <c r="W42" s="15"/>
    </row>
    <row r="43" spans="1:23" ht="24" hidden="1" customHeight="1">
      <c r="A43" s="42">
        <v>39</v>
      </c>
      <c r="B43" s="40"/>
      <c r="C43" s="44"/>
      <c r="D43" s="44"/>
      <c r="E43" s="45"/>
      <c r="F43" s="15"/>
      <c r="G43" s="15"/>
      <c r="H43" s="15"/>
      <c r="I43" s="15"/>
      <c r="J43" s="15"/>
      <c r="K43" s="15"/>
      <c r="L43" s="15"/>
      <c r="M43" s="15"/>
      <c r="N43" s="15"/>
      <c r="O43" s="15"/>
      <c r="P43" s="15"/>
      <c r="Q43" s="15"/>
      <c r="R43" s="15"/>
      <c r="S43" s="15"/>
      <c r="T43" s="15"/>
      <c r="U43" s="15"/>
      <c r="V43" s="15"/>
      <c r="W43" s="15"/>
    </row>
    <row r="44" spans="1:23" ht="24" hidden="1" customHeight="1">
      <c r="A44" s="42">
        <v>40</v>
      </c>
      <c r="B44" s="40"/>
      <c r="C44" s="44"/>
      <c r="D44" s="44"/>
      <c r="E44" s="45"/>
      <c r="F44" s="15"/>
      <c r="G44" s="15"/>
      <c r="H44" s="15"/>
      <c r="I44" s="15"/>
      <c r="J44" s="15"/>
      <c r="K44" s="15"/>
      <c r="L44" s="15"/>
      <c r="M44" s="15"/>
      <c r="N44" s="15"/>
      <c r="O44" s="15"/>
      <c r="P44" s="15"/>
      <c r="Q44" s="15"/>
      <c r="R44" s="15"/>
      <c r="S44" s="15"/>
      <c r="T44" s="15"/>
      <c r="U44" s="15"/>
      <c r="V44" s="15"/>
      <c r="W44" s="15"/>
    </row>
    <row r="45" spans="1:23" ht="24" hidden="1" customHeight="1">
      <c r="A45" s="42">
        <v>41</v>
      </c>
      <c r="B45" s="40"/>
      <c r="C45" s="44"/>
      <c r="D45" s="44"/>
      <c r="E45" s="45"/>
      <c r="F45" s="15"/>
      <c r="G45" s="15"/>
      <c r="H45" s="15"/>
      <c r="I45" s="15"/>
      <c r="J45" s="15"/>
      <c r="K45" s="15"/>
      <c r="L45" s="15"/>
      <c r="M45" s="15"/>
      <c r="N45" s="15"/>
      <c r="O45" s="15"/>
      <c r="P45" s="15"/>
      <c r="Q45" s="15"/>
      <c r="R45" s="15"/>
      <c r="S45" s="15"/>
      <c r="T45" s="15"/>
      <c r="U45" s="15"/>
      <c r="V45" s="15"/>
      <c r="W45" s="15"/>
    </row>
    <row r="46" spans="1:23" ht="24" hidden="1" customHeight="1">
      <c r="A46" s="42">
        <v>42</v>
      </c>
      <c r="B46" s="40"/>
      <c r="C46" s="44"/>
      <c r="D46" s="44"/>
      <c r="E46" s="45"/>
      <c r="F46" s="15"/>
      <c r="G46" s="15"/>
      <c r="H46" s="15"/>
      <c r="I46" s="15"/>
      <c r="J46" s="15"/>
      <c r="K46" s="15"/>
      <c r="L46" s="15"/>
      <c r="M46" s="15"/>
      <c r="N46" s="15"/>
      <c r="O46" s="15"/>
      <c r="P46" s="15"/>
      <c r="Q46" s="15"/>
      <c r="R46" s="15"/>
      <c r="S46" s="15"/>
      <c r="T46" s="15"/>
      <c r="U46" s="15"/>
      <c r="V46" s="15"/>
      <c r="W46" s="15"/>
    </row>
    <row r="47" spans="1:23" ht="24" hidden="1" customHeight="1">
      <c r="A47" s="42">
        <v>43</v>
      </c>
      <c r="B47" s="40"/>
      <c r="C47" s="44"/>
      <c r="D47" s="44"/>
      <c r="E47" s="45"/>
      <c r="F47" s="15"/>
      <c r="G47" s="15"/>
      <c r="H47" s="15"/>
      <c r="I47" s="15"/>
      <c r="J47" s="15"/>
      <c r="K47" s="15"/>
      <c r="L47" s="15"/>
      <c r="M47" s="15"/>
      <c r="N47" s="15"/>
      <c r="O47" s="15"/>
      <c r="P47" s="15"/>
      <c r="Q47" s="15"/>
      <c r="R47" s="15"/>
      <c r="S47" s="15"/>
      <c r="T47" s="15"/>
      <c r="U47" s="15"/>
      <c r="V47" s="15"/>
      <c r="W47" s="15"/>
    </row>
    <row r="48" spans="1:23" ht="24" hidden="1" customHeight="1">
      <c r="A48" s="42">
        <v>44</v>
      </c>
      <c r="B48" s="40"/>
      <c r="C48" s="44"/>
      <c r="D48" s="44"/>
      <c r="E48" s="45"/>
      <c r="F48" s="15"/>
      <c r="G48" s="15"/>
      <c r="H48" s="15"/>
      <c r="I48" s="15"/>
      <c r="J48" s="15"/>
      <c r="K48" s="15"/>
      <c r="L48" s="15"/>
      <c r="M48" s="15"/>
      <c r="N48" s="15"/>
      <c r="O48" s="15"/>
      <c r="P48" s="15"/>
      <c r="Q48" s="15"/>
      <c r="R48" s="15"/>
      <c r="S48" s="15"/>
      <c r="T48" s="15"/>
      <c r="U48" s="15"/>
      <c r="V48" s="15"/>
      <c r="W48" s="15"/>
    </row>
    <row r="49" spans="1:23" ht="24" hidden="1" customHeight="1">
      <c r="A49" s="42">
        <v>45</v>
      </c>
      <c r="B49" s="40"/>
      <c r="C49" s="44"/>
      <c r="D49" s="44"/>
      <c r="E49" s="45"/>
      <c r="F49" s="15"/>
      <c r="G49" s="15"/>
      <c r="H49" s="15"/>
      <c r="I49" s="15"/>
      <c r="J49" s="15"/>
      <c r="K49" s="15"/>
      <c r="L49" s="15"/>
      <c r="M49" s="15"/>
      <c r="N49" s="15"/>
      <c r="O49" s="15"/>
      <c r="P49" s="15"/>
      <c r="Q49" s="15"/>
      <c r="R49" s="15"/>
      <c r="S49" s="15"/>
      <c r="T49" s="15"/>
      <c r="U49" s="15"/>
      <c r="V49" s="15"/>
      <c r="W49" s="15"/>
    </row>
    <row r="50" spans="1:23" ht="24" hidden="1" customHeight="1">
      <c r="A50" s="42">
        <v>46</v>
      </c>
      <c r="B50" s="40"/>
      <c r="C50" s="44"/>
      <c r="D50" s="44"/>
      <c r="E50" s="45"/>
      <c r="F50" s="15"/>
      <c r="G50" s="15"/>
      <c r="H50" s="15"/>
      <c r="I50" s="15"/>
      <c r="J50" s="15"/>
      <c r="K50" s="15"/>
      <c r="L50" s="15"/>
      <c r="M50" s="15"/>
      <c r="N50" s="15"/>
      <c r="O50" s="15"/>
      <c r="P50" s="15"/>
      <c r="Q50" s="15"/>
      <c r="R50" s="15"/>
      <c r="S50" s="15"/>
      <c r="T50" s="15"/>
      <c r="U50" s="15"/>
      <c r="V50" s="15"/>
      <c r="W50" s="15"/>
    </row>
    <row r="51" spans="1:23" ht="24" hidden="1" customHeight="1">
      <c r="A51" s="42">
        <v>47</v>
      </c>
      <c r="B51" s="40"/>
      <c r="C51" s="44"/>
      <c r="D51" s="44"/>
      <c r="E51" s="45"/>
      <c r="F51" s="15"/>
      <c r="G51" s="15"/>
      <c r="H51" s="15"/>
      <c r="I51" s="15"/>
      <c r="J51" s="15"/>
      <c r="K51" s="15"/>
      <c r="L51" s="15"/>
      <c r="M51" s="15"/>
      <c r="N51" s="15"/>
      <c r="O51" s="15"/>
      <c r="P51" s="15"/>
      <c r="Q51" s="15"/>
      <c r="R51" s="15"/>
      <c r="S51" s="15"/>
      <c r="T51" s="15"/>
      <c r="U51" s="15"/>
      <c r="V51" s="15"/>
      <c r="W51" s="15"/>
    </row>
    <row r="52" spans="1:23" ht="24" hidden="1" customHeight="1">
      <c r="A52" s="42">
        <v>48</v>
      </c>
      <c r="B52" s="40"/>
      <c r="C52" s="44"/>
      <c r="D52" s="44"/>
      <c r="E52" s="45"/>
      <c r="F52" s="15"/>
      <c r="G52" s="15"/>
      <c r="H52" s="15"/>
      <c r="I52" s="15"/>
      <c r="J52" s="15"/>
      <c r="K52" s="15"/>
      <c r="L52" s="15"/>
      <c r="M52" s="15"/>
      <c r="N52" s="15"/>
      <c r="O52" s="15"/>
      <c r="P52" s="15"/>
      <c r="Q52" s="15"/>
      <c r="R52" s="15"/>
      <c r="S52" s="15"/>
      <c r="T52" s="15"/>
      <c r="U52" s="15"/>
      <c r="V52" s="15"/>
      <c r="W52" s="15"/>
    </row>
    <row r="53" spans="1:23" ht="24" hidden="1" customHeight="1">
      <c r="A53" s="42">
        <v>49</v>
      </c>
      <c r="B53" s="40"/>
      <c r="C53" s="44"/>
      <c r="D53" s="44"/>
      <c r="E53" s="45"/>
      <c r="F53" s="15"/>
      <c r="G53" s="15"/>
      <c r="H53" s="15"/>
      <c r="I53" s="15"/>
      <c r="J53" s="15"/>
      <c r="K53" s="15"/>
      <c r="L53" s="15"/>
      <c r="M53" s="15"/>
      <c r="N53" s="15"/>
      <c r="O53" s="15"/>
      <c r="P53" s="15"/>
      <c r="Q53" s="15"/>
      <c r="R53" s="15"/>
      <c r="S53" s="15"/>
      <c r="T53" s="15"/>
      <c r="U53" s="15"/>
      <c r="V53" s="15"/>
      <c r="W53" s="15"/>
    </row>
    <row r="54" spans="1:23" ht="24" hidden="1" customHeight="1">
      <c r="A54" s="42">
        <v>50</v>
      </c>
      <c r="B54" s="40"/>
      <c r="C54" s="44"/>
      <c r="D54" s="44"/>
      <c r="E54" s="45"/>
      <c r="F54" s="15"/>
      <c r="G54" s="15"/>
      <c r="H54" s="15"/>
      <c r="I54" s="15"/>
      <c r="J54" s="15"/>
      <c r="K54" s="15"/>
      <c r="L54" s="15"/>
      <c r="M54" s="15"/>
      <c r="N54" s="15"/>
      <c r="O54" s="15"/>
      <c r="P54" s="15"/>
      <c r="Q54" s="15"/>
      <c r="R54" s="15"/>
      <c r="S54" s="15"/>
      <c r="T54" s="15"/>
      <c r="U54" s="15"/>
      <c r="V54" s="15"/>
      <c r="W54" s="15"/>
    </row>
    <row r="55" spans="1:23" ht="24" hidden="1" customHeight="1">
      <c r="A55" s="42">
        <v>51</v>
      </c>
      <c r="B55" s="40"/>
      <c r="C55" s="44"/>
      <c r="D55" s="44"/>
      <c r="E55" s="45"/>
      <c r="F55" s="15"/>
      <c r="G55" s="15"/>
      <c r="H55" s="15"/>
      <c r="I55" s="15"/>
      <c r="J55" s="15"/>
      <c r="K55" s="15"/>
      <c r="L55" s="15"/>
      <c r="M55" s="15"/>
      <c r="N55" s="15"/>
      <c r="O55" s="15"/>
      <c r="P55" s="15"/>
      <c r="Q55" s="15"/>
      <c r="R55" s="15"/>
      <c r="S55" s="15"/>
      <c r="T55" s="15"/>
      <c r="U55" s="15"/>
      <c r="V55" s="15"/>
      <c r="W55" s="15"/>
    </row>
    <row r="56" spans="1:23" ht="24" hidden="1" customHeight="1">
      <c r="A56" s="42">
        <v>52</v>
      </c>
      <c r="B56" s="40"/>
      <c r="C56" s="44"/>
      <c r="D56" s="44"/>
      <c r="E56" s="45"/>
      <c r="F56" s="15"/>
      <c r="G56" s="15"/>
      <c r="H56" s="15"/>
      <c r="I56" s="15"/>
      <c r="J56" s="15"/>
      <c r="K56" s="15"/>
      <c r="L56" s="15"/>
      <c r="M56" s="15"/>
      <c r="N56" s="15"/>
      <c r="O56" s="15"/>
      <c r="P56" s="15"/>
      <c r="Q56" s="15"/>
      <c r="R56" s="15"/>
      <c r="S56" s="15"/>
      <c r="T56" s="15"/>
      <c r="U56" s="15"/>
      <c r="V56" s="15"/>
      <c r="W56" s="15"/>
    </row>
    <row r="57" spans="1:23" ht="24" hidden="1" customHeight="1">
      <c r="A57" s="42">
        <v>53</v>
      </c>
      <c r="B57" s="40"/>
      <c r="C57" s="44"/>
      <c r="D57" s="44"/>
      <c r="E57" s="45"/>
      <c r="F57" s="15"/>
      <c r="G57" s="15"/>
      <c r="H57" s="15"/>
      <c r="I57" s="15"/>
      <c r="J57" s="15"/>
      <c r="K57" s="15"/>
      <c r="L57" s="15"/>
      <c r="M57" s="15"/>
      <c r="N57" s="15"/>
      <c r="O57" s="15"/>
      <c r="P57" s="15"/>
      <c r="Q57" s="15"/>
      <c r="R57" s="15"/>
      <c r="S57" s="15"/>
      <c r="T57" s="15"/>
      <c r="U57" s="15"/>
      <c r="V57" s="15"/>
      <c r="W57" s="15"/>
    </row>
    <row r="58" spans="1:23" ht="24" hidden="1" customHeight="1">
      <c r="A58" s="42">
        <v>54</v>
      </c>
      <c r="B58" s="40"/>
      <c r="C58" s="44"/>
      <c r="D58" s="44"/>
      <c r="E58" s="45"/>
      <c r="F58" s="15"/>
      <c r="G58" s="15"/>
      <c r="H58" s="15"/>
      <c r="I58" s="15"/>
      <c r="J58" s="15"/>
      <c r="K58" s="15"/>
      <c r="L58" s="15"/>
      <c r="M58" s="15"/>
      <c r="N58" s="15"/>
      <c r="O58" s="15"/>
      <c r="P58" s="15"/>
      <c r="Q58" s="15"/>
      <c r="R58" s="15"/>
      <c r="S58" s="15"/>
      <c r="T58" s="15"/>
      <c r="U58" s="15"/>
      <c r="V58" s="15"/>
      <c r="W58" s="15"/>
    </row>
    <row r="59" spans="1:23" ht="24" hidden="1" customHeight="1">
      <c r="A59" s="42">
        <v>55</v>
      </c>
      <c r="B59" s="40"/>
      <c r="C59" s="44"/>
      <c r="D59" s="44"/>
      <c r="E59" s="45"/>
      <c r="F59" s="15"/>
      <c r="G59" s="15"/>
      <c r="H59" s="15"/>
      <c r="I59" s="15"/>
      <c r="J59" s="15"/>
      <c r="K59" s="15"/>
      <c r="L59" s="15"/>
      <c r="M59" s="15"/>
      <c r="N59" s="15"/>
      <c r="O59" s="15"/>
      <c r="P59" s="15"/>
      <c r="Q59" s="15"/>
      <c r="R59" s="15"/>
      <c r="S59" s="15"/>
      <c r="T59" s="15"/>
      <c r="U59" s="15"/>
      <c r="V59" s="15"/>
      <c r="W59" s="15"/>
    </row>
    <row r="60" spans="1:23" ht="24" hidden="1" customHeight="1">
      <c r="A60" s="42">
        <v>56</v>
      </c>
      <c r="B60" s="40"/>
      <c r="C60" s="44"/>
      <c r="D60" s="44"/>
      <c r="E60" s="45"/>
      <c r="F60" s="15"/>
      <c r="G60" s="15"/>
      <c r="H60" s="15"/>
      <c r="I60" s="15"/>
      <c r="J60" s="15"/>
      <c r="K60" s="15"/>
      <c r="L60" s="15"/>
      <c r="M60" s="15"/>
      <c r="N60" s="15"/>
      <c r="O60" s="15"/>
      <c r="P60" s="15"/>
      <c r="Q60" s="15"/>
      <c r="R60" s="15"/>
      <c r="S60" s="15"/>
      <c r="T60" s="15"/>
      <c r="U60" s="15"/>
      <c r="V60" s="15"/>
      <c r="W60" s="15"/>
    </row>
    <row r="61" spans="1:23" ht="24" hidden="1" customHeight="1">
      <c r="A61" s="42">
        <v>57</v>
      </c>
      <c r="B61" s="40"/>
      <c r="C61" s="44"/>
      <c r="D61" s="44"/>
      <c r="E61" s="45"/>
      <c r="F61" s="15"/>
      <c r="G61" s="15"/>
      <c r="H61" s="15"/>
      <c r="I61" s="15"/>
      <c r="J61" s="15"/>
      <c r="K61" s="15"/>
      <c r="L61" s="15"/>
      <c r="M61" s="15"/>
      <c r="N61" s="15"/>
      <c r="O61" s="15"/>
      <c r="P61" s="15"/>
      <c r="Q61" s="15"/>
      <c r="R61" s="15"/>
      <c r="S61" s="15"/>
      <c r="T61" s="15"/>
      <c r="U61" s="15"/>
      <c r="V61" s="15"/>
      <c r="W61" s="15"/>
    </row>
    <row r="62" spans="1:23" ht="24" hidden="1" customHeight="1">
      <c r="A62" s="42">
        <v>58</v>
      </c>
      <c r="B62" s="40"/>
      <c r="C62" s="44"/>
      <c r="D62" s="44"/>
      <c r="E62" s="45"/>
      <c r="F62" s="15"/>
      <c r="G62" s="15"/>
      <c r="H62" s="15"/>
      <c r="I62" s="15"/>
      <c r="J62" s="15"/>
      <c r="K62" s="15"/>
      <c r="L62" s="15"/>
      <c r="M62" s="15"/>
      <c r="N62" s="15"/>
      <c r="O62" s="15"/>
      <c r="P62" s="15"/>
      <c r="Q62" s="15"/>
      <c r="R62" s="15"/>
      <c r="S62" s="15"/>
      <c r="T62" s="15"/>
      <c r="U62" s="15"/>
      <c r="V62" s="15"/>
      <c r="W62" s="15"/>
    </row>
    <row r="63" spans="1:23" ht="24" hidden="1" customHeight="1">
      <c r="A63" s="42">
        <v>59</v>
      </c>
      <c r="B63" s="40"/>
      <c r="C63" s="44"/>
      <c r="D63" s="44"/>
      <c r="E63" s="45"/>
      <c r="F63" s="15"/>
      <c r="G63" s="15"/>
      <c r="H63" s="15"/>
      <c r="I63" s="15"/>
      <c r="J63" s="15"/>
      <c r="K63" s="15"/>
      <c r="L63" s="15"/>
      <c r="M63" s="15"/>
      <c r="N63" s="15"/>
      <c r="O63" s="15"/>
      <c r="P63" s="15"/>
      <c r="Q63" s="15"/>
      <c r="R63" s="15"/>
      <c r="S63" s="15"/>
      <c r="T63" s="15"/>
      <c r="U63" s="15"/>
      <c r="V63" s="15"/>
      <c r="W63" s="15"/>
    </row>
    <row r="64" spans="1:23" ht="24" hidden="1" customHeight="1">
      <c r="A64" s="42">
        <v>60</v>
      </c>
      <c r="B64" s="40"/>
      <c r="C64" s="44"/>
      <c r="D64" s="44"/>
      <c r="E64" s="45"/>
      <c r="F64" s="15"/>
      <c r="G64" s="15"/>
      <c r="H64" s="15"/>
      <c r="I64" s="15"/>
      <c r="J64" s="15"/>
      <c r="K64" s="15"/>
      <c r="L64" s="15"/>
      <c r="M64" s="15"/>
      <c r="N64" s="15"/>
      <c r="O64" s="15"/>
      <c r="P64" s="15"/>
      <c r="Q64" s="15"/>
      <c r="R64" s="15"/>
      <c r="S64" s="15"/>
      <c r="T64" s="15"/>
      <c r="U64" s="15"/>
      <c r="V64" s="15"/>
      <c r="W64" s="15"/>
    </row>
    <row r="65" spans="1:23" ht="24" hidden="1" customHeight="1">
      <c r="A65" s="42">
        <v>61</v>
      </c>
      <c r="B65" s="40"/>
      <c r="C65" s="44"/>
      <c r="D65" s="44"/>
      <c r="E65" s="45"/>
      <c r="F65" s="15"/>
      <c r="G65" s="15"/>
      <c r="H65" s="15"/>
      <c r="I65" s="15"/>
      <c r="J65" s="15"/>
      <c r="K65" s="15"/>
      <c r="L65" s="15"/>
      <c r="M65" s="15"/>
      <c r="N65" s="15"/>
      <c r="O65" s="15"/>
      <c r="P65" s="15"/>
      <c r="Q65" s="15"/>
      <c r="R65" s="15"/>
      <c r="S65" s="15"/>
      <c r="T65" s="15"/>
      <c r="U65" s="15"/>
      <c r="V65" s="15"/>
      <c r="W65" s="15"/>
    </row>
    <row r="66" spans="1:23" ht="24" hidden="1" customHeight="1">
      <c r="A66" s="42">
        <v>62</v>
      </c>
      <c r="B66" s="40"/>
      <c r="C66" s="44"/>
      <c r="D66" s="44"/>
      <c r="E66" s="45"/>
      <c r="F66" s="15"/>
      <c r="G66" s="15"/>
      <c r="H66" s="15"/>
      <c r="I66" s="15"/>
      <c r="J66" s="15"/>
      <c r="K66" s="15"/>
      <c r="L66" s="15"/>
      <c r="M66" s="15"/>
      <c r="N66" s="15"/>
      <c r="O66" s="15"/>
      <c r="P66" s="15"/>
      <c r="Q66" s="15"/>
      <c r="R66" s="15"/>
      <c r="S66" s="15"/>
      <c r="T66" s="15"/>
      <c r="U66" s="15"/>
      <c r="V66" s="15"/>
      <c r="W66" s="15"/>
    </row>
    <row r="67" spans="1:23" ht="24" hidden="1" customHeight="1">
      <c r="A67" s="42">
        <v>63</v>
      </c>
      <c r="B67" s="40"/>
      <c r="C67" s="44"/>
      <c r="D67" s="44"/>
      <c r="E67" s="45"/>
      <c r="F67" s="15"/>
      <c r="G67" s="15"/>
      <c r="H67" s="15"/>
      <c r="I67" s="15"/>
      <c r="J67" s="15"/>
      <c r="K67" s="15"/>
      <c r="L67" s="15"/>
      <c r="M67" s="15"/>
      <c r="N67" s="15"/>
      <c r="O67" s="15"/>
      <c r="P67" s="15"/>
      <c r="Q67" s="15"/>
      <c r="R67" s="15"/>
      <c r="S67" s="15"/>
      <c r="T67" s="15"/>
      <c r="U67" s="15"/>
      <c r="V67" s="15"/>
      <c r="W67" s="15"/>
    </row>
    <row r="68" spans="1:23" ht="24" hidden="1" customHeight="1">
      <c r="A68" s="42">
        <v>64</v>
      </c>
      <c r="B68" s="40"/>
      <c r="C68" s="44"/>
      <c r="D68" s="44"/>
      <c r="E68" s="45"/>
      <c r="F68" s="15"/>
      <c r="G68" s="15"/>
      <c r="H68" s="15"/>
      <c r="I68" s="15"/>
      <c r="J68" s="15"/>
      <c r="K68" s="15"/>
      <c r="L68" s="15"/>
      <c r="M68" s="15"/>
      <c r="N68" s="15"/>
      <c r="O68" s="15"/>
      <c r="P68" s="15"/>
      <c r="Q68" s="15"/>
      <c r="R68" s="15"/>
      <c r="S68" s="15"/>
      <c r="T68" s="15"/>
      <c r="U68" s="15"/>
      <c r="V68" s="15"/>
      <c r="W68" s="15"/>
    </row>
    <row r="69" spans="1:23" ht="24" hidden="1" customHeight="1">
      <c r="A69" s="42">
        <v>65</v>
      </c>
      <c r="B69" s="40"/>
      <c r="C69" s="44"/>
      <c r="D69" s="44"/>
      <c r="E69" s="45"/>
      <c r="F69" s="15"/>
      <c r="G69" s="15"/>
      <c r="H69" s="15"/>
      <c r="I69" s="15"/>
      <c r="J69" s="15"/>
      <c r="K69" s="15"/>
      <c r="L69" s="15"/>
      <c r="M69" s="15"/>
      <c r="N69" s="15"/>
      <c r="O69" s="15"/>
      <c r="P69" s="15"/>
      <c r="Q69" s="15"/>
      <c r="R69" s="15"/>
      <c r="S69" s="15"/>
      <c r="T69" s="15"/>
      <c r="U69" s="15"/>
      <c r="V69" s="15"/>
      <c r="W69" s="15"/>
    </row>
    <row r="70" spans="1:23" ht="24" hidden="1" customHeight="1">
      <c r="A70" s="42">
        <v>66</v>
      </c>
      <c r="B70" s="41"/>
      <c r="C70" s="41"/>
      <c r="D70" s="41"/>
      <c r="E70" s="41"/>
      <c r="F70" s="15"/>
      <c r="G70" s="15"/>
      <c r="H70" s="15"/>
      <c r="I70" s="15"/>
      <c r="J70" s="15"/>
      <c r="K70" s="15"/>
      <c r="L70" s="15"/>
      <c r="M70" s="15"/>
      <c r="N70" s="15"/>
      <c r="O70" s="15"/>
      <c r="P70" s="15"/>
      <c r="Q70" s="15"/>
      <c r="R70" s="15"/>
      <c r="S70" s="15"/>
      <c r="T70" s="15"/>
      <c r="U70" s="15"/>
      <c r="V70" s="15"/>
      <c r="W70" s="15"/>
    </row>
    <row r="71" spans="1:23" ht="24" hidden="1" customHeight="1">
      <c r="A71" s="42">
        <v>67</v>
      </c>
      <c r="B71" s="41"/>
      <c r="C71" s="41"/>
      <c r="D71" s="41"/>
      <c r="E71" s="41"/>
      <c r="F71" s="15"/>
      <c r="G71" s="15"/>
      <c r="H71" s="15"/>
      <c r="I71" s="15"/>
      <c r="J71" s="15"/>
      <c r="K71" s="15"/>
      <c r="L71" s="15"/>
      <c r="M71" s="15"/>
      <c r="N71" s="15"/>
      <c r="O71" s="15"/>
      <c r="P71" s="15"/>
      <c r="Q71" s="15"/>
      <c r="R71" s="15"/>
      <c r="S71" s="15"/>
      <c r="T71" s="15"/>
      <c r="U71" s="15"/>
      <c r="V71" s="15"/>
      <c r="W71" s="15"/>
    </row>
    <row r="72" spans="1:23" ht="24" hidden="1" customHeight="1">
      <c r="A72" s="42">
        <v>68</v>
      </c>
      <c r="B72" s="41"/>
      <c r="C72" s="41"/>
      <c r="D72" s="41"/>
      <c r="E72" s="41"/>
      <c r="F72" s="15"/>
      <c r="G72" s="15"/>
      <c r="H72" s="15"/>
      <c r="I72" s="15"/>
      <c r="J72" s="15"/>
      <c r="K72" s="15"/>
      <c r="L72" s="15"/>
      <c r="M72" s="15"/>
      <c r="N72" s="15"/>
      <c r="O72" s="15"/>
      <c r="P72" s="15"/>
      <c r="Q72" s="15"/>
      <c r="R72" s="15"/>
      <c r="S72" s="15"/>
      <c r="T72" s="15"/>
      <c r="U72" s="15"/>
      <c r="V72" s="15"/>
      <c r="W72" s="15"/>
    </row>
    <row r="73" spans="1:23" ht="24" hidden="1" customHeight="1">
      <c r="A73" s="42">
        <v>69</v>
      </c>
      <c r="B73" s="41"/>
      <c r="C73" s="41"/>
      <c r="D73" s="41"/>
      <c r="E73" s="41"/>
      <c r="F73" s="15"/>
      <c r="G73" s="15"/>
      <c r="H73" s="15"/>
      <c r="I73" s="15"/>
      <c r="J73" s="15"/>
      <c r="K73" s="15"/>
      <c r="L73" s="15"/>
      <c r="M73" s="15"/>
      <c r="N73" s="15"/>
      <c r="O73" s="15"/>
      <c r="P73" s="15"/>
      <c r="Q73" s="15"/>
      <c r="R73" s="15"/>
      <c r="S73" s="15"/>
      <c r="T73" s="15"/>
      <c r="U73" s="15"/>
      <c r="V73" s="15"/>
      <c r="W73" s="15"/>
    </row>
    <row r="74" spans="1:23" ht="24" hidden="1" customHeight="1">
      <c r="A74" s="42">
        <v>70</v>
      </c>
      <c r="B74" s="41"/>
      <c r="C74" s="41"/>
      <c r="D74" s="41"/>
      <c r="E74" s="41"/>
      <c r="F74" s="15"/>
      <c r="G74" s="15"/>
      <c r="H74" s="15"/>
      <c r="I74" s="15"/>
      <c r="J74" s="15"/>
      <c r="K74" s="15"/>
      <c r="L74" s="15"/>
      <c r="M74" s="15"/>
      <c r="N74" s="15"/>
      <c r="O74" s="15"/>
      <c r="P74" s="15"/>
      <c r="Q74" s="15"/>
      <c r="R74" s="15"/>
      <c r="S74" s="15"/>
      <c r="T74" s="15"/>
      <c r="U74" s="15"/>
      <c r="V74" s="15"/>
      <c r="W74" s="15"/>
    </row>
    <row r="75" spans="1:23" ht="24" hidden="1" customHeight="1">
      <c r="A75" s="42">
        <v>71</v>
      </c>
      <c r="B75" s="41"/>
      <c r="C75" s="41"/>
      <c r="D75" s="41"/>
      <c r="E75" s="41"/>
      <c r="F75" s="15"/>
      <c r="G75" s="15"/>
      <c r="H75" s="15"/>
      <c r="I75" s="15"/>
      <c r="J75" s="15"/>
      <c r="K75" s="15"/>
      <c r="L75" s="15"/>
      <c r="M75" s="15"/>
      <c r="N75" s="15"/>
      <c r="O75" s="15"/>
      <c r="P75" s="15"/>
      <c r="Q75" s="15"/>
      <c r="R75" s="15"/>
      <c r="S75" s="15"/>
      <c r="T75" s="15"/>
      <c r="U75" s="15"/>
      <c r="V75" s="15"/>
      <c r="W75" s="15"/>
    </row>
    <row r="76" spans="1:23" ht="24" hidden="1" customHeight="1">
      <c r="A76" s="42">
        <v>72</v>
      </c>
      <c r="B76" s="41"/>
      <c r="C76" s="41"/>
      <c r="D76" s="41"/>
      <c r="E76" s="41"/>
      <c r="F76" s="15"/>
      <c r="G76" s="15"/>
      <c r="H76" s="15"/>
      <c r="I76" s="15"/>
      <c r="J76" s="15"/>
      <c r="K76" s="15"/>
      <c r="L76" s="15"/>
      <c r="M76" s="15"/>
      <c r="N76" s="15"/>
      <c r="O76" s="15"/>
      <c r="P76" s="15"/>
      <c r="Q76" s="15"/>
      <c r="R76" s="15"/>
      <c r="S76" s="15"/>
      <c r="T76" s="15"/>
      <c r="U76" s="15"/>
      <c r="V76" s="15"/>
      <c r="W76" s="15"/>
    </row>
    <row r="77" spans="1:23" ht="24" hidden="1" customHeight="1">
      <c r="A77" s="42">
        <v>73</v>
      </c>
      <c r="B77" s="41"/>
      <c r="C77" s="41"/>
      <c r="D77" s="41"/>
      <c r="E77" s="41"/>
      <c r="F77" s="15"/>
      <c r="G77" s="15"/>
      <c r="H77" s="15"/>
      <c r="I77" s="15"/>
      <c r="J77" s="15"/>
      <c r="K77" s="15"/>
      <c r="L77" s="15"/>
      <c r="M77" s="15"/>
      <c r="N77" s="15"/>
      <c r="O77" s="15"/>
      <c r="P77" s="15"/>
      <c r="Q77" s="15"/>
      <c r="R77" s="15"/>
      <c r="S77" s="15"/>
      <c r="T77" s="15"/>
      <c r="U77" s="15"/>
      <c r="V77" s="15"/>
      <c r="W77" s="15"/>
    </row>
    <row r="78" spans="1:23" ht="24" hidden="1" customHeight="1">
      <c r="A78" s="42">
        <v>74</v>
      </c>
      <c r="B78" s="41"/>
      <c r="C78" s="41"/>
      <c r="D78" s="41"/>
      <c r="E78" s="41"/>
      <c r="F78" s="15"/>
      <c r="G78" s="15"/>
      <c r="H78" s="15"/>
      <c r="I78" s="15"/>
      <c r="J78" s="15"/>
      <c r="K78" s="15"/>
      <c r="L78" s="15"/>
      <c r="M78" s="15"/>
      <c r="N78" s="15"/>
      <c r="O78" s="15"/>
      <c r="P78" s="15"/>
      <c r="Q78" s="15"/>
      <c r="R78" s="15"/>
      <c r="S78" s="15"/>
      <c r="T78" s="15"/>
      <c r="U78" s="15"/>
      <c r="V78" s="15"/>
      <c r="W78" s="15"/>
    </row>
    <row r="79" spans="1:23" ht="24" hidden="1" customHeight="1">
      <c r="A79" s="42">
        <v>75</v>
      </c>
      <c r="B79" s="41"/>
      <c r="C79" s="41"/>
      <c r="D79" s="41"/>
      <c r="E79" s="41"/>
      <c r="F79" s="15"/>
      <c r="G79" s="15"/>
      <c r="H79" s="15"/>
      <c r="I79" s="15"/>
      <c r="J79" s="15"/>
      <c r="K79" s="15"/>
      <c r="L79" s="15"/>
      <c r="M79" s="15"/>
      <c r="N79" s="15"/>
      <c r="O79" s="15"/>
      <c r="P79" s="15"/>
      <c r="Q79" s="15"/>
      <c r="R79" s="15"/>
      <c r="S79" s="15"/>
      <c r="T79" s="15"/>
      <c r="U79" s="15"/>
      <c r="V79" s="15"/>
      <c r="W79" s="15"/>
    </row>
    <row r="80" spans="1:23" ht="24" hidden="1" customHeight="1">
      <c r="A80" s="42">
        <v>76</v>
      </c>
      <c r="B80" s="41"/>
      <c r="C80" s="41"/>
      <c r="D80" s="41"/>
      <c r="E80" s="41"/>
      <c r="F80" s="15"/>
      <c r="G80" s="15"/>
      <c r="H80" s="15"/>
      <c r="I80" s="15"/>
      <c r="J80" s="15"/>
      <c r="K80" s="15"/>
      <c r="L80" s="15"/>
      <c r="M80" s="15"/>
      <c r="N80" s="15"/>
      <c r="O80" s="15"/>
      <c r="P80" s="15"/>
      <c r="Q80" s="15"/>
      <c r="R80" s="15"/>
      <c r="S80" s="15"/>
      <c r="T80" s="15"/>
      <c r="U80" s="15"/>
      <c r="V80" s="15"/>
      <c r="W80" s="15"/>
    </row>
    <row r="81" spans="1:23" ht="24" hidden="1" customHeight="1">
      <c r="A81" s="42">
        <v>77</v>
      </c>
      <c r="B81" s="41"/>
      <c r="C81" s="41"/>
      <c r="D81" s="41"/>
      <c r="E81" s="41"/>
      <c r="F81" s="15"/>
      <c r="G81" s="15"/>
      <c r="H81" s="15"/>
      <c r="I81" s="15"/>
      <c r="J81" s="15"/>
      <c r="K81" s="15"/>
      <c r="L81" s="15"/>
      <c r="M81" s="15"/>
      <c r="N81" s="15"/>
      <c r="O81" s="15"/>
      <c r="P81" s="15"/>
      <c r="Q81" s="15"/>
      <c r="R81" s="15"/>
      <c r="S81" s="15"/>
      <c r="T81" s="15"/>
      <c r="U81" s="15"/>
      <c r="V81" s="15"/>
      <c r="W81" s="15"/>
    </row>
    <row r="82" spans="1:23" ht="24" hidden="1" customHeight="1">
      <c r="A82" s="42">
        <v>78</v>
      </c>
      <c r="B82" s="41"/>
      <c r="C82" s="41"/>
      <c r="D82" s="41"/>
      <c r="E82" s="41"/>
      <c r="F82" s="15"/>
      <c r="G82" s="15"/>
      <c r="H82" s="15"/>
      <c r="I82" s="15"/>
      <c r="J82" s="15"/>
      <c r="K82" s="15"/>
      <c r="L82" s="15"/>
      <c r="M82" s="15"/>
      <c r="N82" s="15"/>
      <c r="O82" s="15"/>
      <c r="P82" s="15"/>
      <c r="Q82" s="15"/>
      <c r="R82" s="15"/>
      <c r="S82" s="15"/>
      <c r="T82" s="15"/>
      <c r="U82" s="15"/>
      <c r="V82" s="15"/>
      <c r="W82" s="15"/>
    </row>
    <row r="83" spans="1:23" ht="24" hidden="1" customHeight="1">
      <c r="A83" s="42">
        <v>79</v>
      </c>
      <c r="B83" s="41"/>
      <c r="C83" s="41"/>
      <c r="D83" s="41"/>
      <c r="E83" s="41"/>
      <c r="F83" s="15"/>
      <c r="G83" s="15"/>
      <c r="H83" s="15"/>
      <c r="I83" s="15"/>
      <c r="J83" s="15"/>
      <c r="K83" s="15"/>
      <c r="L83" s="15"/>
      <c r="M83" s="15"/>
      <c r="N83" s="15"/>
      <c r="O83" s="15"/>
      <c r="P83" s="15"/>
      <c r="Q83" s="15"/>
      <c r="R83" s="15"/>
      <c r="S83" s="15"/>
      <c r="T83" s="15"/>
      <c r="U83" s="15"/>
      <c r="V83" s="15"/>
      <c r="W83" s="15"/>
    </row>
    <row r="84" spans="1:23" ht="24" hidden="1" customHeight="1">
      <c r="A84" s="42">
        <v>80</v>
      </c>
      <c r="B84" s="41"/>
      <c r="C84" s="41"/>
      <c r="D84" s="41"/>
      <c r="E84" s="41"/>
      <c r="F84" s="15"/>
      <c r="G84" s="15"/>
      <c r="H84" s="15"/>
      <c r="I84" s="15"/>
      <c r="J84" s="15"/>
      <c r="K84" s="15"/>
      <c r="L84" s="15"/>
      <c r="M84" s="15"/>
      <c r="N84" s="15"/>
      <c r="O84" s="15"/>
      <c r="P84" s="15"/>
      <c r="Q84" s="15"/>
      <c r="R84" s="15"/>
      <c r="S84" s="15"/>
      <c r="T84" s="15"/>
      <c r="U84" s="15"/>
      <c r="V84" s="15"/>
      <c r="W84" s="15"/>
    </row>
    <row r="85" spans="1:23" ht="24" hidden="1" customHeight="1">
      <c r="A85" s="42">
        <v>81</v>
      </c>
      <c r="B85" s="41"/>
      <c r="C85" s="41"/>
      <c r="D85" s="41"/>
      <c r="E85" s="41"/>
      <c r="F85" s="15"/>
      <c r="G85" s="15"/>
      <c r="H85" s="15"/>
      <c r="I85" s="15"/>
      <c r="J85" s="15"/>
      <c r="K85" s="15"/>
      <c r="L85" s="15"/>
      <c r="M85" s="15"/>
      <c r="N85" s="15"/>
      <c r="O85" s="15"/>
      <c r="P85" s="15"/>
      <c r="Q85" s="15"/>
      <c r="R85" s="15"/>
      <c r="S85" s="15"/>
      <c r="T85" s="15"/>
      <c r="U85" s="15"/>
      <c r="V85" s="15"/>
      <c r="W85" s="15"/>
    </row>
    <row r="86" spans="1:23" ht="24" hidden="1" customHeight="1">
      <c r="A86" s="42">
        <v>82</v>
      </c>
      <c r="B86" s="41"/>
      <c r="C86" s="41"/>
      <c r="D86" s="41"/>
      <c r="E86" s="41"/>
      <c r="F86" s="15"/>
      <c r="G86" s="15"/>
      <c r="H86" s="15"/>
      <c r="I86" s="15"/>
      <c r="J86" s="15"/>
      <c r="K86" s="15"/>
      <c r="L86" s="15"/>
      <c r="M86" s="15"/>
      <c r="N86" s="15"/>
      <c r="O86" s="15"/>
      <c r="P86" s="15"/>
      <c r="Q86" s="15"/>
      <c r="R86" s="15"/>
      <c r="S86" s="15"/>
      <c r="T86" s="15"/>
      <c r="U86" s="15"/>
      <c r="V86" s="15"/>
      <c r="W86" s="15"/>
    </row>
    <row r="87" spans="1:23" ht="24" hidden="1" customHeight="1">
      <c r="A87" s="42">
        <v>83</v>
      </c>
      <c r="B87" s="41"/>
      <c r="C87" s="41"/>
      <c r="D87" s="41"/>
      <c r="E87" s="41"/>
      <c r="F87" s="15"/>
      <c r="G87" s="15"/>
      <c r="H87" s="15"/>
      <c r="I87" s="15"/>
      <c r="J87" s="15"/>
      <c r="K87" s="15"/>
      <c r="L87" s="15"/>
      <c r="M87" s="15"/>
      <c r="N87" s="15"/>
      <c r="O87" s="15"/>
      <c r="P87" s="15"/>
      <c r="Q87" s="15"/>
      <c r="R87" s="15"/>
      <c r="S87" s="15"/>
      <c r="T87" s="15"/>
      <c r="U87" s="15"/>
      <c r="V87" s="15"/>
      <c r="W87" s="15"/>
    </row>
    <row r="88" spans="1:23" ht="24" hidden="1" customHeight="1">
      <c r="A88" s="42">
        <v>84</v>
      </c>
      <c r="B88" s="41"/>
      <c r="C88" s="41"/>
      <c r="D88" s="41"/>
      <c r="E88" s="41"/>
      <c r="F88" s="15"/>
      <c r="G88" s="15"/>
      <c r="H88" s="15"/>
      <c r="I88" s="15"/>
      <c r="J88" s="15"/>
      <c r="K88" s="15"/>
      <c r="L88" s="15"/>
      <c r="M88" s="15"/>
      <c r="N88" s="15"/>
      <c r="O88" s="15"/>
      <c r="P88" s="15"/>
      <c r="Q88" s="15"/>
      <c r="R88" s="15"/>
      <c r="S88" s="15"/>
      <c r="T88" s="15"/>
      <c r="U88" s="15"/>
      <c r="V88" s="15"/>
      <c r="W88" s="15"/>
    </row>
    <row r="89" spans="1:23" ht="24" hidden="1" customHeight="1">
      <c r="A89" s="42">
        <v>85</v>
      </c>
      <c r="B89" s="41"/>
      <c r="C89" s="41"/>
      <c r="D89" s="41"/>
      <c r="E89" s="41"/>
      <c r="F89" s="15"/>
      <c r="G89" s="15"/>
      <c r="H89" s="15"/>
      <c r="I89" s="15"/>
      <c r="J89" s="15"/>
      <c r="K89" s="15"/>
      <c r="L89" s="15"/>
      <c r="M89" s="15"/>
      <c r="N89" s="15"/>
      <c r="O89" s="15"/>
      <c r="P89" s="15"/>
      <c r="Q89" s="15"/>
      <c r="R89" s="15"/>
      <c r="S89" s="15"/>
      <c r="T89" s="15"/>
      <c r="U89" s="15"/>
      <c r="V89" s="15"/>
      <c r="W89" s="15"/>
    </row>
    <row r="90" spans="1:23" ht="24" hidden="1" customHeight="1">
      <c r="A90" s="42">
        <v>86</v>
      </c>
      <c r="B90" s="41"/>
      <c r="C90" s="41"/>
      <c r="D90" s="41"/>
      <c r="E90" s="41"/>
      <c r="F90" s="15"/>
      <c r="G90" s="15"/>
      <c r="H90" s="15"/>
      <c r="I90" s="15"/>
      <c r="J90" s="15"/>
      <c r="K90" s="15"/>
      <c r="L90" s="15"/>
      <c r="M90" s="15"/>
      <c r="N90" s="15"/>
      <c r="O90" s="15"/>
      <c r="P90" s="15"/>
      <c r="Q90" s="15"/>
      <c r="R90" s="15"/>
      <c r="S90" s="15"/>
      <c r="T90" s="15"/>
      <c r="U90" s="15"/>
      <c r="V90" s="15"/>
      <c r="W90" s="15"/>
    </row>
    <row r="91" spans="1:23" ht="24" hidden="1" customHeight="1">
      <c r="A91" s="42">
        <v>87</v>
      </c>
      <c r="B91" s="41"/>
      <c r="C91" s="41"/>
      <c r="D91" s="41"/>
      <c r="E91" s="41"/>
      <c r="F91" s="15"/>
      <c r="G91" s="15"/>
      <c r="H91" s="15"/>
      <c r="I91" s="15"/>
      <c r="J91" s="15"/>
      <c r="K91" s="15"/>
      <c r="L91" s="15"/>
      <c r="M91" s="15"/>
      <c r="N91" s="15"/>
      <c r="O91" s="15"/>
      <c r="P91" s="15"/>
      <c r="Q91" s="15"/>
      <c r="R91" s="15"/>
      <c r="S91" s="15"/>
      <c r="T91" s="15"/>
      <c r="U91" s="15"/>
      <c r="V91" s="15"/>
      <c r="W91" s="15"/>
    </row>
    <row r="92" spans="1:23" ht="24" hidden="1" customHeight="1">
      <c r="A92" s="42">
        <v>88</v>
      </c>
      <c r="B92" s="41"/>
      <c r="C92" s="41"/>
      <c r="D92" s="41"/>
      <c r="E92" s="41"/>
      <c r="F92" s="15"/>
      <c r="G92" s="15"/>
      <c r="H92" s="15"/>
      <c r="I92" s="15"/>
      <c r="J92" s="15"/>
      <c r="K92" s="15"/>
      <c r="L92" s="15"/>
      <c r="M92" s="15"/>
      <c r="N92" s="15"/>
      <c r="O92" s="15"/>
      <c r="P92" s="15"/>
      <c r="Q92" s="15"/>
      <c r="R92" s="15"/>
      <c r="S92" s="15"/>
      <c r="T92" s="15"/>
      <c r="U92" s="15"/>
      <c r="V92" s="15"/>
      <c r="W92" s="15"/>
    </row>
    <row r="93" spans="1:23" ht="24" hidden="1" customHeight="1">
      <c r="A93" s="42">
        <v>89</v>
      </c>
      <c r="B93" s="41"/>
      <c r="C93" s="41"/>
      <c r="D93" s="41"/>
      <c r="E93" s="41"/>
      <c r="F93" s="15"/>
      <c r="G93" s="15"/>
      <c r="H93" s="15"/>
      <c r="I93" s="15"/>
      <c r="J93" s="15"/>
      <c r="K93" s="15"/>
      <c r="L93" s="15"/>
      <c r="M93" s="15"/>
      <c r="N93" s="15"/>
      <c r="O93" s="15"/>
      <c r="P93" s="15"/>
      <c r="Q93" s="15"/>
      <c r="R93" s="15"/>
      <c r="S93" s="15"/>
      <c r="T93" s="15"/>
      <c r="U93" s="15"/>
      <c r="V93" s="15"/>
      <c r="W93" s="15"/>
    </row>
    <row r="94" spans="1:23" ht="24" hidden="1" customHeight="1">
      <c r="A94" s="42">
        <v>90</v>
      </c>
      <c r="B94" s="41"/>
      <c r="C94" s="41"/>
      <c r="D94" s="41"/>
      <c r="E94" s="41"/>
      <c r="F94" s="15"/>
      <c r="G94" s="15"/>
      <c r="H94" s="15"/>
      <c r="I94" s="15"/>
      <c r="J94" s="15"/>
      <c r="K94" s="15"/>
      <c r="L94" s="15"/>
      <c r="M94" s="15"/>
      <c r="N94" s="15"/>
      <c r="O94" s="15"/>
      <c r="P94" s="15"/>
      <c r="Q94" s="15"/>
      <c r="R94" s="15"/>
      <c r="S94" s="15"/>
      <c r="T94" s="15"/>
      <c r="U94" s="15"/>
      <c r="V94" s="15"/>
      <c r="W94" s="15"/>
    </row>
    <row r="95" spans="1:23" ht="24" hidden="1" customHeight="1">
      <c r="A95" s="42">
        <v>91</v>
      </c>
      <c r="B95" s="41"/>
      <c r="C95" s="41"/>
      <c r="D95" s="41"/>
      <c r="E95" s="41"/>
      <c r="F95" s="15"/>
      <c r="G95" s="15"/>
      <c r="H95" s="15"/>
      <c r="I95" s="15"/>
      <c r="J95" s="15"/>
      <c r="K95" s="15"/>
      <c r="L95" s="15"/>
      <c r="M95" s="15"/>
      <c r="N95" s="15"/>
      <c r="O95" s="15"/>
      <c r="P95" s="15"/>
      <c r="Q95" s="15"/>
      <c r="R95" s="15"/>
      <c r="S95" s="15"/>
      <c r="T95" s="15"/>
      <c r="U95" s="15"/>
      <c r="V95" s="15"/>
      <c r="W95" s="15"/>
    </row>
    <row r="96" spans="1:23" ht="24" hidden="1" customHeight="1">
      <c r="A96" s="42">
        <v>92</v>
      </c>
      <c r="B96" s="41"/>
      <c r="C96" s="41"/>
      <c r="D96" s="41"/>
      <c r="E96" s="41"/>
      <c r="F96" s="15"/>
      <c r="G96" s="15"/>
      <c r="H96" s="15"/>
      <c r="I96" s="15"/>
      <c r="J96" s="15"/>
      <c r="K96" s="15"/>
      <c r="L96" s="15"/>
      <c r="M96" s="15"/>
      <c r="N96" s="15"/>
      <c r="O96" s="15"/>
      <c r="P96" s="15"/>
      <c r="Q96" s="15"/>
      <c r="R96" s="15"/>
      <c r="S96" s="15"/>
      <c r="T96" s="15"/>
      <c r="U96" s="15"/>
      <c r="V96" s="15"/>
      <c r="W96" s="15"/>
    </row>
    <row r="97" spans="1:23" ht="24" hidden="1" customHeight="1">
      <c r="A97" s="42">
        <v>93</v>
      </c>
      <c r="B97" s="41"/>
      <c r="C97" s="41"/>
      <c r="D97" s="41"/>
      <c r="E97" s="41"/>
      <c r="F97" s="15"/>
      <c r="G97" s="15"/>
      <c r="H97" s="15"/>
      <c r="I97" s="15"/>
      <c r="J97" s="15"/>
      <c r="K97" s="15"/>
      <c r="L97" s="15"/>
      <c r="M97" s="15"/>
      <c r="N97" s="15"/>
      <c r="O97" s="15"/>
      <c r="P97" s="15"/>
      <c r="Q97" s="15"/>
      <c r="R97" s="15"/>
      <c r="S97" s="15"/>
      <c r="T97" s="15"/>
      <c r="U97" s="15"/>
      <c r="V97" s="15"/>
      <c r="W97" s="15"/>
    </row>
    <row r="98" spans="1:23" ht="24" hidden="1" customHeight="1">
      <c r="A98" s="42">
        <v>94</v>
      </c>
      <c r="B98" s="41"/>
      <c r="C98" s="41"/>
      <c r="D98" s="41"/>
      <c r="E98" s="41"/>
      <c r="F98" s="15"/>
      <c r="G98" s="15"/>
      <c r="H98" s="15"/>
      <c r="I98" s="15"/>
      <c r="J98" s="15"/>
      <c r="K98" s="15"/>
      <c r="L98" s="15"/>
      <c r="M98" s="15"/>
      <c r="N98" s="15"/>
      <c r="O98" s="15"/>
      <c r="P98" s="15"/>
      <c r="Q98" s="15"/>
      <c r="R98" s="15"/>
      <c r="S98" s="15"/>
      <c r="T98" s="15"/>
      <c r="U98" s="15"/>
      <c r="V98" s="15"/>
      <c r="W98" s="15"/>
    </row>
    <row r="99" spans="1:23" ht="24" hidden="1" customHeight="1">
      <c r="A99" s="42">
        <v>95</v>
      </c>
      <c r="B99" s="41"/>
      <c r="C99" s="41"/>
      <c r="D99" s="41"/>
      <c r="E99" s="41"/>
      <c r="F99" s="15"/>
      <c r="G99" s="15"/>
      <c r="H99" s="15"/>
      <c r="I99" s="15"/>
      <c r="J99" s="15"/>
      <c r="K99" s="15"/>
      <c r="L99" s="15"/>
      <c r="M99" s="15"/>
      <c r="N99" s="15"/>
      <c r="O99" s="15"/>
      <c r="P99" s="15"/>
      <c r="Q99" s="15"/>
      <c r="R99" s="15"/>
      <c r="S99" s="15"/>
      <c r="T99" s="15"/>
      <c r="U99" s="15"/>
      <c r="V99" s="15"/>
      <c r="W99" s="15"/>
    </row>
    <row r="100" spans="1:23" ht="24" hidden="1" customHeight="1">
      <c r="A100" s="42">
        <v>96</v>
      </c>
      <c r="B100" s="41"/>
      <c r="C100" s="41"/>
      <c r="D100" s="41"/>
      <c r="E100" s="41"/>
      <c r="F100" s="15"/>
      <c r="G100" s="15"/>
      <c r="H100" s="15"/>
      <c r="I100" s="15"/>
      <c r="J100" s="15"/>
      <c r="K100" s="15"/>
      <c r="L100" s="15"/>
      <c r="M100" s="15"/>
      <c r="N100" s="15"/>
      <c r="O100" s="15"/>
      <c r="P100" s="15"/>
      <c r="Q100" s="15"/>
      <c r="R100" s="15"/>
      <c r="S100" s="15"/>
      <c r="T100" s="15"/>
      <c r="U100" s="15"/>
      <c r="V100" s="15"/>
      <c r="W100" s="15"/>
    </row>
    <row r="101" spans="1:23" ht="24" hidden="1" customHeight="1">
      <c r="A101" s="42">
        <v>97</v>
      </c>
      <c r="B101" s="41"/>
      <c r="C101" s="41"/>
      <c r="D101" s="41"/>
      <c r="E101" s="41"/>
      <c r="F101" s="15"/>
      <c r="G101" s="15"/>
      <c r="H101" s="15"/>
      <c r="I101" s="15"/>
      <c r="J101" s="15"/>
      <c r="K101" s="15"/>
      <c r="L101" s="15"/>
      <c r="M101" s="15"/>
      <c r="N101" s="15"/>
      <c r="O101" s="15"/>
      <c r="P101" s="15"/>
      <c r="Q101" s="15"/>
      <c r="R101" s="15"/>
      <c r="S101" s="15"/>
      <c r="T101" s="15"/>
      <c r="U101" s="15"/>
      <c r="V101" s="15"/>
      <c r="W101" s="15"/>
    </row>
    <row r="102" spans="1:23" ht="24" hidden="1" customHeight="1">
      <c r="A102" s="42">
        <v>98</v>
      </c>
      <c r="B102" s="41"/>
      <c r="C102" s="41"/>
      <c r="D102" s="41"/>
      <c r="E102" s="41"/>
      <c r="F102" s="15"/>
      <c r="G102" s="15"/>
      <c r="H102" s="15"/>
      <c r="I102" s="15"/>
      <c r="J102" s="15"/>
      <c r="K102" s="15"/>
      <c r="L102" s="15"/>
      <c r="M102" s="15"/>
      <c r="N102" s="15"/>
      <c r="O102" s="15"/>
      <c r="P102" s="15"/>
      <c r="Q102" s="15"/>
      <c r="R102" s="15"/>
      <c r="S102" s="15"/>
      <c r="T102" s="15"/>
      <c r="U102" s="15"/>
      <c r="V102" s="15"/>
      <c r="W102" s="15"/>
    </row>
    <row r="103" spans="1:23" ht="24" hidden="1" customHeight="1">
      <c r="A103" s="42">
        <v>99</v>
      </c>
      <c r="B103" s="41"/>
      <c r="C103" s="41"/>
      <c r="D103" s="41"/>
      <c r="E103" s="41"/>
      <c r="F103" s="15"/>
      <c r="G103" s="15"/>
      <c r="H103" s="15"/>
      <c r="I103" s="15"/>
      <c r="J103" s="15"/>
      <c r="K103" s="15"/>
      <c r="L103" s="15"/>
      <c r="M103" s="15"/>
      <c r="N103" s="15"/>
      <c r="O103" s="15"/>
      <c r="P103" s="15"/>
      <c r="Q103" s="15"/>
      <c r="R103" s="15"/>
      <c r="S103" s="15"/>
      <c r="T103" s="15"/>
      <c r="U103" s="15"/>
      <c r="V103" s="15"/>
      <c r="W103" s="15"/>
    </row>
    <row r="104" spans="1:23" ht="24" hidden="1" customHeight="1">
      <c r="A104" s="42">
        <v>100</v>
      </c>
      <c r="B104" s="41"/>
      <c r="C104" s="41"/>
      <c r="D104" s="41"/>
      <c r="E104" s="41"/>
      <c r="F104" s="15"/>
      <c r="G104" s="15"/>
      <c r="H104" s="15"/>
      <c r="I104" s="15"/>
      <c r="J104" s="15"/>
      <c r="K104" s="15"/>
      <c r="L104" s="15"/>
      <c r="M104" s="15"/>
      <c r="N104" s="15"/>
      <c r="O104" s="15"/>
      <c r="P104" s="15"/>
      <c r="Q104" s="15"/>
      <c r="R104" s="15"/>
      <c r="S104" s="15"/>
      <c r="T104" s="15"/>
      <c r="U104" s="15"/>
      <c r="V104" s="15"/>
      <c r="W104" s="15"/>
    </row>
    <row r="105" spans="1:23" ht="24" hidden="1" customHeight="1">
      <c r="A105" s="42">
        <v>101</v>
      </c>
      <c r="B105" s="41"/>
      <c r="C105" s="41"/>
      <c r="D105" s="41"/>
      <c r="E105" s="41"/>
      <c r="F105" s="15"/>
      <c r="G105" s="15"/>
      <c r="H105" s="15"/>
      <c r="I105" s="15"/>
      <c r="J105" s="15"/>
      <c r="K105" s="15"/>
      <c r="L105" s="15"/>
      <c r="M105" s="15"/>
      <c r="N105" s="15"/>
      <c r="O105" s="15"/>
      <c r="P105" s="15"/>
      <c r="Q105" s="15"/>
      <c r="R105" s="15"/>
      <c r="S105" s="15"/>
      <c r="T105" s="15"/>
      <c r="U105" s="15"/>
      <c r="V105" s="15"/>
      <c r="W105" s="15"/>
    </row>
    <row r="106" spans="1:23" ht="24" hidden="1" customHeight="1">
      <c r="A106" s="42">
        <v>102</v>
      </c>
      <c r="B106" s="41"/>
      <c r="C106" s="41"/>
      <c r="D106" s="41"/>
      <c r="E106" s="41"/>
      <c r="F106" s="15"/>
      <c r="G106" s="15"/>
      <c r="H106" s="15"/>
      <c r="I106" s="15"/>
      <c r="J106" s="15"/>
      <c r="K106" s="15"/>
      <c r="L106" s="15"/>
      <c r="M106" s="15"/>
      <c r="N106" s="15"/>
      <c r="O106" s="15"/>
      <c r="P106" s="15"/>
      <c r="Q106" s="15"/>
      <c r="R106" s="15"/>
      <c r="S106" s="15"/>
      <c r="T106" s="15"/>
      <c r="U106" s="15"/>
      <c r="V106" s="15"/>
      <c r="W106" s="15"/>
    </row>
    <row r="107" spans="1:23" ht="24" hidden="1" customHeight="1">
      <c r="A107" s="42">
        <v>103</v>
      </c>
      <c r="B107" s="41"/>
      <c r="C107" s="41"/>
      <c r="D107" s="41"/>
      <c r="E107" s="41"/>
      <c r="F107" s="15"/>
      <c r="G107" s="15"/>
      <c r="H107" s="15"/>
      <c r="I107" s="15"/>
      <c r="J107" s="15"/>
      <c r="K107" s="15"/>
      <c r="L107" s="15"/>
      <c r="M107" s="15"/>
      <c r="N107" s="15"/>
      <c r="O107" s="15"/>
      <c r="P107" s="15"/>
      <c r="Q107" s="15"/>
      <c r="R107" s="15"/>
      <c r="S107" s="15"/>
      <c r="T107" s="15"/>
      <c r="U107" s="15"/>
      <c r="V107" s="15"/>
      <c r="W107" s="15"/>
    </row>
    <row r="108" spans="1:23" ht="24" hidden="1" customHeight="1">
      <c r="A108" s="42">
        <v>104</v>
      </c>
      <c r="B108" s="41"/>
      <c r="C108" s="41"/>
      <c r="D108" s="41"/>
      <c r="E108" s="41"/>
      <c r="F108" s="15"/>
      <c r="G108" s="15"/>
      <c r="H108" s="15"/>
      <c r="I108" s="15"/>
      <c r="J108" s="15"/>
      <c r="K108" s="15"/>
      <c r="L108" s="15"/>
      <c r="M108" s="15"/>
      <c r="N108" s="15"/>
      <c r="O108" s="15"/>
      <c r="P108" s="15"/>
      <c r="Q108" s="15"/>
      <c r="R108" s="15"/>
      <c r="S108" s="15"/>
      <c r="T108" s="15"/>
      <c r="U108" s="15"/>
      <c r="V108" s="15"/>
      <c r="W108" s="15"/>
    </row>
    <row r="109" spans="1:23" ht="24" hidden="1" customHeight="1">
      <c r="A109" s="42">
        <v>105</v>
      </c>
      <c r="B109" s="41"/>
      <c r="C109" s="41"/>
      <c r="D109" s="41"/>
      <c r="E109" s="41"/>
      <c r="F109" s="15"/>
      <c r="G109" s="15"/>
      <c r="H109" s="15"/>
      <c r="I109" s="15"/>
      <c r="J109" s="15"/>
      <c r="K109" s="15"/>
      <c r="L109" s="15"/>
      <c r="M109" s="15"/>
      <c r="N109" s="15"/>
      <c r="O109" s="15"/>
      <c r="P109" s="15"/>
      <c r="Q109" s="15"/>
      <c r="R109" s="15"/>
      <c r="S109" s="15"/>
      <c r="T109" s="15"/>
      <c r="U109" s="15"/>
      <c r="V109" s="15"/>
      <c r="W109" s="15"/>
    </row>
    <row r="110" spans="1:23" ht="24" hidden="1" customHeight="1">
      <c r="A110" s="42">
        <v>106</v>
      </c>
      <c r="B110" s="41"/>
      <c r="C110" s="41"/>
      <c r="D110" s="41"/>
      <c r="E110" s="41"/>
      <c r="F110" s="15"/>
      <c r="G110" s="15"/>
      <c r="H110" s="15"/>
      <c r="I110" s="15"/>
      <c r="J110" s="15"/>
      <c r="K110" s="15"/>
      <c r="L110" s="15"/>
      <c r="M110" s="15"/>
      <c r="N110" s="15"/>
      <c r="O110" s="15"/>
      <c r="P110" s="15"/>
      <c r="Q110" s="15"/>
      <c r="R110" s="15"/>
      <c r="S110" s="15"/>
      <c r="T110" s="15"/>
      <c r="U110" s="15"/>
      <c r="V110" s="15"/>
      <c r="W110" s="15"/>
    </row>
    <row r="111" spans="1:23" ht="24" hidden="1" customHeight="1">
      <c r="A111" s="42">
        <v>107</v>
      </c>
      <c r="B111" s="41"/>
      <c r="C111" s="41"/>
      <c r="D111" s="41"/>
      <c r="E111" s="41"/>
      <c r="F111" s="15"/>
      <c r="G111" s="15"/>
      <c r="H111" s="15"/>
      <c r="I111" s="15"/>
      <c r="J111" s="15"/>
      <c r="K111" s="15"/>
      <c r="L111" s="15"/>
      <c r="M111" s="15"/>
      <c r="N111" s="15"/>
      <c r="O111" s="15"/>
      <c r="P111" s="15"/>
      <c r="Q111" s="15"/>
      <c r="R111" s="15"/>
      <c r="S111" s="15"/>
      <c r="T111" s="15"/>
      <c r="U111" s="15"/>
      <c r="V111" s="15"/>
      <c r="W111" s="15"/>
    </row>
    <row r="112" spans="1:23" ht="24" hidden="1" customHeight="1">
      <c r="A112" s="42">
        <v>108</v>
      </c>
      <c r="B112" s="41"/>
      <c r="C112" s="41"/>
      <c r="D112" s="41"/>
      <c r="E112" s="41"/>
      <c r="F112" s="15"/>
      <c r="G112" s="15"/>
      <c r="H112" s="15"/>
      <c r="I112" s="15"/>
      <c r="J112" s="15"/>
      <c r="K112" s="15"/>
      <c r="L112" s="15"/>
      <c r="M112" s="15"/>
      <c r="N112" s="15"/>
      <c r="O112" s="15"/>
      <c r="P112" s="15"/>
      <c r="Q112" s="15"/>
      <c r="R112" s="15"/>
      <c r="S112" s="15"/>
      <c r="T112" s="15"/>
      <c r="U112" s="15"/>
      <c r="V112" s="15"/>
      <c r="W112" s="15"/>
    </row>
    <row r="113" spans="1:23" ht="24" hidden="1" customHeight="1">
      <c r="A113" s="42">
        <v>109</v>
      </c>
      <c r="B113" s="41"/>
      <c r="C113" s="41"/>
      <c r="D113" s="41"/>
      <c r="E113" s="41"/>
      <c r="F113" s="15"/>
      <c r="G113" s="15"/>
      <c r="H113" s="15"/>
      <c r="I113" s="15"/>
      <c r="J113" s="15"/>
      <c r="K113" s="15"/>
      <c r="L113" s="15"/>
      <c r="M113" s="15"/>
      <c r="N113" s="15"/>
      <c r="O113" s="15"/>
      <c r="P113" s="15"/>
      <c r="Q113" s="15"/>
      <c r="R113" s="15"/>
      <c r="S113" s="15"/>
      <c r="T113" s="15"/>
      <c r="U113" s="15"/>
      <c r="V113" s="15"/>
      <c r="W113" s="15"/>
    </row>
    <row r="114" spans="1:23" ht="24" hidden="1" customHeight="1">
      <c r="A114" s="42">
        <v>110</v>
      </c>
      <c r="B114" s="41"/>
      <c r="C114" s="41"/>
      <c r="D114" s="41"/>
      <c r="E114" s="41"/>
      <c r="F114" s="15"/>
      <c r="G114" s="15"/>
      <c r="H114" s="15"/>
      <c r="I114" s="15"/>
      <c r="J114" s="15"/>
      <c r="K114" s="15"/>
      <c r="L114" s="15"/>
      <c r="M114" s="15"/>
      <c r="N114" s="15"/>
      <c r="O114" s="15"/>
      <c r="P114" s="15"/>
      <c r="Q114" s="15"/>
      <c r="R114" s="15"/>
      <c r="S114" s="15"/>
      <c r="T114" s="15"/>
      <c r="U114" s="15"/>
      <c r="V114" s="15"/>
      <c r="W114" s="15"/>
    </row>
    <row r="115" spans="1:23" ht="24" hidden="1" customHeight="1">
      <c r="A115" s="42">
        <v>111</v>
      </c>
      <c r="B115" s="41"/>
      <c r="C115" s="41"/>
      <c r="D115" s="41"/>
      <c r="E115" s="41"/>
      <c r="F115" s="15"/>
      <c r="G115" s="15"/>
      <c r="H115" s="15"/>
      <c r="I115" s="15"/>
      <c r="J115" s="15"/>
      <c r="K115" s="15"/>
      <c r="L115" s="15"/>
      <c r="M115" s="15"/>
      <c r="N115" s="15"/>
      <c r="O115" s="15"/>
      <c r="P115" s="15"/>
      <c r="Q115" s="15"/>
      <c r="R115" s="15"/>
      <c r="S115" s="15"/>
      <c r="T115" s="15"/>
      <c r="U115" s="15"/>
      <c r="V115" s="15"/>
      <c r="W115" s="15"/>
    </row>
    <row r="116" spans="1:23" ht="24" hidden="1" customHeight="1">
      <c r="A116" s="42">
        <v>112</v>
      </c>
      <c r="B116" s="41"/>
      <c r="C116" s="41"/>
      <c r="D116" s="41"/>
      <c r="E116" s="41"/>
      <c r="F116" s="15"/>
      <c r="G116" s="15"/>
      <c r="H116" s="15"/>
      <c r="I116" s="15"/>
      <c r="J116" s="15"/>
      <c r="K116" s="15"/>
      <c r="L116" s="15"/>
      <c r="M116" s="15"/>
      <c r="N116" s="15"/>
      <c r="O116" s="15"/>
      <c r="P116" s="15"/>
      <c r="Q116" s="15"/>
      <c r="R116" s="15"/>
      <c r="S116" s="15"/>
      <c r="T116" s="15"/>
      <c r="U116" s="15"/>
      <c r="V116" s="15"/>
      <c r="W116" s="15"/>
    </row>
    <row r="117" spans="1:23" ht="24" hidden="1" customHeight="1">
      <c r="A117" s="42">
        <v>113</v>
      </c>
      <c r="B117" s="41"/>
      <c r="C117" s="41"/>
      <c r="D117" s="41"/>
      <c r="E117" s="41"/>
      <c r="F117" s="15"/>
      <c r="G117" s="15"/>
      <c r="H117" s="15"/>
      <c r="I117" s="15"/>
      <c r="J117" s="15"/>
      <c r="K117" s="15"/>
      <c r="L117" s="15"/>
      <c r="M117" s="15"/>
      <c r="N117" s="15"/>
      <c r="O117" s="15"/>
      <c r="P117" s="15"/>
      <c r="Q117" s="15"/>
      <c r="R117" s="15"/>
      <c r="S117" s="15"/>
      <c r="T117" s="15"/>
      <c r="U117" s="15"/>
      <c r="V117" s="15"/>
      <c r="W117" s="15"/>
    </row>
    <row r="118" spans="1:23" ht="24" hidden="1" customHeight="1">
      <c r="A118" s="42">
        <v>114</v>
      </c>
      <c r="B118" s="41"/>
      <c r="C118" s="41"/>
      <c r="D118" s="41"/>
      <c r="E118" s="41"/>
      <c r="F118" s="15"/>
      <c r="G118" s="15"/>
      <c r="H118" s="15"/>
      <c r="I118" s="15"/>
      <c r="J118" s="15"/>
      <c r="K118" s="15"/>
      <c r="L118" s="15"/>
      <c r="M118" s="15"/>
      <c r="N118" s="15"/>
      <c r="O118" s="15"/>
      <c r="P118" s="15"/>
      <c r="Q118" s="15"/>
      <c r="R118" s="15"/>
      <c r="S118" s="15"/>
      <c r="T118" s="15"/>
      <c r="U118" s="15"/>
      <c r="V118" s="15"/>
      <c r="W118" s="15"/>
    </row>
    <row r="119" spans="1:23" ht="24" hidden="1" customHeight="1">
      <c r="A119" s="42">
        <v>115</v>
      </c>
      <c r="B119" s="41"/>
      <c r="C119" s="41"/>
      <c r="D119" s="41"/>
      <c r="E119" s="41"/>
      <c r="F119" s="15"/>
      <c r="G119" s="15"/>
      <c r="H119" s="15"/>
      <c r="I119" s="15"/>
      <c r="J119" s="15"/>
      <c r="K119" s="15"/>
      <c r="L119" s="15"/>
      <c r="M119" s="15"/>
      <c r="N119" s="15"/>
      <c r="O119" s="15"/>
      <c r="P119" s="15"/>
      <c r="Q119" s="15"/>
      <c r="R119" s="15"/>
      <c r="S119" s="15"/>
      <c r="T119" s="15"/>
      <c r="U119" s="15"/>
      <c r="V119" s="15"/>
      <c r="W119" s="15"/>
    </row>
    <row r="120" spans="1:23" ht="24" hidden="1" customHeight="1">
      <c r="A120" s="42">
        <v>116</v>
      </c>
      <c r="B120" s="41"/>
      <c r="C120" s="41"/>
      <c r="D120" s="41"/>
      <c r="E120" s="41"/>
      <c r="F120" s="15"/>
      <c r="G120" s="15"/>
      <c r="H120" s="15"/>
      <c r="I120" s="15"/>
      <c r="J120" s="15"/>
      <c r="K120" s="15"/>
      <c r="L120" s="15"/>
      <c r="M120" s="15"/>
      <c r="N120" s="15"/>
      <c r="O120" s="15"/>
      <c r="P120" s="15"/>
      <c r="Q120" s="15"/>
      <c r="R120" s="15"/>
      <c r="S120" s="15"/>
      <c r="T120" s="15"/>
      <c r="U120" s="15"/>
      <c r="V120" s="15"/>
      <c r="W120" s="15"/>
    </row>
    <row r="121" spans="1:23" ht="24" hidden="1" customHeight="1">
      <c r="A121" s="42">
        <v>117</v>
      </c>
      <c r="B121" s="41"/>
      <c r="C121" s="41"/>
      <c r="D121" s="41"/>
      <c r="E121" s="41"/>
      <c r="F121" s="15"/>
      <c r="G121" s="15"/>
      <c r="H121" s="15"/>
      <c r="I121" s="15"/>
      <c r="J121" s="15"/>
      <c r="K121" s="15"/>
      <c r="L121" s="15"/>
      <c r="M121" s="15"/>
      <c r="N121" s="15"/>
      <c r="O121" s="15"/>
      <c r="P121" s="15"/>
      <c r="Q121" s="15"/>
      <c r="R121" s="15"/>
      <c r="S121" s="15"/>
      <c r="T121" s="15"/>
      <c r="U121" s="15"/>
      <c r="V121" s="15"/>
      <c r="W121" s="15"/>
    </row>
    <row r="122" spans="1:23" ht="24" hidden="1" customHeight="1">
      <c r="A122" s="42">
        <v>118</v>
      </c>
      <c r="B122" s="41"/>
      <c r="C122" s="41"/>
      <c r="D122" s="41"/>
      <c r="E122" s="41"/>
      <c r="F122" s="15"/>
      <c r="G122" s="15"/>
      <c r="H122" s="15"/>
      <c r="I122" s="15"/>
      <c r="J122" s="15"/>
      <c r="K122" s="15"/>
      <c r="L122" s="15"/>
      <c r="M122" s="15"/>
      <c r="N122" s="15"/>
      <c r="O122" s="15"/>
      <c r="P122" s="15"/>
      <c r="Q122" s="15"/>
      <c r="R122" s="15"/>
      <c r="S122" s="15"/>
      <c r="T122" s="15"/>
      <c r="U122" s="15"/>
      <c r="V122" s="15"/>
      <c r="W122" s="15"/>
    </row>
    <row r="123" spans="1:23" ht="24" hidden="1" customHeight="1">
      <c r="A123" s="42">
        <v>119</v>
      </c>
      <c r="B123" s="41"/>
      <c r="C123" s="41"/>
      <c r="D123" s="41"/>
      <c r="E123" s="41"/>
      <c r="F123" s="15"/>
      <c r="G123" s="15"/>
      <c r="H123" s="15"/>
      <c r="I123" s="15"/>
      <c r="J123" s="15"/>
      <c r="K123" s="15"/>
      <c r="L123" s="15"/>
      <c r="M123" s="15"/>
      <c r="N123" s="15"/>
      <c r="O123" s="15"/>
      <c r="P123" s="15"/>
      <c r="Q123" s="15"/>
      <c r="R123" s="15"/>
      <c r="S123" s="15"/>
      <c r="T123" s="15"/>
      <c r="U123" s="15"/>
      <c r="V123" s="15"/>
      <c r="W123" s="15"/>
    </row>
    <row r="124" spans="1:23" ht="24" hidden="1" customHeight="1">
      <c r="A124" s="42">
        <v>120</v>
      </c>
      <c r="B124" s="41"/>
      <c r="C124" s="41"/>
      <c r="D124" s="41"/>
      <c r="E124" s="41"/>
      <c r="F124" s="15"/>
      <c r="G124" s="15"/>
      <c r="H124" s="15"/>
      <c r="I124" s="15"/>
      <c r="J124" s="15"/>
      <c r="K124" s="15"/>
      <c r="L124" s="15"/>
      <c r="M124" s="15"/>
      <c r="N124" s="15"/>
      <c r="O124" s="15"/>
      <c r="P124" s="15"/>
      <c r="Q124" s="15"/>
      <c r="R124" s="15"/>
      <c r="S124" s="15"/>
      <c r="T124" s="15"/>
      <c r="U124" s="15"/>
      <c r="V124" s="15"/>
      <c r="W124" s="15"/>
    </row>
    <row r="125" spans="1:23" ht="24" hidden="1" customHeight="1">
      <c r="A125" s="42">
        <v>121</v>
      </c>
      <c r="B125" s="41"/>
      <c r="C125" s="41"/>
      <c r="D125" s="41"/>
      <c r="E125" s="41"/>
      <c r="F125" s="15"/>
      <c r="G125" s="15"/>
      <c r="H125" s="15"/>
      <c r="I125" s="15"/>
      <c r="J125" s="15"/>
      <c r="K125" s="15"/>
      <c r="L125" s="15"/>
      <c r="M125" s="15"/>
      <c r="N125" s="15"/>
      <c r="O125" s="15"/>
      <c r="P125" s="15"/>
      <c r="Q125" s="15"/>
      <c r="R125" s="15"/>
      <c r="S125" s="15"/>
      <c r="T125" s="15"/>
      <c r="U125" s="15"/>
      <c r="V125" s="15"/>
      <c r="W125" s="15"/>
    </row>
    <row r="126" spans="1:23" ht="24" hidden="1" customHeight="1">
      <c r="A126" s="42">
        <v>122</v>
      </c>
      <c r="B126" s="41"/>
      <c r="C126" s="41"/>
      <c r="D126" s="41"/>
      <c r="E126" s="41"/>
      <c r="F126" s="15"/>
      <c r="G126" s="15"/>
      <c r="H126" s="15"/>
      <c r="I126" s="15"/>
      <c r="J126" s="15"/>
      <c r="K126" s="15"/>
      <c r="L126" s="15"/>
      <c r="M126" s="15"/>
      <c r="N126" s="15"/>
      <c r="O126" s="15"/>
      <c r="P126" s="15"/>
      <c r="Q126" s="15"/>
      <c r="R126" s="15"/>
      <c r="S126" s="15"/>
      <c r="T126" s="15"/>
      <c r="U126" s="15"/>
      <c r="V126" s="15"/>
      <c r="W126" s="15"/>
    </row>
    <row r="127" spans="1:23" ht="24" hidden="1" customHeight="1">
      <c r="A127" s="42">
        <v>123</v>
      </c>
      <c r="B127" s="41"/>
      <c r="C127" s="41"/>
      <c r="D127" s="41"/>
      <c r="E127" s="41"/>
      <c r="F127" s="15"/>
      <c r="G127" s="15"/>
      <c r="H127" s="15"/>
      <c r="I127" s="15"/>
      <c r="J127" s="15"/>
      <c r="K127" s="15"/>
      <c r="L127" s="15"/>
      <c r="M127" s="15"/>
      <c r="N127" s="15"/>
      <c r="O127" s="15"/>
      <c r="P127" s="15"/>
      <c r="Q127" s="15"/>
      <c r="R127" s="15"/>
      <c r="S127" s="15"/>
      <c r="T127" s="15"/>
      <c r="U127" s="15"/>
      <c r="V127" s="15"/>
      <c r="W127" s="15"/>
    </row>
    <row r="128" spans="1:23" ht="24" hidden="1" customHeight="1">
      <c r="A128" s="42">
        <v>124</v>
      </c>
      <c r="B128" s="41"/>
      <c r="C128" s="41"/>
      <c r="D128" s="41"/>
      <c r="E128" s="41"/>
      <c r="F128" s="15"/>
      <c r="G128" s="15"/>
      <c r="H128" s="15"/>
      <c r="I128" s="15"/>
      <c r="J128" s="15"/>
      <c r="K128" s="15"/>
      <c r="L128" s="15"/>
      <c r="M128" s="15"/>
      <c r="N128" s="15"/>
      <c r="O128" s="15"/>
      <c r="P128" s="15"/>
      <c r="Q128" s="15"/>
      <c r="R128" s="15"/>
      <c r="S128" s="15"/>
      <c r="T128" s="15"/>
      <c r="U128" s="15"/>
      <c r="V128" s="15"/>
      <c r="W128" s="15"/>
    </row>
    <row r="129" spans="1:23" ht="24" hidden="1" customHeight="1">
      <c r="A129" s="42">
        <v>125</v>
      </c>
      <c r="B129" s="41"/>
      <c r="C129" s="41"/>
      <c r="D129" s="41"/>
      <c r="E129" s="41"/>
      <c r="F129" s="15"/>
      <c r="G129" s="15"/>
      <c r="H129" s="15"/>
      <c r="I129" s="15"/>
      <c r="J129" s="15"/>
      <c r="K129" s="15"/>
      <c r="L129" s="15"/>
      <c r="M129" s="15"/>
      <c r="N129" s="15"/>
      <c r="O129" s="15"/>
      <c r="P129" s="15"/>
      <c r="Q129" s="15"/>
      <c r="R129" s="15"/>
      <c r="S129" s="15"/>
      <c r="T129" s="15"/>
      <c r="U129" s="15"/>
      <c r="V129" s="15"/>
      <c r="W129" s="15"/>
    </row>
    <row r="130" spans="1:23" ht="24" hidden="1" customHeight="1">
      <c r="A130" s="42">
        <v>126</v>
      </c>
      <c r="B130" s="41"/>
      <c r="C130" s="41"/>
      <c r="D130" s="41"/>
      <c r="E130" s="41"/>
      <c r="F130" s="15"/>
      <c r="G130" s="15"/>
      <c r="H130" s="15"/>
      <c r="I130" s="15"/>
      <c r="J130" s="15"/>
      <c r="K130" s="15"/>
      <c r="L130" s="15"/>
      <c r="M130" s="15"/>
      <c r="N130" s="15"/>
      <c r="O130" s="15"/>
      <c r="P130" s="15"/>
      <c r="Q130" s="15"/>
      <c r="R130" s="15"/>
      <c r="S130" s="15"/>
      <c r="T130" s="15"/>
      <c r="U130" s="15"/>
      <c r="V130" s="15"/>
      <c r="W130" s="15"/>
    </row>
    <row r="131" spans="1:23" ht="24" hidden="1" customHeight="1">
      <c r="A131" s="42">
        <v>127</v>
      </c>
      <c r="B131" s="41"/>
      <c r="C131" s="41"/>
      <c r="D131" s="41"/>
      <c r="E131" s="41"/>
      <c r="F131" s="15"/>
      <c r="G131" s="15"/>
      <c r="H131" s="15"/>
      <c r="I131" s="15"/>
      <c r="J131" s="15"/>
      <c r="K131" s="15"/>
      <c r="L131" s="15"/>
      <c r="M131" s="15"/>
      <c r="N131" s="15"/>
      <c r="O131" s="15"/>
      <c r="P131" s="15"/>
      <c r="Q131" s="15"/>
      <c r="R131" s="15"/>
      <c r="S131" s="15"/>
      <c r="T131" s="15"/>
      <c r="U131" s="15"/>
      <c r="V131" s="15"/>
      <c r="W131" s="15"/>
    </row>
    <row r="132" spans="1:23" ht="24" hidden="1" customHeight="1">
      <c r="A132" s="42">
        <v>128</v>
      </c>
      <c r="B132" s="41"/>
      <c r="C132" s="41"/>
      <c r="D132" s="41"/>
      <c r="E132" s="41"/>
      <c r="F132" s="15"/>
      <c r="G132" s="15"/>
      <c r="H132" s="15"/>
      <c r="I132" s="15"/>
      <c r="J132" s="15"/>
      <c r="K132" s="15"/>
      <c r="L132" s="15"/>
      <c r="M132" s="15"/>
      <c r="N132" s="15"/>
      <c r="O132" s="15"/>
      <c r="P132" s="15"/>
      <c r="Q132" s="15"/>
      <c r="R132" s="15"/>
      <c r="S132" s="15"/>
      <c r="T132" s="15"/>
      <c r="U132" s="15"/>
      <c r="V132" s="15"/>
      <c r="W132" s="15"/>
    </row>
    <row r="133" spans="1:23" ht="24" hidden="1" customHeight="1">
      <c r="A133" s="42">
        <v>129</v>
      </c>
      <c r="B133" s="41"/>
      <c r="C133" s="41"/>
      <c r="D133" s="41"/>
      <c r="E133" s="41"/>
      <c r="F133" s="15"/>
      <c r="G133" s="15"/>
      <c r="H133" s="15"/>
      <c r="I133" s="15"/>
      <c r="J133" s="15"/>
      <c r="K133" s="15"/>
      <c r="L133" s="15"/>
      <c r="M133" s="15"/>
      <c r="N133" s="15"/>
      <c r="O133" s="15"/>
      <c r="P133" s="15"/>
      <c r="Q133" s="15"/>
      <c r="R133" s="15"/>
      <c r="S133" s="15"/>
      <c r="T133" s="15"/>
      <c r="U133" s="15"/>
      <c r="V133" s="15"/>
      <c r="W133" s="15"/>
    </row>
    <row r="134" spans="1:23" ht="24" hidden="1" customHeight="1">
      <c r="A134" s="42">
        <v>130</v>
      </c>
      <c r="B134" s="41"/>
      <c r="C134" s="41"/>
      <c r="D134" s="41"/>
      <c r="E134" s="41"/>
      <c r="F134" s="15"/>
      <c r="G134" s="15"/>
      <c r="H134" s="15"/>
      <c r="I134" s="15"/>
      <c r="J134" s="15"/>
      <c r="K134" s="15"/>
      <c r="L134" s="15"/>
      <c r="M134" s="15"/>
      <c r="N134" s="15"/>
      <c r="O134" s="15"/>
      <c r="P134" s="15"/>
      <c r="Q134" s="15"/>
      <c r="R134" s="15"/>
      <c r="S134" s="15"/>
      <c r="T134" s="15"/>
      <c r="U134" s="15"/>
      <c r="V134" s="15"/>
      <c r="W134" s="15"/>
    </row>
    <row r="135" spans="1:23" ht="24" hidden="1" customHeight="1">
      <c r="A135" s="42">
        <v>131</v>
      </c>
      <c r="B135" s="41"/>
      <c r="C135" s="41"/>
      <c r="D135" s="41"/>
      <c r="E135" s="41"/>
      <c r="F135" s="15"/>
      <c r="G135" s="15"/>
      <c r="H135" s="15"/>
      <c r="I135" s="15"/>
      <c r="J135" s="15"/>
      <c r="K135" s="15"/>
      <c r="L135" s="15"/>
      <c r="M135" s="15"/>
      <c r="N135" s="15"/>
      <c r="O135" s="15"/>
      <c r="P135" s="15"/>
      <c r="Q135" s="15"/>
      <c r="R135" s="15"/>
      <c r="S135" s="15"/>
      <c r="T135" s="15"/>
      <c r="U135" s="15"/>
      <c r="V135" s="15"/>
      <c r="W135" s="15"/>
    </row>
    <row r="136" spans="1:23" ht="24" hidden="1" customHeight="1">
      <c r="A136" s="42">
        <v>132</v>
      </c>
      <c r="B136" s="41"/>
      <c r="C136" s="41"/>
      <c r="D136" s="41"/>
      <c r="E136" s="41"/>
      <c r="F136" s="15"/>
      <c r="G136" s="15"/>
      <c r="H136" s="15"/>
      <c r="I136" s="15"/>
      <c r="J136" s="15"/>
      <c r="K136" s="15"/>
      <c r="L136" s="15"/>
      <c r="M136" s="15"/>
      <c r="N136" s="15"/>
      <c r="O136" s="15"/>
      <c r="P136" s="15"/>
      <c r="Q136" s="15"/>
      <c r="R136" s="15"/>
      <c r="S136" s="15"/>
      <c r="T136" s="15"/>
      <c r="U136" s="15"/>
      <c r="V136" s="15"/>
      <c r="W136" s="15"/>
    </row>
    <row r="137" spans="1:23" ht="24" hidden="1" customHeight="1">
      <c r="A137" s="42">
        <v>133</v>
      </c>
      <c r="B137" s="41"/>
      <c r="C137" s="41"/>
      <c r="D137" s="41"/>
      <c r="E137" s="41"/>
      <c r="F137" s="15"/>
      <c r="G137" s="15"/>
      <c r="H137" s="15"/>
      <c r="I137" s="15"/>
      <c r="J137" s="15"/>
      <c r="K137" s="15"/>
      <c r="L137" s="15"/>
      <c r="M137" s="15"/>
      <c r="N137" s="15"/>
      <c r="O137" s="15"/>
      <c r="P137" s="15"/>
      <c r="Q137" s="15"/>
      <c r="R137" s="15"/>
      <c r="S137" s="15"/>
      <c r="T137" s="15"/>
      <c r="U137" s="15"/>
      <c r="V137" s="15"/>
      <c r="W137" s="15"/>
    </row>
    <row r="138" spans="1:23" ht="24" hidden="1" customHeight="1">
      <c r="A138" s="42">
        <v>134</v>
      </c>
      <c r="B138" s="41"/>
      <c r="C138" s="41"/>
      <c r="D138" s="41"/>
      <c r="E138" s="41"/>
      <c r="F138" s="15"/>
      <c r="G138" s="15"/>
      <c r="H138" s="15"/>
      <c r="I138" s="15"/>
      <c r="J138" s="15"/>
      <c r="K138" s="15"/>
      <c r="L138" s="15"/>
      <c r="M138" s="15"/>
      <c r="N138" s="15"/>
      <c r="O138" s="15"/>
      <c r="P138" s="15"/>
      <c r="Q138" s="15"/>
      <c r="R138" s="15"/>
      <c r="S138" s="15"/>
      <c r="T138" s="15"/>
      <c r="U138" s="15"/>
      <c r="V138" s="15"/>
      <c r="W138" s="15"/>
    </row>
    <row r="139" spans="1:23" ht="24" hidden="1" customHeight="1">
      <c r="A139" s="42">
        <v>135</v>
      </c>
      <c r="B139" s="41"/>
      <c r="C139" s="41"/>
      <c r="D139" s="41"/>
      <c r="E139" s="41"/>
      <c r="F139" s="15"/>
      <c r="G139" s="15"/>
      <c r="H139" s="15"/>
      <c r="I139" s="15"/>
      <c r="J139" s="15"/>
      <c r="K139" s="15"/>
      <c r="L139" s="15"/>
      <c r="M139" s="15"/>
      <c r="N139" s="15"/>
      <c r="O139" s="15"/>
      <c r="P139" s="15"/>
      <c r="Q139" s="15"/>
      <c r="R139" s="15"/>
      <c r="S139" s="15"/>
      <c r="T139" s="15"/>
      <c r="U139" s="15"/>
      <c r="V139" s="15"/>
      <c r="W139" s="15"/>
    </row>
    <row r="140" spans="1:23" ht="24" hidden="1" customHeight="1">
      <c r="A140" s="42">
        <v>136</v>
      </c>
      <c r="B140" s="41"/>
      <c r="C140" s="41"/>
      <c r="D140" s="41"/>
      <c r="E140" s="41"/>
      <c r="F140" s="15"/>
      <c r="G140" s="15"/>
      <c r="H140" s="15"/>
      <c r="I140" s="15"/>
      <c r="J140" s="15"/>
      <c r="K140" s="15"/>
      <c r="L140" s="15"/>
      <c r="M140" s="15"/>
      <c r="N140" s="15"/>
      <c r="O140" s="15"/>
      <c r="P140" s="15"/>
      <c r="Q140" s="15"/>
      <c r="R140" s="15"/>
      <c r="S140" s="15"/>
      <c r="T140" s="15"/>
      <c r="U140" s="15"/>
      <c r="V140" s="15"/>
      <c r="W140" s="15"/>
    </row>
    <row r="141" spans="1:23" ht="24" hidden="1" customHeight="1">
      <c r="A141" s="42">
        <v>137</v>
      </c>
      <c r="B141" s="41"/>
      <c r="C141" s="41"/>
      <c r="D141" s="41"/>
      <c r="E141" s="41"/>
      <c r="F141" s="15"/>
      <c r="G141" s="15"/>
      <c r="H141" s="15"/>
      <c r="I141" s="15"/>
      <c r="J141" s="15"/>
      <c r="K141" s="15"/>
      <c r="L141" s="15"/>
      <c r="M141" s="15"/>
      <c r="N141" s="15"/>
      <c r="O141" s="15"/>
      <c r="P141" s="15"/>
      <c r="Q141" s="15"/>
      <c r="R141" s="15"/>
      <c r="S141" s="15"/>
      <c r="T141" s="15"/>
      <c r="U141" s="15"/>
      <c r="V141" s="15"/>
      <c r="W141" s="15"/>
    </row>
    <row r="142" spans="1:23" ht="24" hidden="1" customHeight="1">
      <c r="A142" s="42">
        <v>138</v>
      </c>
      <c r="B142" s="41"/>
      <c r="C142" s="41"/>
      <c r="D142" s="41"/>
      <c r="E142" s="41"/>
      <c r="F142" s="15"/>
      <c r="G142" s="15"/>
      <c r="H142" s="15"/>
      <c r="I142" s="15"/>
      <c r="J142" s="15"/>
      <c r="K142" s="15"/>
      <c r="L142" s="15"/>
      <c r="M142" s="15"/>
      <c r="N142" s="15"/>
      <c r="O142" s="15"/>
      <c r="P142" s="15"/>
      <c r="Q142" s="15"/>
      <c r="R142" s="15"/>
      <c r="S142" s="15"/>
      <c r="T142" s="15"/>
      <c r="U142" s="15"/>
      <c r="V142" s="15"/>
      <c r="W142" s="15"/>
    </row>
    <row r="143" spans="1:23" ht="24" hidden="1" customHeight="1">
      <c r="A143" s="42">
        <v>139</v>
      </c>
      <c r="B143" s="41"/>
      <c r="C143" s="41"/>
      <c r="D143" s="41"/>
      <c r="E143" s="41"/>
      <c r="F143" s="15"/>
      <c r="G143" s="15"/>
      <c r="H143" s="15"/>
      <c r="I143" s="15"/>
      <c r="J143" s="15"/>
      <c r="K143" s="15"/>
      <c r="L143" s="15"/>
      <c r="M143" s="15"/>
      <c r="N143" s="15"/>
      <c r="O143" s="15"/>
      <c r="P143" s="15"/>
      <c r="Q143" s="15"/>
      <c r="R143" s="15"/>
      <c r="S143" s="15"/>
      <c r="T143" s="15"/>
      <c r="U143" s="15"/>
      <c r="V143" s="15"/>
      <c r="W143" s="15"/>
    </row>
    <row r="144" spans="1:23" ht="24" hidden="1" customHeight="1">
      <c r="A144" s="42">
        <v>140</v>
      </c>
      <c r="B144" s="41"/>
      <c r="C144" s="41"/>
      <c r="D144" s="41"/>
      <c r="E144" s="41"/>
      <c r="F144" s="15"/>
      <c r="G144" s="15"/>
      <c r="H144" s="15"/>
      <c r="I144" s="15"/>
      <c r="J144" s="15"/>
      <c r="K144" s="15"/>
      <c r="L144" s="15"/>
      <c r="M144" s="15"/>
      <c r="N144" s="15"/>
      <c r="O144" s="15"/>
      <c r="P144" s="15"/>
      <c r="Q144" s="15"/>
      <c r="R144" s="15"/>
      <c r="S144" s="15"/>
      <c r="T144" s="15"/>
      <c r="U144" s="15"/>
      <c r="V144" s="15"/>
      <c r="W144" s="15"/>
    </row>
    <row r="145" spans="1:23" ht="24" hidden="1" customHeight="1">
      <c r="A145" s="42">
        <v>141</v>
      </c>
      <c r="B145" s="41"/>
      <c r="C145" s="41"/>
      <c r="D145" s="41"/>
      <c r="E145" s="41"/>
      <c r="F145" s="15"/>
      <c r="G145" s="15"/>
      <c r="H145" s="15"/>
      <c r="I145" s="15"/>
      <c r="J145" s="15"/>
      <c r="K145" s="15"/>
      <c r="L145" s="15"/>
      <c r="M145" s="15"/>
      <c r="N145" s="15"/>
      <c r="O145" s="15"/>
      <c r="P145" s="15"/>
      <c r="Q145" s="15"/>
      <c r="R145" s="15"/>
      <c r="S145" s="15"/>
      <c r="T145" s="15"/>
      <c r="U145" s="15"/>
      <c r="V145" s="15"/>
      <c r="W145" s="15"/>
    </row>
    <row r="146" spans="1:23" ht="24" hidden="1" customHeight="1">
      <c r="A146" s="42">
        <v>142</v>
      </c>
      <c r="B146" s="41"/>
      <c r="C146" s="41"/>
      <c r="D146" s="41"/>
      <c r="E146" s="41"/>
      <c r="F146" s="15"/>
      <c r="G146" s="15"/>
      <c r="H146" s="15"/>
      <c r="I146" s="15"/>
      <c r="J146" s="15"/>
      <c r="K146" s="15"/>
      <c r="L146" s="15"/>
      <c r="M146" s="15"/>
      <c r="N146" s="15"/>
      <c r="O146" s="15"/>
      <c r="P146" s="15"/>
      <c r="Q146" s="15"/>
      <c r="R146" s="15"/>
      <c r="S146" s="15"/>
      <c r="T146" s="15"/>
      <c r="U146" s="15"/>
      <c r="V146" s="15"/>
      <c r="W146" s="15"/>
    </row>
    <row r="147" spans="1:23" ht="24" hidden="1" customHeight="1">
      <c r="A147" s="42">
        <v>143</v>
      </c>
      <c r="B147" s="41"/>
      <c r="C147" s="41"/>
      <c r="D147" s="41"/>
      <c r="E147" s="41"/>
      <c r="F147" s="15"/>
      <c r="G147" s="15"/>
      <c r="H147" s="15"/>
      <c r="I147" s="15"/>
      <c r="J147" s="15"/>
      <c r="K147" s="15"/>
      <c r="L147" s="15"/>
      <c r="M147" s="15"/>
      <c r="N147" s="15"/>
      <c r="O147" s="15"/>
      <c r="P147" s="15"/>
      <c r="Q147" s="15"/>
      <c r="R147" s="15"/>
      <c r="S147" s="15"/>
      <c r="T147" s="15"/>
      <c r="U147" s="15"/>
      <c r="V147" s="15"/>
      <c r="W147" s="15"/>
    </row>
    <row r="148" spans="1:23" ht="24" hidden="1" customHeight="1">
      <c r="A148" s="42">
        <v>144</v>
      </c>
      <c r="B148" s="41"/>
      <c r="C148" s="41"/>
      <c r="D148" s="41"/>
      <c r="E148" s="41"/>
      <c r="F148" s="15"/>
      <c r="G148" s="15"/>
      <c r="H148" s="15"/>
      <c r="I148" s="15"/>
      <c r="J148" s="15"/>
      <c r="K148" s="15"/>
      <c r="L148" s="15"/>
      <c r="M148" s="15"/>
      <c r="N148" s="15"/>
      <c r="O148" s="15"/>
      <c r="P148" s="15"/>
      <c r="Q148" s="15"/>
      <c r="R148" s="15"/>
      <c r="S148" s="15"/>
      <c r="T148" s="15"/>
      <c r="U148" s="15"/>
      <c r="V148" s="15"/>
      <c r="W148" s="15"/>
    </row>
    <row r="149" spans="1:23" ht="24" hidden="1" customHeight="1">
      <c r="A149" s="42">
        <v>145</v>
      </c>
      <c r="B149" s="41"/>
      <c r="C149" s="41"/>
      <c r="D149" s="41"/>
      <c r="E149" s="41"/>
      <c r="F149" s="15"/>
      <c r="G149" s="15"/>
      <c r="H149" s="15"/>
      <c r="I149" s="15"/>
      <c r="J149" s="15"/>
      <c r="K149" s="15"/>
      <c r="L149" s="15"/>
      <c r="M149" s="15"/>
      <c r="N149" s="15"/>
      <c r="O149" s="15"/>
      <c r="P149" s="15"/>
      <c r="Q149" s="15"/>
      <c r="R149" s="15"/>
      <c r="S149" s="15"/>
      <c r="T149" s="15"/>
      <c r="U149" s="15"/>
      <c r="V149" s="15"/>
      <c r="W149" s="15"/>
    </row>
    <row r="150" spans="1:23" ht="24" hidden="1" customHeight="1">
      <c r="A150" s="42">
        <v>146</v>
      </c>
      <c r="B150" s="41"/>
      <c r="C150" s="41"/>
      <c r="D150" s="41"/>
      <c r="E150" s="41"/>
      <c r="F150" s="15"/>
      <c r="G150" s="15"/>
      <c r="H150" s="15"/>
      <c r="I150" s="15"/>
      <c r="J150" s="15"/>
      <c r="K150" s="15"/>
      <c r="L150" s="15"/>
      <c r="M150" s="15"/>
      <c r="N150" s="15"/>
      <c r="O150" s="15"/>
      <c r="P150" s="15"/>
      <c r="Q150" s="15"/>
      <c r="R150" s="15"/>
      <c r="S150" s="15"/>
      <c r="T150" s="15"/>
      <c r="U150" s="15"/>
      <c r="V150" s="15"/>
      <c r="W150" s="15"/>
    </row>
    <row r="151" spans="1:23" ht="24" hidden="1" customHeight="1">
      <c r="A151" s="42">
        <v>147</v>
      </c>
      <c r="B151" s="41"/>
      <c r="C151" s="41"/>
      <c r="D151" s="41"/>
      <c r="E151" s="41"/>
      <c r="F151" s="15"/>
      <c r="G151" s="15"/>
      <c r="H151" s="15"/>
      <c r="I151" s="15"/>
      <c r="J151" s="15"/>
      <c r="K151" s="15"/>
      <c r="L151" s="15"/>
      <c r="M151" s="15"/>
      <c r="N151" s="15"/>
      <c r="O151" s="15"/>
      <c r="P151" s="15"/>
      <c r="Q151" s="15"/>
      <c r="R151" s="15"/>
      <c r="S151" s="15"/>
      <c r="T151" s="15"/>
      <c r="U151" s="15"/>
      <c r="V151" s="15"/>
      <c r="W151" s="15"/>
    </row>
    <row r="152" spans="1:23" ht="24" hidden="1" customHeight="1">
      <c r="A152" s="42">
        <v>148</v>
      </c>
      <c r="B152" s="41"/>
      <c r="C152" s="41"/>
      <c r="D152" s="41"/>
      <c r="E152" s="41"/>
      <c r="F152" s="15"/>
      <c r="G152" s="15"/>
      <c r="H152" s="15"/>
      <c r="I152" s="15"/>
      <c r="J152" s="15"/>
      <c r="K152" s="15"/>
      <c r="L152" s="15"/>
      <c r="M152" s="15"/>
      <c r="N152" s="15"/>
      <c r="O152" s="15"/>
      <c r="P152" s="15"/>
      <c r="Q152" s="15"/>
      <c r="R152" s="15"/>
      <c r="S152" s="15"/>
      <c r="T152" s="15"/>
      <c r="U152" s="15"/>
      <c r="V152" s="15"/>
      <c r="W152" s="15"/>
    </row>
    <row r="153" spans="1:23" ht="24" hidden="1" customHeight="1">
      <c r="A153" s="42">
        <v>149</v>
      </c>
      <c r="B153" s="41"/>
      <c r="C153" s="41"/>
      <c r="D153" s="41"/>
      <c r="E153" s="41"/>
      <c r="F153" s="15"/>
      <c r="G153" s="15"/>
      <c r="H153" s="15"/>
      <c r="I153" s="15"/>
      <c r="J153" s="15"/>
      <c r="K153" s="15"/>
      <c r="L153" s="15"/>
      <c r="M153" s="15"/>
      <c r="N153" s="15"/>
      <c r="O153" s="15"/>
      <c r="P153" s="15"/>
      <c r="Q153" s="15"/>
      <c r="R153" s="15"/>
      <c r="S153" s="15"/>
      <c r="T153" s="15"/>
      <c r="U153" s="15"/>
      <c r="V153" s="15"/>
      <c r="W153" s="15"/>
    </row>
    <row r="154" spans="1:23" ht="24" hidden="1" customHeight="1">
      <c r="A154" s="42">
        <v>150</v>
      </c>
      <c r="B154" s="41"/>
      <c r="C154" s="41"/>
      <c r="D154" s="41"/>
      <c r="E154" s="41"/>
      <c r="F154" s="15"/>
      <c r="G154" s="15"/>
      <c r="H154" s="15"/>
      <c r="I154" s="15"/>
      <c r="J154" s="15"/>
      <c r="K154" s="15"/>
      <c r="L154" s="15"/>
      <c r="M154" s="15"/>
      <c r="N154" s="15"/>
      <c r="O154" s="15"/>
      <c r="P154" s="15"/>
      <c r="Q154" s="15"/>
      <c r="R154" s="15"/>
      <c r="S154" s="15"/>
      <c r="T154" s="15"/>
      <c r="U154" s="15"/>
      <c r="V154" s="15"/>
      <c r="W154" s="15"/>
    </row>
    <row r="155" spans="1:23" ht="24" hidden="1" customHeight="1">
      <c r="A155" s="42">
        <v>151</v>
      </c>
      <c r="B155" s="41"/>
      <c r="C155" s="41"/>
      <c r="D155" s="41"/>
      <c r="E155" s="41"/>
      <c r="F155" s="15"/>
      <c r="G155" s="15"/>
      <c r="H155" s="15"/>
      <c r="I155" s="15"/>
      <c r="J155" s="15"/>
      <c r="K155" s="15"/>
      <c r="L155" s="15"/>
      <c r="M155" s="15"/>
      <c r="N155" s="15"/>
      <c r="O155" s="15"/>
      <c r="P155" s="15"/>
      <c r="Q155" s="15"/>
      <c r="R155" s="15"/>
      <c r="S155" s="15"/>
      <c r="T155" s="15"/>
      <c r="U155" s="15"/>
      <c r="V155" s="15"/>
      <c r="W155" s="15"/>
    </row>
    <row r="156" spans="1:23" ht="24" hidden="1" customHeight="1">
      <c r="A156" s="42">
        <v>152</v>
      </c>
      <c r="B156" s="41"/>
      <c r="C156" s="41"/>
      <c r="D156" s="41"/>
      <c r="E156" s="41"/>
      <c r="F156" s="15"/>
      <c r="G156" s="15"/>
      <c r="H156" s="15"/>
      <c r="I156" s="15"/>
      <c r="J156" s="15"/>
      <c r="K156" s="15"/>
      <c r="L156" s="15"/>
      <c r="M156" s="15"/>
      <c r="N156" s="15"/>
      <c r="O156" s="15"/>
      <c r="P156" s="15"/>
      <c r="Q156" s="15"/>
      <c r="R156" s="15"/>
      <c r="S156" s="15"/>
      <c r="T156" s="15"/>
      <c r="U156" s="15"/>
      <c r="V156" s="15"/>
      <c r="W156" s="15"/>
    </row>
    <row r="157" spans="1:23" ht="24" hidden="1" customHeight="1">
      <c r="A157" s="42">
        <v>153</v>
      </c>
      <c r="B157" s="41"/>
      <c r="C157" s="41"/>
      <c r="D157" s="41"/>
      <c r="E157" s="41"/>
      <c r="F157" s="15"/>
      <c r="G157" s="15"/>
      <c r="H157" s="15"/>
      <c r="I157" s="15"/>
      <c r="J157" s="15"/>
      <c r="K157" s="15"/>
      <c r="L157" s="15"/>
      <c r="M157" s="15"/>
      <c r="N157" s="15"/>
      <c r="O157" s="15"/>
      <c r="P157" s="15"/>
      <c r="Q157" s="15"/>
      <c r="R157" s="15"/>
      <c r="S157" s="15"/>
      <c r="T157" s="15"/>
      <c r="U157" s="15"/>
      <c r="V157" s="15"/>
      <c r="W157" s="15"/>
    </row>
    <row r="158" spans="1:23" ht="24" hidden="1" customHeight="1">
      <c r="A158" s="42">
        <v>154</v>
      </c>
      <c r="B158" s="41"/>
      <c r="C158" s="41"/>
      <c r="D158" s="41"/>
      <c r="E158" s="41"/>
      <c r="F158" s="15"/>
      <c r="G158" s="15"/>
      <c r="H158" s="15"/>
      <c r="I158" s="15"/>
      <c r="J158" s="15"/>
      <c r="K158" s="15"/>
      <c r="L158" s="15"/>
      <c r="M158" s="15"/>
      <c r="N158" s="15"/>
      <c r="O158" s="15"/>
      <c r="P158" s="15"/>
      <c r="Q158" s="15"/>
      <c r="R158" s="15"/>
      <c r="S158" s="15"/>
      <c r="T158" s="15"/>
      <c r="U158" s="15"/>
      <c r="V158" s="15"/>
      <c r="W158" s="15"/>
    </row>
    <row r="159" spans="1:23" ht="24" hidden="1" customHeight="1">
      <c r="A159" s="42">
        <v>155</v>
      </c>
      <c r="B159" s="41"/>
      <c r="C159" s="41"/>
      <c r="D159" s="41"/>
      <c r="E159" s="41"/>
      <c r="F159" s="15"/>
      <c r="G159" s="15"/>
      <c r="H159" s="15"/>
      <c r="I159" s="15"/>
      <c r="J159" s="15"/>
      <c r="K159" s="15"/>
      <c r="L159" s="15"/>
      <c r="M159" s="15"/>
      <c r="N159" s="15"/>
      <c r="O159" s="15"/>
      <c r="P159" s="15"/>
      <c r="Q159" s="15"/>
      <c r="R159" s="15"/>
      <c r="S159" s="15"/>
      <c r="T159" s="15"/>
      <c r="U159" s="15"/>
      <c r="V159" s="15"/>
      <c r="W159" s="15"/>
    </row>
    <row r="160" spans="1:23" ht="24" hidden="1" customHeight="1">
      <c r="A160" s="42">
        <v>156</v>
      </c>
      <c r="B160" s="41"/>
      <c r="C160" s="41"/>
      <c r="D160" s="41"/>
      <c r="E160" s="41"/>
      <c r="F160" s="15"/>
      <c r="G160" s="15"/>
      <c r="H160" s="15"/>
      <c r="I160" s="15"/>
      <c r="J160" s="15"/>
      <c r="K160" s="15"/>
      <c r="L160" s="15"/>
      <c r="M160" s="15"/>
      <c r="N160" s="15"/>
      <c r="O160" s="15"/>
      <c r="P160" s="15"/>
      <c r="Q160" s="15"/>
      <c r="R160" s="15"/>
      <c r="S160" s="15"/>
      <c r="T160" s="15"/>
      <c r="U160" s="15"/>
      <c r="V160" s="15"/>
      <c r="W160" s="15"/>
    </row>
    <row r="161" spans="1:23" ht="24" hidden="1" customHeight="1">
      <c r="A161" s="42">
        <v>157</v>
      </c>
      <c r="B161" s="41"/>
      <c r="C161" s="41"/>
      <c r="D161" s="41"/>
      <c r="E161" s="41"/>
      <c r="F161" s="15"/>
      <c r="G161" s="15"/>
      <c r="H161" s="15"/>
      <c r="I161" s="15"/>
      <c r="J161" s="15"/>
      <c r="K161" s="15"/>
      <c r="L161" s="15"/>
      <c r="M161" s="15"/>
      <c r="N161" s="15"/>
      <c r="O161" s="15"/>
      <c r="P161" s="15"/>
      <c r="Q161" s="15"/>
      <c r="R161" s="15"/>
      <c r="S161" s="15"/>
      <c r="T161" s="15"/>
      <c r="U161" s="15"/>
      <c r="V161" s="15"/>
      <c r="W161" s="15"/>
    </row>
    <row r="162" spans="1:23" ht="24" hidden="1" customHeight="1">
      <c r="A162" s="42">
        <v>158</v>
      </c>
      <c r="B162" s="41"/>
      <c r="C162" s="41"/>
      <c r="D162" s="41"/>
      <c r="E162" s="41"/>
      <c r="F162" s="15"/>
      <c r="G162" s="15"/>
      <c r="H162" s="15"/>
      <c r="I162" s="15"/>
      <c r="J162" s="15"/>
      <c r="K162" s="15"/>
      <c r="L162" s="15"/>
      <c r="M162" s="15"/>
      <c r="N162" s="15"/>
      <c r="O162" s="15"/>
      <c r="P162" s="15"/>
      <c r="Q162" s="15"/>
      <c r="R162" s="15"/>
      <c r="S162" s="15"/>
      <c r="T162" s="15"/>
      <c r="U162" s="15"/>
      <c r="V162" s="15"/>
      <c r="W162" s="15"/>
    </row>
    <row r="163" spans="1:23" ht="24" hidden="1" customHeight="1">
      <c r="A163" s="42">
        <v>159</v>
      </c>
      <c r="B163" s="41"/>
      <c r="C163" s="41"/>
      <c r="D163" s="41"/>
      <c r="E163" s="41"/>
      <c r="F163" s="15"/>
      <c r="G163" s="15"/>
      <c r="H163" s="15"/>
      <c r="I163" s="15"/>
      <c r="J163" s="15"/>
      <c r="K163" s="15"/>
      <c r="L163" s="15"/>
      <c r="M163" s="15"/>
      <c r="N163" s="15"/>
      <c r="O163" s="15"/>
      <c r="P163" s="15"/>
      <c r="Q163" s="15"/>
      <c r="R163" s="15"/>
      <c r="S163" s="15"/>
      <c r="T163" s="15"/>
      <c r="U163" s="15"/>
      <c r="V163" s="15"/>
      <c r="W163" s="15"/>
    </row>
    <row r="164" spans="1:23" ht="24" hidden="1" customHeight="1">
      <c r="A164" s="42">
        <v>160</v>
      </c>
      <c r="B164" s="41"/>
      <c r="C164" s="41"/>
      <c r="D164" s="41"/>
      <c r="E164" s="41"/>
      <c r="F164" s="15"/>
      <c r="G164" s="15"/>
      <c r="H164" s="15"/>
      <c r="I164" s="15"/>
      <c r="J164" s="15"/>
      <c r="K164" s="15"/>
      <c r="L164" s="15"/>
      <c r="M164" s="15"/>
      <c r="N164" s="15"/>
      <c r="O164" s="15"/>
      <c r="P164" s="15"/>
      <c r="Q164" s="15"/>
      <c r="R164" s="15"/>
      <c r="S164" s="15"/>
      <c r="T164" s="15"/>
      <c r="U164" s="15"/>
      <c r="V164" s="15"/>
      <c r="W164" s="15"/>
    </row>
    <row r="165" spans="1:23" ht="24" hidden="1" customHeight="1">
      <c r="A165" s="42">
        <v>161</v>
      </c>
      <c r="B165" s="41"/>
      <c r="C165" s="41"/>
      <c r="D165" s="41"/>
      <c r="E165" s="41"/>
      <c r="F165" s="15"/>
      <c r="G165" s="15"/>
      <c r="H165" s="15"/>
      <c r="I165" s="15"/>
      <c r="J165" s="15"/>
      <c r="K165" s="15"/>
      <c r="L165" s="15"/>
      <c r="M165" s="15"/>
      <c r="N165" s="15"/>
      <c r="O165" s="15"/>
      <c r="P165" s="15"/>
      <c r="Q165" s="15"/>
      <c r="R165" s="15"/>
      <c r="S165" s="15"/>
      <c r="T165" s="15"/>
      <c r="U165" s="15"/>
      <c r="V165" s="15"/>
      <c r="W165" s="15"/>
    </row>
    <row r="166" spans="1:23" ht="24" hidden="1" customHeight="1">
      <c r="A166" s="42">
        <v>162</v>
      </c>
      <c r="B166" s="41"/>
      <c r="C166" s="41"/>
      <c r="D166" s="41"/>
      <c r="E166" s="41"/>
      <c r="F166" s="15"/>
      <c r="G166" s="15"/>
      <c r="H166" s="15"/>
      <c r="I166" s="15"/>
      <c r="J166" s="15"/>
      <c r="K166" s="15"/>
      <c r="L166" s="15"/>
      <c r="M166" s="15"/>
      <c r="N166" s="15"/>
      <c r="O166" s="15"/>
      <c r="P166" s="15"/>
      <c r="Q166" s="15"/>
      <c r="R166" s="15"/>
      <c r="S166" s="15"/>
      <c r="T166" s="15"/>
      <c r="U166" s="15"/>
      <c r="V166" s="15"/>
      <c r="W166" s="15"/>
    </row>
    <row r="167" spans="1:23" ht="24" hidden="1" customHeight="1">
      <c r="A167" s="42">
        <v>163</v>
      </c>
      <c r="B167" s="41"/>
      <c r="C167" s="41"/>
      <c r="D167" s="41"/>
      <c r="E167" s="41"/>
      <c r="F167" s="15"/>
      <c r="G167" s="15"/>
      <c r="H167" s="15"/>
      <c r="I167" s="15"/>
      <c r="J167" s="15"/>
      <c r="K167" s="15"/>
      <c r="L167" s="15"/>
      <c r="M167" s="15"/>
      <c r="N167" s="15"/>
      <c r="O167" s="15"/>
      <c r="P167" s="15"/>
      <c r="Q167" s="15"/>
      <c r="R167" s="15"/>
      <c r="S167" s="15"/>
      <c r="T167" s="15"/>
      <c r="U167" s="15"/>
      <c r="V167" s="15"/>
      <c r="W167" s="15"/>
    </row>
    <row r="168" spans="1:23" ht="24" hidden="1" customHeight="1">
      <c r="A168" s="42">
        <v>164</v>
      </c>
      <c r="B168" s="41"/>
      <c r="C168" s="41"/>
      <c r="D168" s="41"/>
      <c r="E168" s="41"/>
      <c r="F168" s="15"/>
      <c r="G168" s="15"/>
      <c r="H168" s="15"/>
      <c r="I168" s="15"/>
      <c r="J168" s="15"/>
      <c r="K168" s="15"/>
      <c r="L168" s="15"/>
      <c r="M168" s="15"/>
      <c r="N168" s="15"/>
      <c r="O168" s="15"/>
      <c r="P168" s="15"/>
      <c r="Q168" s="15"/>
      <c r="R168" s="15"/>
      <c r="S168" s="15"/>
      <c r="T168" s="15"/>
      <c r="U168" s="15"/>
      <c r="V168" s="15"/>
      <c r="W168" s="15"/>
    </row>
    <row r="169" spans="1:23" ht="24" hidden="1" customHeight="1">
      <c r="A169" s="42">
        <v>165</v>
      </c>
      <c r="B169" s="41"/>
      <c r="C169" s="41"/>
      <c r="D169" s="41"/>
      <c r="E169" s="41"/>
      <c r="F169" s="15"/>
      <c r="G169" s="15"/>
      <c r="H169" s="15"/>
      <c r="I169" s="15"/>
      <c r="J169" s="15"/>
      <c r="K169" s="15"/>
      <c r="L169" s="15"/>
      <c r="M169" s="15"/>
      <c r="N169" s="15"/>
      <c r="O169" s="15"/>
      <c r="P169" s="15"/>
      <c r="Q169" s="15"/>
      <c r="R169" s="15"/>
      <c r="S169" s="15"/>
      <c r="T169" s="15"/>
      <c r="U169" s="15"/>
      <c r="V169" s="15"/>
      <c r="W169" s="15"/>
    </row>
    <row r="170" spans="1:23" ht="24" hidden="1" customHeight="1">
      <c r="A170" s="42">
        <v>166</v>
      </c>
      <c r="B170" s="41"/>
      <c r="C170" s="41"/>
      <c r="D170" s="41"/>
      <c r="E170" s="41"/>
      <c r="F170" s="15"/>
      <c r="G170" s="15"/>
      <c r="H170" s="15"/>
      <c r="I170" s="15"/>
      <c r="J170" s="15"/>
      <c r="K170" s="15"/>
      <c r="L170" s="15"/>
      <c r="M170" s="15"/>
      <c r="N170" s="15"/>
      <c r="O170" s="15"/>
      <c r="P170" s="15"/>
      <c r="Q170" s="15"/>
      <c r="R170" s="15"/>
      <c r="S170" s="15"/>
      <c r="T170" s="15"/>
      <c r="U170" s="15"/>
      <c r="V170" s="15"/>
      <c r="W170" s="15"/>
    </row>
    <row r="171" spans="1:23" ht="24" hidden="1" customHeight="1">
      <c r="A171" s="42">
        <v>167</v>
      </c>
      <c r="B171" s="41"/>
      <c r="C171" s="41"/>
      <c r="D171" s="41"/>
      <c r="E171" s="41"/>
      <c r="F171" s="15"/>
      <c r="G171" s="15"/>
      <c r="H171" s="15"/>
      <c r="I171" s="15"/>
      <c r="J171" s="15"/>
      <c r="K171" s="15"/>
      <c r="L171" s="15"/>
      <c r="M171" s="15"/>
      <c r="N171" s="15"/>
      <c r="O171" s="15"/>
      <c r="P171" s="15"/>
      <c r="Q171" s="15"/>
      <c r="R171" s="15"/>
      <c r="S171" s="15"/>
      <c r="T171" s="15"/>
      <c r="U171" s="15"/>
      <c r="V171" s="15"/>
      <c r="W171" s="15"/>
    </row>
    <row r="172" spans="1:23" ht="24" hidden="1" customHeight="1">
      <c r="A172" s="42">
        <v>168</v>
      </c>
      <c r="B172" s="41"/>
      <c r="C172" s="41"/>
      <c r="D172" s="41"/>
      <c r="E172" s="41"/>
      <c r="F172" s="15"/>
      <c r="G172" s="15"/>
      <c r="H172" s="15"/>
      <c r="I172" s="15"/>
      <c r="J172" s="15"/>
      <c r="K172" s="15"/>
      <c r="L172" s="15"/>
      <c r="M172" s="15"/>
      <c r="N172" s="15"/>
      <c r="O172" s="15"/>
      <c r="P172" s="15"/>
      <c r="Q172" s="15"/>
      <c r="R172" s="15"/>
      <c r="S172" s="15"/>
      <c r="T172" s="15"/>
      <c r="U172" s="15"/>
      <c r="V172" s="15"/>
      <c r="W172" s="15"/>
    </row>
    <row r="173" spans="1:23" ht="24" hidden="1" customHeight="1">
      <c r="A173" s="42">
        <v>169</v>
      </c>
      <c r="B173" s="41"/>
      <c r="C173" s="41"/>
      <c r="D173" s="41"/>
      <c r="E173" s="41"/>
      <c r="F173" s="15"/>
      <c r="G173" s="15"/>
      <c r="H173" s="15"/>
      <c r="I173" s="15"/>
      <c r="J173" s="15"/>
      <c r="K173" s="15"/>
      <c r="L173" s="15"/>
      <c r="M173" s="15"/>
      <c r="N173" s="15"/>
      <c r="O173" s="15"/>
      <c r="P173" s="15"/>
      <c r="Q173" s="15"/>
      <c r="R173" s="15"/>
      <c r="S173" s="15"/>
      <c r="T173" s="15"/>
      <c r="U173" s="15"/>
      <c r="V173" s="15"/>
      <c r="W173" s="15"/>
    </row>
    <row r="174" spans="1:23" ht="24" hidden="1" customHeight="1">
      <c r="A174" s="42">
        <v>170</v>
      </c>
      <c r="B174" s="41"/>
      <c r="C174" s="41"/>
      <c r="D174" s="41"/>
      <c r="E174" s="41"/>
      <c r="F174" s="15"/>
      <c r="G174" s="15"/>
      <c r="H174" s="15"/>
      <c r="I174" s="15"/>
      <c r="J174" s="15"/>
      <c r="K174" s="15"/>
      <c r="L174" s="15"/>
      <c r="M174" s="15"/>
      <c r="N174" s="15"/>
      <c r="O174" s="15"/>
      <c r="P174" s="15"/>
      <c r="Q174" s="15"/>
      <c r="R174" s="15"/>
      <c r="S174" s="15"/>
      <c r="T174" s="15"/>
      <c r="U174" s="15"/>
      <c r="V174" s="15"/>
      <c r="W174" s="15"/>
    </row>
    <row r="175" spans="1:23" ht="24" hidden="1" customHeight="1">
      <c r="A175" s="42">
        <v>171</v>
      </c>
      <c r="B175" s="41"/>
      <c r="C175" s="41"/>
      <c r="D175" s="41"/>
      <c r="E175" s="41"/>
      <c r="F175" s="15"/>
      <c r="G175" s="15"/>
      <c r="H175" s="15"/>
      <c r="I175" s="15"/>
      <c r="J175" s="15"/>
      <c r="K175" s="15"/>
      <c r="L175" s="15"/>
      <c r="M175" s="15"/>
      <c r="N175" s="15"/>
      <c r="O175" s="15"/>
      <c r="P175" s="15"/>
      <c r="Q175" s="15"/>
      <c r="R175" s="15"/>
      <c r="S175" s="15"/>
      <c r="T175" s="15"/>
      <c r="U175" s="15"/>
      <c r="V175" s="15"/>
      <c r="W175" s="15"/>
    </row>
    <row r="176" spans="1:23" ht="24" hidden="1" customHeight="1">
      <c r="A176" s="42">
        <v>172</v>
      </c>
      <c r="B176" s="41"/>
      <c r="C176" s="41"/>
      <c r="D176" s="41"/>
      <c r="E176" s="41"/>
      <c r="F176" s="15"/>
      <c r="G176" s="15"/>
      <c r="H176" s="15"/>
      <c r="I176" s="15"/>
      <c r="J176" s="15"/>
      <c r="K176" s="15"/>
      <c r="L176" s="15"/>
      <c r="M176" s="15"/>
      <c r="N176" s="15"/>
      <c r="O176" s="15"/>
      <c r="P176" s="15"/>
      <c r="Q176" s="15"/>
      <c r="R176" s="15"/>
      <c r="S176" s="15"/>
      <c r="T176" s="15"/>
      <c r="U176" s="15"/>
      <c r="V176" s="15"/>
      <c r="W176" s="15"/>
    </row>
    <row r="177" spans="1:23" ht="24" hidden="1" customHeight="1">
      <c r="A177" s="42">
        <v>173</v>
      </c>
      <c r="B177" s="41"/>
      <c r="C177" s="41"/>
      <c r="D177" s="41"/>
      <c r="E177" s="41"/>
      <c r="F177" s="15"/>
      <c r="G177" s="15"/>
      <c r="H177" s="15"/>
      <c r="I177" s="15"/>
      <c r="J177" s="15"/>
      <c r="K177" s="15"/>
      <c r="L177" s="15"/>
      <c r="M177" s="15"/>
      <c r="N177" s="15"/>
      <c r="O177" s="15"/>
      <c r="P177" s="15"/>
      <c r="Q177" s="15"/>
      <c r="R177" s="15"/>
      <c r="S177" s="15"/>
      <c r="T177" s="15"/>
      <c r="U177" s="15"/>
      <c r="V177" s="15"/>
      <c r="W177" s="15"/>
    </row>
    <row r="178" spans="1:23" ht="24" hidden="1" customHeight="1">
      <c r="A178" s="42">
        <v>174</v>
      </c>
      <c r="B178" s="41"/>
      <c r="C178" s="41"/>
      <c r="D178" s="41"/>
      <c r="E178" s="41"/>
      <c r="F178" s="15"/>
      <c r="G178" s="15"/>
      <c r="H178" s="15"/>
      <c r="I178" s="15"/>
      <c r="J178" s="15"/>
      <c r="K178" s="15"/>
      <c r="L178" s="15"/>
      <c r="M178" s="15"/>
      <c r="N178" s="15"/>
      <c r="O178" s="15"/>
      <c r="P178" s="15"/>
      <c r="Q178" s="15"/>
      <c r="R178" s="15"/>
      <c r="S178" s="15"/>
      <c r="T178" s="15"/>
      <c r="U178" s="15"/>
      <c r="V178" s="15"/>
      <c r="W178" s="15"/>
    </row>
    <row r="179" spans="1:23" ht="24" hidden="1" customHeight="1">
      <c r="A179" s="42">
        <v>175</v>
      </c>
      <c r="B179" s="41"/>
      <c r="C179" s="41"/>
      <c r="D179" s="41"/>
      <c r="E179" s="41"/>
      <c r="F179" s="15"/>
      <c r="G179" s="15"/>
      <c r="H179" s="15"/>
      <c r="I179" s="15"/>
      <c r="J179" s="15"/>
      <c r="K179" s="15"/>
      <c r="L179" s="15"/>
      <c r="M179" s="15"/>
      <c r="N179" s="15"/>
      <c r="O179" s="15"/>
      <c r="P179" s="15"/>
      <c r="Q179" s="15"/>
      <c r="R179" s="15"/>
      <c r="S179" s="15"/>
      <c r="T179" s="15"/>
      <c r="U179" s="15"/>
      <c r="V179" s="15"/>
      <c r="W179" s="15"/>
    </row>
    <row r="180" spans="1:23" ht="24" hidden="1" customHeight="1">
      <c r="A180" s="42">
        <v>176</v>
      </c>
      <c r="B180" s="41"/>
      <c r="C180" s="41"/>
      <c r="D180" s="41"/>
      <c r="E180" s="41"/>
      <c r="F180" s="15"/>
      <c r="G180" s="15"/>
      <c r="H180" s="15"/>
      <c r="I180" s="15"/>
      <c r="J180" s="15"/>
      <c r="K180" s="15"/>
      <c r="L180" s="15"/>
      <c r="M180" s="15"/>
      <c r="N180" s="15"/>
      <c r="O180" s="15"/>
      <c r="P180" s="15"/>
      <c r="Q180" s="15"/>
      <c r="R180" s="15"/>
      <c r="S180" s="15"/>
      <c r="T180" s="15"/>
      <c r="U180" s="15"/>
      <c r="V180" s="15"/>
      <c r="W180" s="15"/>
    </row>
    <row r="181" spans="1:23" ht="24" hidden="1" customHeight="1">
      <c r="A181" s="42">
        <v>177</v>
      </c>
      <c r="B181" s="41"/>
      <c r="C181" s="41"/>
      <c r="D181" s="41"/>
      <c r="E181" s="41"/>
      <c r="F181" s="15"/>
      <c r="G181" s="15"/>
      <c r="H181" s="15"/>
      <c r="I181" s="15"/>
      <c r="J181" s="15"/>
      <c r="K181" s="15"/>
      <c r="L181" s="15"/>
      <c r="M181" s="15"/>
      <c r="N181" s="15"/>
      <c r="O181" s="15"/>
      <c r="P181" s="15"/>
      <c r="Q181" s="15"/>
      <c r="R181" s="15"/>
      <c r="S181" s="15"/>
      <c r="T181" s="15"/>
      <c r="U181" s="15"/>
      <c r="V181" s="15"/>
      <c r="W181" s="15"/>
    </row>
    <row r="182" spans="1:23" ht="24" hidden="1" customHeight="1">
      <c r="A182" s="42">
        <v>178</v>
      </c>
      <c r="B182" s="41"/>
      <c r="C182" s="41"/>
      <c r="D182" s="41"/>
      <c r="E182" s="41"/>
      <c r="F182" s="15"/>
      <c r="G182" s="15"/>
      <c r="H182" s="15"/>
      <c r="I182" s="15"/>
      <c r="J182" s="15"/>
      <c r="K182" s="15"/>
      <c r="L182" s="15"/>
      <c r="M182" s="15"/>
      <c r="N182" s="15"/>
      <c r="O182" s="15"/>
      <c r="P182" s="15"/>
      <c r="Q182" s="15"/>
      <c r="R182" s="15"/>
      <c r="S182" s="15"/>
      <c r="T182" s="15"/>
      <c r="U182" s="15"/>
      <c r="V182" s="15"/>
      <c r="W182" s="15"/>
    </row>
    <row r="183" spans="1:23" ht="24" hidden="1" customHeight="1">
      <c r="A183" s="42">
        <v>179</v>
      </c>
      <c r="B183" s="41"/>
      <c r="C183" s="41"/>
      <c r="D183" s="41"/>
      <c r="E183" s="41"/>
      <c r="F183" s="15"/>
      <c r="G183" s="15"/>
      <c r="H183" s="15"/>
      <c r="I183" s="15"/>
      <c r="J183" s="15"/>
      <c r="K183" s="15"/>
      <c r="L183" s="15"/>
      <c r="M183" s="15"/>
      <c r="N183" s="15"/>
      <c r="O183" s="15"/>
      <c r="P183" s="15"/>
      <c r="Q183" s="15"/>
      <c r="R183" s="15"/>
      <c r="S183" s="15"/>
      <c r="T183" s="15"/>
      <c r="U183" s="15"/>
      <c r="V183" s="15"/>
      <c r="W183" s="15"/>
    </row>
    <row r="184" spans="1:23" ht="24" hidden="1" customHeight="1">
      <c r="A184" s="42">
        <v>180</v>
      </c>
      <c r="B184" s="41"/>
      <c r="C184" s="41"/>
      <c r="D184" s="41"/>
      <c r="E184" s="41"/>
      <c r="F184" s="15"/>
      <c r="G184" s="15"/>
      <c r="H184" s="15"/>
      <c r="I184" s="15"/>
      <c r="J184" s="15"/>
      <c r="K184" s="15"/>
      <c r="L184" s="15"/>
      <c r="M184" s="15"/>
      <c r="N184" s="15"/>
      <c r="O184" s="15"/>
      <c r="P184" s="15"/>
      <c r="Q184" s="15"/>
      <c r="R184" s="15"/>
      <c r="S184" s="15"/>
      <c r="T184" s="15"/>
      <c r="U184" s="15"/>
      <c r="V184" s="15"/>
      <c r="W184" s="15"/>
    </row>
    <row r="185" spans="1:23" ht="24" hidden="1" customHeight="1">
      <c r="A185" s="42">
        <v>181</v>
      </c>
      <c r="B185" s="41"/>
      <c r="C185" s="41"/>
      <c r="D185" s="41"/>
      <c r="E185" s="41"/>
      <c r="F185" s="15"/>
      <c r="G185" s="15"/>
      <c r="H185" s="15"/>
      <c r="I185" s="15"/>
      <c r="J185" s="15"/>
      <c r="K185" s="15"/>
      <c r="L185" s="15"/>
      <c r="M185" s="15"/>
      <c r="N185" s="15"/>
      <c r="O185" s="15"/>
      <c r="P185" s="15"/>
      <c r="Q185" s="15"/>
      <c r="R185" s="15"/>
      <c r="S185" s="15"/>
      <c r="T185" s="15"/>
      <c r="U185" s="15"/>
      <c r="V185" s="15"/>
      <c r="W185" s="15"/>
    </row>
    <row r="186" spans="1:23" ht="24" hidden="1" customHeight="1">
      <c r="A186" s="42">
        <v>182</v>
      </c>
      <c r="B186" s="41"/>
      <c r="C186" s="41"/>
      <c r="D186" s="41"/>
      <c r="E186" s="41"/>
      <c r="F186" s="15"/>
      <c r="G186" s="15"/>
      <c r="H186" s="15"/>
      <c r="I186" s="15"/>
      <c r="J186" s="15"/>
      <c r="K186" s="15"/>
      <c r="L186" s="15"/>
      <c r="M186" s="15"/>
      <c r="N186" s="15"/>
      <c r="O186" s="15"/>
      <c r="P186" s="15"/>
      <c r="Q186" s="15"/>
      <c r="R186" s="15"/>
      <c r="S186" s="15"/>
      <c r="T186" s="15"/>
      <c r="U186" s="15"/>
      <c r="V186" s="15"/>
      <c r="W186" s="15"/>
    </row>
    <row r="187" spans="1:23" ht="24" hidden="1" customHeight="1">
      <c r="A187" s="42">
        <v>183</v>
      </c>
      <c r="B187" s="41"/>
      <c r="C187" s="41"/>
      <c r="D187" s="41"/>
      <c r="E187" s="41"/>
      <c r="F187" s="15"/>
      <c r="G187" s="15"/>
      <c r="H187" s="15"/>
      <c r="I187" s="15"/>
      <c r="J187" s="15"/>
      <c r="K187" s="15"/>
      <c r="L187" s="15"/>
      <c r="M187" s="15"/>
      <c r="N187" s="15"/>
      <c r="O187" s="15"/>
      <c r="P187" s="15"/>
      <c r="Q187" s="15"/>
      <c r="R187" s="15"/>
      <c r="S187" s="15"/>
      <c r="T187" s="15"/>
      <c r="U187" s="15"/>
      <c r="V187" s="15"/>
      <c r="W187" s="15"/>
    </row>
    <row r="188" spans="1:23" ht="24" hidden="1" customHeight="1">
      <c r="A188" s="42">
        <v>184</v>
      </c>
      <c r="B188" s="41"/>
      <c r="C188" s="41"/>
      <c r="D188" s="41"/>
      <c r="E188" s="41"/>
      <c r="F188" s="15"/>
      <c r="G188" s="15"/>
      <c r="H188" s="15"/>
      <c r="I188" s="15"/>
      <c r="J188" s="15"/>
      <c r="K188" s="15"/>
      <c r="L188" s="15"/>
      <c r="M188" s="15"/>
      <c r="N188" s="15"/>
      <c r="O188" s="15"/>
      <c r="P188" s="15"/>
      <c r="Q188" s="15"/>
      <c r="R188" s="15"/>
      <c r="S188" s="15"/>
      <c r="T188" s="15"/>
      <c r="U188" s="15"/>
      <c r="V188" s="15"/>
      <c r="W188" s="15"/>
    </row>
    <row r="189" spans="1:23" ht="24" hidden="1" customHeight="1">
      <c r="A189" s="42">
        <v>185</v>
      </c>
      <c r="B189" s="41"/>
      <c r="C189" s="41"/>
      <c r="D189" s="41"/>
      <c r="E189" s="41"/>
      <c r="F189" s="15"/>
      <c r="G189" s="15"/>
      <c r="H189" s="15"/>
      <c r="I189" s="15"/>
      <c r="J189" s="15"/>
      <c r="K189" s="15"/>
      <c r="L189" s="15"/>
      <c r="M189" s="15"/>
      <c r="N189" s="15"/>
      <c r="O189" s="15"/>
      <c r="P189" s="15"/>
      <c r="Q189" s="15"/>
      <c r="R189" s="15"/>
      <c r="S189" s="15"/>
      <c r="T189" s="15"/>
      <c r="U189" s="15"/>
      <c r="V189" s="15"/>
      <c r="W189" s="15"/>
    </row>
    <row r="190" spans="1:23" ht="24" hidden="1" customHeight="1">
      <c r="A190" s="42">
        <v>186</v>
      </c>
      <c r="B190" s="41"/>
      <c r="C190" s="41"/>
      <c r="D190" s="41"/>
      <c r="E190" s="41"/>
      <c r="F190" s="15"/>
      <c r="G190" s="15"/>
      <c r="H190" s="15"/>
      <c r="I190" s="15"/>
      <c r="J190" s="15"/>
      <c r="K190" s="15"/>
      <c r="L190" s="15"/>
      <c r="M190" s="15"/>
      <c r="N190" s="15"/>
      <c r="O190" s="15"/>
      <c r="P190" s="15"/>
      <c r="Q190" s="15"/>
      <c r="R190" s="15"/>
      <c r="S190" s="15"/>
      <c r="T190" s="15"/>
      <c r="U190" s="15"/>
      <c r="V190" s="15"/>
      <c r="W190" s="15"/>
    </row>
    <row r="191" spans="1:23" ht="24" hidden="1" customHeight="1">
      <c r="A191" s="42">
        <v>187</v>
      </c>
      <c r="B191" s="41"/>
      <c r="C191" s="41"/>
      <c r="D191" s="41"/>
      <c r="E191" s="41"/>
      <c r="F191" s="15"/>
      <c r="G191" s="15"/>
      <c r="H191" s="15"/>
      <c r="I191" s="15"/>
      <c r="J191" s="15"/>
      <c r="K191" s="15"/>
      <c r="L191" s="15"/>
      <c r="M191" s="15"/>
      <c r="N191" s="15"/>
      <c r="O191" s="15"/>
      <c r="P191" s="15"/>
      <c r="Q191" s="15"/>
      <c r="R191" s="15"/>
      <c r="S191" s="15"/>
      <c r="T191" s="15"/>
      <c r="U191" s="15"/>
      <c r="V191" s="15"/>
      <c r="W191" s="15"/>
    </row>
    <row r="192" spans="1:23" ht="24" hidden="1" customHeight="1">
      <c r="A192" s="42">
        <v>188</v>
      </c>
      <c r="B192" s="41"/>
      <c r="C192" s="41"/>
      <c r="D192" s="41"/>
      <c r="E192" s="41"/>
      <c r="F192" s="15"/>
      <c r="G192" s="15"/>
      <c r="H192" s="15"/>
      <c r="I192" s="15"/>
      <c r="J192" s="15"/>
      <c r="K192" s="15"/>
      <c r="L192" s="15"/>
      <c r="M192" s="15"/>
      <c r="N192" s="15"/>
      <c r="O192" s="15"/>
      <c r="P192" s="15"/>
      <c r="Q192" s="15"/>
      <c r="R192" s="15"/>
      <c r="S192" s="15"/>
      <c r="T192" s="15"/>
      <c r="U192" s="15"/>
      <c r="V192" s="15"/>
      <c r="W192" s="15"/>
    </row>
    <row r="193" spans="1:23" ht="24" hidden="1" customHeight="1">
      <c r="A193" s="42">
        <v>189</v>
      </c>
      <c r="B193" s="41"/>
      <c r="C193" s="41"/>
      <c r="D193" s="41"/>
      <c r="E193" s="41"/>
      <c r="F193" s="15"/>
      <c r="G193" s="15"/>
      <c r="H193" s="15"/>
      <c r="I193" s="15"/>
      <c r="J193" s="15"/>
      <c r="K193" s="15"/>
      <c r="L193" s="15"/>
      <c r="M193" s="15"/>
      <c r="N193" s="15"/>
      <c r="O193" s="15"/>
      <c r="P193" s="15"/>
      <c r="Q193" s="15"/>
      <c r="R193" s="15"/>
      <c r="S193" s="15"/>
      <c r="T193" s="15"/>
      <c r="U193" s="15"/>
      <c r="V193" s="15"/>
      <c r="W193" s="15"/>
    </row>
    <row r="194" spans="1:23" ht="24" hidden="1" customHeight="1">
      <c r="A194" s="42">
        <v>190</v>
      </c>
      <c r="B194" s="41"/>
      <c r="C194" s="41"/>
      <c r="D194" s="41"/>
      <c r="E194" s="41"/>
      <c r="F194" s="15"/>
      <c r="G194" s="15"/>
      <c r="H194" s="15"/>
      <c r="I194" s="15"/>
      <c r="J194" s="15"/>
      <c r="K194" s="15"/>
      <c r="L194" s="15"/>
      <c r="M194" s="15"/>
      <c r="N194" s="15"/>
      <c r="O194" s="15"/>
      <c r="P194" s="15"/>
      <c r="Q194" s="15"/>
      <c r="R194" s="15"/>
      <c r="S194" s="15"/>
      <c r="T194" s="15"/>
      <c r="U194" s="15"/>
      <c r="V194" s="15"/>
      <c r="W194" s="15"/>
    </row>
    <row r="195" spans="1:23" ht="24" hidden="1" customHeight="1">
      <c r="A195" s="42">
        <v>191</v>
      </c>
      <c r="B195" s="41"/>
      <c r="C195" s="41"/>
      <c r="D195" s="41"/>
      <c r="E195" s="41"/>
      <c r="F195" s="15"/>
      <c r="G195" s="15"/>
      <c r="H195" s="15"/>
      <c r="I195" s="15"/>
      <c r="J195" s="15"/>
      <c r="K195" s="15"/>
      <c r="L195" s="15"/>
      <c r="M195" s="15"/>
      <c r="N195" s="15"/>
      <c r="O195" s="15"/>
      <c r="P195" s="15"/>
      <c r="Q195" s="15"/>
      <c r="R195" s="15"/>
      <c r="S195" s="15"/>
      <c r="T195" s="15"/>
      <c r="U195" s="15"/>
      <c r="V195" s="15"/>
      <c r="W195" s="15"/>
    </row>
    <row r="196" spans="1:23" ht="24" hidden="1" customHeight="1">
      <c r="A196" s="42">
        <v>192</v>
      </c>
      <c r="B196" s="41"/>
      <c r="C196" s="41"/>
      <c r="D196" s="41"/>
      <c r="E196" s="41"/>
      <c r="F196" s="15"/>
      <c r="G196" s="15"/>
      <c r="H196" s="15"/>
      <c r="I196" s="15"/>
      <c r="J196" s="15"/>
      <c r="K196" s="15"/>
      <c r="L196" s="15"/>
      <c r="M196" s="15"/>
      <c r="N196" s="15"/>
      <c r="O196" s="15"/>
      <c r="P196" s="15"/>
      <c r="Q196" s="15"/>
      <c r="R196" s="15"/>
      <c r="S196" s="15"/>
      <c r="T196" s="15"/>
      <c r="U196" s="15"/>
      <c r="V196" s="15"/>
      <c r="W196" s="15"/>
    </row>
    <row r="197" spans="1:23" ht="24" hidden="1" customHeight="1">
      <c r="A197" s="42">
        <v>193</v>
      </c>
      <c r="B197" s="41"/>
      <c r="C197" s="41"/>
      <c r="D197" s="41"/>
      <c r="E197" s="41"/>
      <c r="F197" s="15"/>
      <c r="G197" s="15"/>
      <c r="H197" s="15"/>
      <c r="I197" s="15"/>
      <c r="J197" s="15"/>
      <c r="K197" s="15"/>
      <c r="L197" s="15"/>
      <c r="M197" s="15"/>
      <c r="N197" s="15"/>
      <c r="O197" s="15"/>
      <c r="P197" s="15"/>
      <c r="Q197" s="15"/>
      <c r="R197" s="15"/>
      <c r="S197" s="15"/>
      <c r="T197" s="15"/>
      <c r="U197" s="15"/>
      <c r="V197" s="15"/>
      <c r="W197" s="15"/>
    </row>
    <row r="198" spans="1:23" ht="24" hidden="1" customHeight="1">
      <c r="A198" s="42">
        <v>194</v>
      </c>
      <c r="B198" s="41"/>
      <c r="C198" s="41"/>
      <c r="D198" s="41"/>
      <c r="E198" s="41"/>
      <c r="F198" s="15"/>
      <c r="G198" s="15"/>
      <c r="H198" s="15"/>
      <c r="I198" s="15"/>
      <c r="J198" s="15"/>
      <c r="K198" s="15"/>
      <c r="L198" s="15"/>
      <c r="M198" s="15"/>
      <c r="N198" s="15"/>
      <c r="O198" s="15"/>
      <c r="P198" s="15"/>
      <c r="Q198" s="15"/>
      <c r="R198" s="15"/>
      <c r="S198" s="15"/>
      <c r="T198" s="15"/>
      <c r="U198" s="15"/>
      <c r="V198" s="15"/>
      <c r="W198" s="15"/>
    </row>
    <row r="199" spans="1:23" ht="24" hidden="1" customHeight="1">
      <c r="A199" s="42">
        <v>195</v>
      </c>
      <c r="B199" s="41"/>
      <c r="C199" s="41"/>
      <c r="D199" s="41"/>
      <c r="E199" s="41"/>
      <c r="F199" s="15"/>
      <c r="G199" s="15"/>
      <c r="H199" s="15"/>
      <c r="I199" s="15"/>
      <c r="J199" s="15"/>
      <c r="K199" s="15"/>
      <c r="L199" s="15"/>
      <c r="M199" s="15"/>
      <c r="N199" s="15"/>
      <c r="O199" s="15"/>
      <c r="P199" s="15"/>
      <c r="Q199" s="15"/>
      <c r="R199" s="15"/>
      <c r="S199" s="15"/>
      <c r="T199" s="15"/>
      <c r="U199" s="15"/>
      <c r="V199" s="15"/>
      <c r="W199" s="15"/>
    </row>
    <row r="200" spans="1:23" ht="24" hidden="1" customHeight="1">
      <c r="A200" s="42">
        <v>196</v>
      </c>
      <c r="B200" s="41"/>
      <c r="C200" s="41"/>
      <c r="D200" s="41"/>
      <c r="E200" s="41"/>
      <c r="F200" s="15"/>
      <c r="G200" s="15"/>
      <c r="H200" s="15"/>
      <c r="I200" s="15"/>
      <c r="J200" s="15"/>
      <c r="K200" s="15"/>
      <c r="L200" s="15"/>
      <c r="M200" s="15"/>
      <c r="N200" s="15"/>
      <c r="O200" s="15"/>
      <c r="P200" s="15"/>
      <c r="Q200" s="15"/>
      <c r="R200" s="15"/>
      <c r="S200" s="15"/>
      <c r="T200" s="15"/>
      <c r="U200" s="15"/>
      <c r="V200" s="15"/>
      <c r="W200" s="15"/>
    </row>
    <row r="201" spans="1:23" ht="24" hidden="1" customHeight="1">
      <c r="A201" s="42">
        <v>197</v>
      </c>
      <c r="B201" s="41"/>
      <c r="C201" s="41"/>
      <c r="D201" s="41"/>
      <c r="E201" s="41"/>
      <c r="F201" s="15"/>
      <c r="G201" s="15"/>
      <c r="H201" s="15"/>
      <c r="I201" s="15"/>
      <c r="J201" s="15"/>
      <c r="K201" s="15"/>
      <c r="L201" s="15"/>
      <c r="M201" s="15"/>
      <c r="N201" s="15"/>
      <c r="O201" s="15"/>
      <c r="P201" s="15"/>
      <c r="Q201" s="15"/>
      <c r="R201" s="15"/>
      <c r="S201" s="15"/>
      <c r="T201" s="15"/>
      <c r="U201" s="15"/>
      <c r="V201" s="15"/>
      <c r="W201" s="15"/>
    </row>
    <row r="202" spans="1:23" ht="24" hidden="1" customHeight="1">
      <c r="A202" s="42">
        <v>198</v>
      </c>
      <c r="B202" s="41"/>
      <c r="C202" s="41"/>
      <c r="D202" s="41"/>
      <c r="E202" s="41"/>
      <c r="F202" s="15"/>
      <c r="G202" s="15"/>
      <c r="H202" s="15"/>
      <c r="I202" s="15"/>
      <c r="J202" s="15"/>
      <c r="K202" s="15"/>
      <c r="L202" s="15"/>
      <c r="M202" s="15"/>
      <c r="N202" s="15"/>
      <c r="O202" s="15"/>
      <c r="P202" s="15"/>
      <c r="Q202" s="15"/>
      <c r="R202" s="15"/>
      <c r="S202" s="15"/>
      <c r="T202" s="15"/>
      <c r="U202" s="15"/>
      <c r="V202" s="15"/>
      <c r="W202" s="15"/>
    </row>
    <row r="203" spans="1:23" ht="24" hidden="1" customHeight="1">
      <c r="A203" s="42">
        <v>199</v>
      </c>
      <c r="B203" s="41"/>
      <c r="C203" s="41"/>
      <c r="D203" s="41"/>
      <c r="E203" s="41"/>
      <c r="F203" s="15"/>
      <c r="G203" s="15"/>
      <c r="H203" s="15"/>
      <c r="I203" s="15"/>
      <c r="J203" s="15"/>
      <c r="K203" s="15"/>
      <c r="L203" s="15"/>
      <c r="M203" s="15"/>
      <c r="N203" s="15"/>
      <c r="O203" s="15"/>
      <c r="P203" s="15"/>
      <c r="Q203" s="15"/>
      <c r="R203" s="15"/>
      <c r="S203" s="15"/>
      <c r="T203" s="15"/>
      <c r="U203" s="15"/>
      <c r="V203" s="15"/>
      <c r="W203" s="15"/>
    </row>
    <row r="204" spans="1:23" ht="24" hidden="1" customHeight="1">
      <c r="A204" s="42">
        <v>200</v>
      </c>
      <c r="B204" s="41"/>
      <c r="C204" s="41"/>
      <c r="D204" s="41"/>
      <c r="E204" s="41"/>
      <c r="F204" s="15"/>
      <c r="G204" s="15"/>
      <c r="H204" s="15"/>
      <c r="I204" s="15"/>
      <c r="J204" s="15"/>
      <c r="K204" s="15"/>
      <c r="L204" s="15"/>
      <c r="M204" s="15"/>
      <c r="N204" s="15"/>
      <c r="O204" s="15"/>
      <c r="P204" s="15"/>
      <c r="Q204" s="15"/>
      <c r="R204" s="15"/>
      <c r="S204" s="15"/>
      <c r="T204" s="15"/>
      <c r="U204" s="15"/>
      <c r="V204" s="15"/>
      <c r="W204" s="15"/>
    </row>
    <row r="205" spans="1:23" ht="24" hidden="1" customHeight="1">
      <c r="A205" s="42">
        <v>201</v>
      </c>
      <c r="B205" s="41"/>
      <c r="C205" s="41"/>
      <c r="D205" s="41"/>
      <c r="E205" s="41"/>
      <c r="F205" s="15"/>
      <c r="G205" s="15"/>
      <c r="H205" s="15"/>
      <c r="I205" s="15"/>
      <c r="J205" s="15"/>
      <c r="K205" s="15"/>
      <c r="L205" s="15"/>
      <c r="M205" s="15"/>
      <c r="N205" s="15"/>
      <c r="O205" s="15"/>
      <c r="P205" s="15"/>
      <c r="Q205" s="15"/>
      <c r="R205" s="15"/>
      <c r="S205" s="15"/>
      <c r="T205" s="15"/>
      <c r="U205" s="15"/>
      <c r="V205" s="15"/>
      <c r="W205" s="15"/>
    </row>
    <row r="206" spans="1:23" ht="24" hidden="1" customHeight="1">
      <c r="A206" s="42">
        <v>202</v>
      </c>
      <c r="B206" s="41"/>
      <c r="C206" s="41"/>
      <c r="D206" s="41"/>
      <c r="E206" s="41"/>
      <c r="F206" s="15"/>
      <c r="G206" s="15"/>
      <c r="H206" s="15"/>
      <c r="I206" s="15"/>
      <c r="J206" s="15"/>
      <c r="K206" s="15"/>
      <c r="L206" s="15"/>
      <c r="M206" s="15"/>
      <c r="N206" s="15"/>
      <c r="O206" s="15"/>
      <c r="P206" s="15"/>
      <c r="Q206" s="15"/>
      <c r="R206" s="15"/>
      <c r="S206" s="15"/>
      <c r="T206" s="15"/>
      <c r="U206" s="15"/>
      <c r="V206" s="15"/>
      <c r="W206" s="15"/>
    </row>
    <row r="207" spans="1:23" ht="24" hidden="1" customHeight="1">
      <c r="A207" s="42">
        <v>203</v>
      </c>
      <c r="B207" s="41"/>
      <c r="C207" s="41"/>
      <c r="D207" s="41"/>
      <c r="E207" s="41"/>
      <c r="F207" s="15"/>
      <c r="G207" s="15"/>
      <c r="H207" s="15"/>
      <c r="I207" s="15"/>
      <c r="J207" s="15"/>
      <c r="K207" s="15"/>
      <c r="L207" s="15"/>
      <c r="M207" s="15"/>
      <c r="N207" s="15"/>
      <c r="O207" s="15"/>
      <c r="P207" s="15"/>
      <c r="Q207" s="15"/>
      <c r="R207" s="15"/>
      <c r="S207" s="15"/>
      <c r="T207" s="15"/>
      <c r="U207" s="15"/>
      <c r="V207" s="15"/>
      <c r="W207" s="15"/>
    </row>
    <row r="208" spans="1:23" ht="24" hidden="1" customHeight="1">
      <c r="A208" s="42">
        <v>204</v>
      </c>
      <c r="B208" s="41"/>
      <c r="C208" s="41"/>
      <c r="D208" s="41"/>
      <c r="E208" s="41"/>
      <c r="F208" s="15"/>
      <c r="G208" s="15"/>
      <c r="H208" s="15"/>
      <c r="I208" s="15"/>
      <c r="J208" s="15"/>
      <c r="K208" s="15"/>
      <c r="L208" s="15"/>
      <c r="M208" s="15"/>
      <c r="N208" s="15"/>
      <c r="O208" s="15"/>
      <c r="P208" s="15"/>
      <c r="Q208" s="15"/>
      <c r="R208" s="15"/>
      <c r="S208" s="15"/>
      <c r="T208" s="15"/>
      <c r="U208" s="15"/>
      <c r="V208" s="15"/>
      <c r="W208" s="15"/>
    </row>
    <row r="209" spans="1:23" ht="24" hidden="1" customHeight="1">
      <c r="A209" s="42">
        <v>205</v>
      </c>
      <c r="B209" s="41"/>
      <c r="C209" s="41"/>
      <c r="D209" s="41"/>
      <c r="E209" s="41"/>
      <c r="F209" s="15"/>
      <c r="G209" s="15"/>
      <c r="H209" s="15"/>
      <c r="I209" s="15"/>
      <c r="J209" s="15"/>
      <c r="K209" s="15"/>
      <c r="L209" s="15"/>
      <c r="M209" s="15"/>
      <c r="N209" s="15"/>
      <c r="O209" s="15"/>
      <c r="P209" s="15"/>
      <c r="Q209" s="15"/>
      <c r="R209" s="15"/>
      <c r="S209" s="15"/>
      <c r="T209" s="15"/>
      <c r="U209" s="15"/>
      <c r="V209" s="15"/>
      <c r="W209" s="15"/>
    </row>
    <row r="210" spans="1:23" ht="24" hidden="1" customHeight="1">
      <c r="A210" s="42">
        <v>206</v>
      </c>
      <c r="B210" s="41"/>
      <c r="C210" s="41"/>
      <c r="D210" s="41"/>
      <c r="E210" s="41"/>
      <c r="F210" s="15"/>
      <c r="G210" s="15"/>
      <c r="H210" s="15"/>
      <c r="I210" s="15"/>
      <c r="J210" s="15"/>
      <c r="K210" s="15"/>
      <c r="L210" s="15"/>
      <c r="M210" s="15"/>
      <c r="N210" s="15"/>
      <c r="O210" s="15"/>
      <c r="P210" s="15"/>
      <c r="Q210" s="15"/>
      <c r="R210" s="15"/>
      <c r="S210" s="15"/>
      <c r="T210" s="15"/>
      <c r="U210" s="15"/>
      <c r="V210" s="15"/>
      <c r="W210" s="15"/>
    </row>
    <row r="211" spans="1:23" ht="24" hidden="1" customHeight="1">
      <c r="A211" s="42">
        <v>207</v>
      </c>
      <c r="B211" s="41"/>
      <c r="C211" s="41"/>
      <c r="D211" s="41"/>
      <c r="E211" s="41"/>
      <c r="F211" s="15"/>
      <c r="G211" s="15"/>
      <c r="H211" s="15"/>
      <c r="I211" s="15"/>
      <c r="J211" s="15"/>
      <c r="K211" s="15"/>
      <c r="L211" s="15"/>
      <c r="M211" s="15"/>
      <c r="N211" s="15"/>
      <c r="O211" s="15"/>
      <c r="P211" s="15"/>
      <c r="Q211" s="15"/>
      <c r="R211" s="15"/>
      <c r="S211" s="15"/>
      <c r="T211" s="15"/>
      <c r="U211" s="15"/>
      <c r="V211" s="15"/>
      <c r="W211" s="15"/>
    </row>
    <row r="212" spans="1:23" ht="24" hidden="1" customHeight="1">
      <c r="A212" s="42">
        <v>208</v>
      </c>
      <c r="B212" s="41"/>
      <c r="C212" s="41"/>
      <c r="D212" s="41"/>
      <c r="E212" s="41"/>
      <c r="F212" s="15"/>
      <c r="G212" s="15"/>
      <c r="H212" s="15"/>
      <c r="I212" s="15"/>
      <c r="J212" s="15"/>
      <c r="K212" s="15"/>
      <c r="L212" s="15"/>
      <c r="M212" s="15"/>
      <c r="N212" s="15"/>
      <c r="O212" s="15"/>
      <c r="P212" s="15"/>
      <c r="Q212" s="15"/>
      <c r="R212" s="15"/>
      <c r="S212" s="15"/>
      <c r="T212" s="15"/>
      <c r="U212" s="15"/>
      <c r="V212" s="15"/>
      <c r="W212" s="15"/>
    </row>
    <row r="213" spans="1:23" ht="24" hidden="1" customHeight="1">
      <c r="A213" s="42">
        <v>209</v>
      </c>
      <c r="B213" s="41"/>
      <c r="C213" s="41"/>
      <c r="D213" s="41"/>
      <c r="E213" s="41"/>
      <c r="F213" s="15"/>
      <c r="G213" s="15"/>
      <c r="H213" s="15"/>
      <c r="I213" s="15"/>
      <c r="J213" s="15"/>
      <c r="K213" s="15"/>
      <c r="L213" s="15"/>
      <c r="M213" s="15"/>
      <c r="N213" s="15"/>
      <c r="O213" s="15"/>
      <c r="P213" s="15"/>
      <c r="Q213" s="15"/>
      <c r="R213" s="15"/>
      <c r="S213" s="15"/>
      <c r="T213" s="15"/>
      <c r="U213" s="15"/>
      <c r="V213" s="15"/>
      <c r="W213" s="15"/>
    </row>
    <row r="214" spans="1:23" ht="24" hidden="1" customHeight="1">
      <c r="A214" s="42">
        <v>210</v>
      </c>
      <c r="B214" s="41"/>
      <c r="C214" s="41"/>
      <c r="D214" s="41"/>
      <c r="E214" s="41"/>
      <c r="F214" s="15"/>
      <c r="G214" s="15"/>
      <c r="H214" s="15"/>
      <c r="I214" s="15"/>
      <c r="J214" s="15"/>
      <c r="K214" s="15"/>
      <c r="L214" s="15"/>
      <c r="M214" s="15"/>
      <c r="N214" s="15"/>
      <c r="O214" s="15"/>
      <c r="P214" s="15"/>
      <c r="Q214" s="15"/>
      <c r="R214" s="15"/>
      <c r="S214" s="15"/>
      <c r="T214" s="15"/>
      <c r="U214" s="15"/>
      <c r="V214" s="15"/>
      <c r="W214" s="15"/>
    </row>
    <row r="215" spans="1:23" ht="24" hidden="1" customHeight="1">
      <c r="A215" s="42">
        <v>211</v>
      </c>
      <c r="B215" s="41"/>
      <c r="C215" s="41"/>
      <c r="D215" s="41"/>
      <c r="E215" s="41"/>
      <c r="F215" s="15"/>
      <c r="G215" s="15"/>
      <c r="H215" s="15"/>
      <c r="I215" s="15"/>
      <c r="J215" s="15"/>
      <c r="K215" s="15"/>
      <c r="L215" s="15"/>
      <c r="M215" s="15"/>
      <c r="N215" s="15"/>
      <c r="O215" s="15"/>
      <c r="P215" s="15"/>
      <c r="Q215" s="15"/>
      <c r="R215" s="15"/>
      <c r="S215" s="15"/>
      <c r="T215" s="15"/>
      <c r="U215" s="15"/>
      <c r="V215" s="15"/>
      <c r="W215" s="15"/>
    </row>
    <row r="216" spans="1:23" ht="24" hidden="1" customHeight="1">
      <c r="A216" s="42">
        <v>212</v>
      </c>
      <c r="B216" s="41"/>
      <c r="C216" s="41"/>
      <c r="D216" s="41"/>
      <c r="E216" s="41"/>
      <c r="F216" s="15"/>
      <c r="G216" s="15"/>
      <c r="H216" s="15"/>
      <c r="I216" s="15"/>
      <c r="J216" s="15"/>
      <c r="K216" s="15"/>
      <c r="L216" s="15"/>
      <c r="M216" s="15"/>
      <c r="N216" s="15"/>
      <c r="O216" s="15"/>
      <c r="P216" s="15"/>
      <c r="Q216" s="15"/>
      <c r="R216" s="15"/>
      <c r="S216" s="15"/>
      <c r="T216" s="15"/>
      <c r="U216" s="15"/>
      <c r="V216" s="15"/>
      <c r="W216" s="15"/>
    </row>
    <row r="217" spans="1:23" ht="24" hidden="1" customHeight="1">
      <c r="A217" s="42">
        <v>213</v>
      </c>
      <c r="B217" s="41"/>
      <c r="C217" s="41"/>
      <c r="D217" s="41"/>
      <c r="E217" s="41"/>
      <c r="F217" s="15"/>
      <c r="G217" s="15"/>
      <c r="H217" s="15"/>
      <c r="I217" s="15"/>
      <c r="J217" s="15"/>
      <c r="K217" s="15"/>
      <c r="L217" s="15"/>
      <c r="M217" s="15"/>
      <c r="N217" s="15"/>
      <c r="O217" s="15"/>
      <c r="P217" s="15"/>
      <c r="Q217" s="15"/>
      <c r="R217" s="15"/>
      <c r="S217" s="15"/>
      <c r="T217" s="15"/>
      <c r="U217" s="15"/>
      <c r="V217" s="15"/>
      <c r="W217" s="15"/>
    </row>
    <row r="218" spans="1:23" ht="24" hidden="1" customHeight="1">
      <c r="A218" s="42">
        <v>214</v>
      </c>
      <c r="B218" s="41"/>
      <c r="C218" s="41"/>
      <c r="D218" s="41"/>
      <c r="E218" s="41"/>
      <c r="F218" s="15"/>
      <c r="G218" s="15"/>
      <c r="H218" s="15"/>
      <c r="I218" s="15"/>
      <c r="J218" s="15"/>
      <c r="K218" s="15"/>
      <c r="L218" s="15"/>
      <c r="M218" s="15"/>
      <c r="N218" s="15"/>
      <c r="O218" s="15"/>
      <c r="P218" s="15"/>
      <c r="Q218" s="15"/>
      <c r="R218" s="15"/>
      <c r="S218" s="15"/>
      <c r="T218" s="15"/>
      <c r="U218" s="15"/>
      <c r="V218" s="15"/>
      <c r="W218" s="15"/>
    </row>
    <row r="219" spans="1:23" ht="24" hidden="1" customHeight="1">
      <c r="A219" s="42">
        <v>215</v>
      </c>
      <c r="B219" s="41"/>
      <c r="C219" s="41"/>
      <c r="D219" s="41"/>
      <c r="E219" s="41"/>
      <c r="F219" s="15"/>
      <c r="G219" s="15"/>
      <c r="H219" s="15"/>
      <c r="I219" s="15"/>
      <c r="J219" s="15"/>
      <c r="K219" s="15"/>
      <c r="L219" s="15"/>
      <c r="M219" s="15"/>
      <c r="N219" s="15"/>
      <c r="O219" s="15"/>
      <c r="P219" s="15"/>
      <c r="Q219" s="15"/>
      <c r="R219" s="15"/>
      <c r="S219" s="15"/>
      <c r="T219" s="15"/>
      <c r="U219" s="15"/>
      <c r="V219" s="15"/>
      <c r="W219" s="15"/>
    </row>
    <row r="220" spans="1:23" ht="24" hidden="1" customHeight="1">
      <c r="A220" s="42">
        <v>216</v>
      </c>
      <c r="B220" s="41"/>
      <c r="C220" s="41"/>
      <c r="D220" s="41"/>
      <c r="E220" s="41"/>
      <c r="F220" s="15"/>
      <c r="G220" s="15"/>
      <c r="H220" s="15"/>
      <c r="I220" s="15"/>
      <c r="J220" s="15"/>
      <c r="K220" s="15"/>
      <c r="L220" s="15"/>
      <c r="M220" s="15"/>
      <c r="N220" s="15"/>
      <c r="O220" s="15"/>
      <c r="P220" s="15"/>
      <c r="Q220" s="15"/>
      <c r="R220" s="15"/>
      <c r="S220" s="15"/>
      <c r="T220" s="15"/>
      <c r="U220" s="15"/>
      <c r="V220" s="15"/>
      <c r="W220" s="15"/>
    </row>
    <row r="221" spans="1:23" ht="24" hidden="1" customHeight="1">
      <c r="A221" s="42">
        <v>217</v>
      </c>
      <c r="B221" s="41"/>
      <c r="C221" s="41"/>
      <c r="D221" s="41"/>
      <c r="E221" s="41"/>
      <c r="F221" s="15"/>
      <c r="G221" s="15"/>
      <c r="H221" s="15"/>
      <c r="I221" s="15"/>
      <c r="J221" s="15"/>
      <c r="K221" s="15"/>
      <c r="L221" s="15"/>
      <c r="M221" s="15"/>
      <c r="N221" s="15"/>
      <c r="O221" s="15"/>
      <c r="P221" s="15"/>
      <c r="Q221" s="15"/>
      <c r="R221" s="15"/>
      <c r="S221" s="15"/>
      <c r="T221" s="15"/>
      <c r="U221" s="15"/>
      <c r="V221" s="15"/>
      <c r="W221" s="15"/>
    </row>
    <row r="222" spans="1:23" ht="24" hidden="1" customHeight="1">
      <c r="A222" s="42">
        <v>218</v>
      </c>
      <c r="B222" s="41"/>
      <c r="C222" s="41"/>
      <c r="D222" s="41"/>
      <c r="E222" s="41"/>
      <c r="F222" s="15"/>
      <c r="G222" s="15"/>
      <c r="H222" s="15"/>
      <c r="I222" s="15"/>
      <c r="J222" s="15"/>
      <c r="K222" s="15"/>
      <c r="L222" s="15"/>
      <c r="M222" s="15"/>
      <c r="N222" s="15"/>
      <c r="O222" s="15"/>
      <c r="P222" s="15"/>
      <c r="Q222" s="15"/>
      <c r="R222" s="15"/>
      <c r="S222" s="15"/>
      <c r="T222" s="15"/>
      <c r="U222" s="15"/>
      <c r="V222" s="15"/>
      <c r="W222" s="15"/>
    </row>
    <row r="223" spans="1:23" ht="24" hidden="1" customHeight="1">
      <c r="A223" s="42">
        <v>219</v>
      </c>
      <c r="B223" s="41"/>
      <c r="C223" s="41"/>
      <c r="D223" s="41"/>
      <c r="E223" s="41"/>
      <c r="F223" s="15"/>
      <c r="G223" s="15"/>
      <c r="H223" s="15"/>
      <c r="I223" s="15"/>
      <c r="J223" s="15"/>
      <c r="K223" s="15"/>
      <c r="L223" s="15"/>
      <c r="M223" s="15"/>
      <c r="N223" s="15"/>
      <c r="O223" s="15"/>
      <c r="P223" s="15"/>
      <c r="Q223" s="15"/>
      <c r="R223" s="15"/>
      <c r="S223" s="15"/>
      <c r="T223" s="15"/>
      <c r="U223" s="15"/>
      <c r="V223" s="15"/>
      <c r="W223" s="15"/>
    </row>
    <row r="224" spans="1:23" ht="24" hidden="1" customHeight="1">
      <c r="A224" s="42">
        <v>220</v>
      </c>
      <c r="B224" s="41"/>
      <c r="C224" s="41"/>
      <c r="D224" s="41"/>
      <c r="E224" s="41"/>
      <c r="F224" s="15"/>
      <c r="G224" s="15"/>
      <c r="H224" s="15"/>
      <c r="I224" s="15"/>
      <c r="J224" s="15"/>
      <c r="K224" s="15"/>
      <c r="L224" s="15"/>
      <c r="M224" s="15"/>
      <c r="N224" s="15"/>
      <c r="O224" s="15"/>
      <c r="P224" s="15"/>
      <c r="Q224" s="15"/>
      <c r="R224" s="15"/>
      <c r="S224" s="15"/>
      <c r="T224" s="15"/>
      <c r="U224" s="15"/>
      <c r="V224" s="15"/>
      <c r="W224" s="15"/>
    </row>
    <row r="225" spans="1:23" ht="24" hidden="1" customHeight="1">
      <c r="A225" s="42">
        <v>221</v>
      </c>
      <c r="B225" s="41"/>
      <c r="C225" s="41"/>
      <c r="D225" s="41"/>
      <c r="E225" s="41"/>
      <c r="F225" s="15"/>
      <c r="G225" s="15"/>
      <c r="H225" s="15"/>
      <c r="I225" s="15"/>
      <c r="J225" s="15"/>
      <c r="K225" s="15"/>
      <c r="L225" s="15"/>
      <c r="M225" s="15"/>
      <c r="N225" s="15"/>
      <c r="O225" s="15"/>
      <c r="P225" s="15"/>
      <c r="Q225" s="15"/>
      <c r="R225" s="15"/>
      <c r="S225" s="15"/>
      <c r="T225" s="15"/>
      <c r="U225" s="15"/>
      <c r="V225" s="15"/>
      <c r="W225" s="15"/>
    </row>
    <row r="226" spans="1:23" ht="24" hidden="1" customHeight="1">
      <c r="A226" s="42">
        <v>222</v>
      </c>
      <c r="B226" s="41"/>
      <c r="C226" s="41"/>
      <c r="D226" s="41"/>
      <c r="E226" s="41"/>
      <c r="F226" s="15"/>
      <c r="G226" s="15"/>
      <c r="H226" s="15"/>
      <c r="I226" s="15"/>
      <c r="J226" s="15"/>
      <c r="K226" s="15"/>
      <c r="L226" s="15"/>
      <c r="M226" s="15"/>
      <c r="N226" s="15"/>
      <c r="O226" s="15"/>
      <c r="P226" s="15"/>
      <c r="Q226" s="15"/>
      <c r="R226" s="15"/>
      <c r="S226" s="15"/>
      <c r="T226" s="15"/>
      <c r="U226" s="15"/>
      <c r="V226" s="15"/>
      <c r="W226" s="15"/>
    </row>
    <row r="227" spans="1:23" ht="24" hidden="1" customHeight="1">
      <c r="A227" s="42">
        <v>223</v>
      </c>
      <c r="B227" s="41"/>
      <c r="C227" s="41"/>
      <c r="D227" s="41"/>
      <c r="E227" s="41"/>
      <c r="F227" s="15"/>
      <c r="G227" s="15"/>
      <c r="H227" s="15"/>
      <c r="I227" s="15"/>
      <c r="J227" s="15"/>
      <c r="K227" s="15"/>
      <c r="L227" s="15"/>
      <c r="M227" s="15"/>
      <c r="N227" s="15"/>
      <c r="O227" s="15"/>
      <c r="P227" s="15"/>
      <c r="Q227" s="15"/>
      <c r="R227" s="15"/>
      <c r="S227" s="15"/>
      <c r="T227" s="15"/>
      <c r="U227" s="15"/>
      <c r="V227" s="15"/>
      <c r="W227" s="15"/>
    </row>
    <row r="228" spans="1:23" ht="24" hidden="1" customHeight="1">
      <c r="A228" s="42">
        <v>224</v>
      </c>
      <c r="B228" s="41"/>
      <c r="C228" s="41"/>
      <c r="D228" s="41"/>
      <c r="E228" s="41"/>
      <c r="F228" s="15"/>
      <c r="G228" s="15"/>
      <c r="H228" s="15"/>
      <c r="I228" s="15"/>
      <c r="J228" s="15"/>
      <c r="K228" s="15"/>
      <c r="L228" s="15"/>
      <c r="M228" s="15"/>
      <c r="N228" s="15"/>
      <c r="O228" s="15"/>
      <c r="P228" s="15"/>
      <c r="Q228" s="15"/>
      <c r="R228" s="15"/>
      <c r="S228" s="15"/>
      <c r="T228" s="15"/>
      <c r="U228" s="15"/>
      <c r="V228" s="15"/>
      <c r="W228" s="15"/>
    </row>
    <row r="229" spans="1:23" ht="24" hidden="1" customHeight="1">
      <c r="A229" s="42">
        <v>225</v>
      </c>
      <c r="B229" s="41"/>
      <c r="C229" s="41"/>
      <c r="D229" s="41"/>
      <c r="E229" s="41"/>
      <c r="F229" s="15"/>
      <c r="G229" s="15"/>
      <c r="H229" s="15"/>
      <c r="I229" s="15"/>
      <c r="J229" s="15"/>
      <c r="K229" s="15"/>
      <c r="L229" s="15"/>
      <c r="M229" s="15"/>
      <c r="N229" s="15"/>
      <c r="O229" s="15"/>
      <c r="P229" s="15"/>
      <c r="Q229" s="15"/>
      <c r="R229" s="15"/>
      <c r="S229" s="15"/>
      <c r="T229" s="15"/>
      <c r="U229" s="15"/>
      <c r="V229" s="15"/>
      <c r="W229" s="15"/>
    </row>
    <row r="230" spans="1:23" ht="24" hidden="1" customHeight="1">
      <c r="A230" s="42">
        <v>226</v>
      </c>
      <c r="B230" s="41"/>
      <c r="C230" s="41"/>
      <c r="D230" s="41"/>
      <c r="E230" s="41"/>
      <c r="F230" s="15"/>
      <c r="G230" s="15"/>
      <c r="H230" s="15"/>
      <c r="I230" s="15"/>
      <c r="J230" s="15"/>
      <c r="K230" s="15"/>
      <c r="L230" s="15"/>
      <c r="M230" s="15"/>
      <c r="N230" s="15"/>
      <c r="O230" s="15"/>
      <c r="P230" s="15"/>
      <c r="Q230" s="15"/>
      <c r="R230" s="15"/>
      <c r="S230" s="15"/>
      <c r="T230" s="15"/>
      <c r="U230" s="15"/>
      <c r="V230" s="15"/>
      <c r="W230" s="15"/>
    </row>
    <row r="231" spans="1:23" ht="24" hidden="1" customHeight="1">
      <c r="A231" s="42">
        <v>227</v>
      </c>
      <c r="B231" s="41"/>
      <c r="C231" s="41"/>
      <c r="D231" s="41"/>
      <c r="E231" s="41"/>
      <c r="F231" s="15"/>
      <c r="G231" s="15"/>
      <c r="H231" s="15"/>
      <c r="I231" s="15"/>
      <c r="J231" s="15"/>
      <c r="K231" s="15"/>
      <c r="L231" s="15"/>
      <c r="M231" s="15"/>
      <c r="N231" s="15"/>
      <c r="O231" s="15"/>
      <c r="P231" s="15"/>
      <c r="Q231" s="15"/>
      <c r="R231" s="15"/>
      <c r="S231" s="15"/>
      <c r="T231" s="15"/>
      <c r="U231" s="15"/>
      <c r="V231" s="15"/>
      <c r="W231" s="15"/>
    </row>
    <row r="232" spans="1:23" ht="24" hidden="1" customHeight="1">
      <c r="A232" s="42">
        <v>228</v>
      </c>
      <c r="B232" s="41"/>
      <c r="C232" s="41"/>
      <c r="D232" s="41"/>
      <c r="E232" s="41"/>
      <c r="F232" s="15"/>
      <c r="G232" s="15"/>
      <c r="H232" s="15"/>
      <c r="I232" s="15"/>
      <c r="J232" s="15"/>
      <c r="K232" s="15"/>
      <c r="L232" s="15"/>
      <c r="M232" s="15"/>
      <c r="N232" s="15"/>
      <c r="O232" s="15"/>
      <c r="P232" s="15"/>
      <c r="Q232" s="15"/>
      <c r="R232" s="15"/>
      <c r="S232" s="15"/>
      <c r="T232" s="15"/>
      <c r="U232" s="15"/>
      <c r="V232" s="15"/>
      <c r="W232" s="15"/>
    </row>
    <row r="233" spans="1:23" ht="24" hidden="1" customHeight="1">
      <c r="A233" s="42">
        <v>229</v>
      </c>
      <c r="B233" s="41"/>
      <c r="C233" s="41"/>
      <c r="D233" s="41"/>
      <c r="E233" s="41"/>
      <c r="F233" s="15"/>
      <c r="G233" s="15"/>
      <c r="H233" s="15"/>
      <c r="I233" s="15"/>
      <c r="J233" s="15"/>
      <c r="K233" s="15"/>
      <c r="L233" s="15"/>
      <c r="M233" s="15"/>
      <c r="N233" s="15"/>
      <c r="O233" s="15"/>
      <c r="P233" s="15"/>
      <c r="Q233" s="15"/>
      <c r="R233" s="15"/>
      <c r="S233" s="15"/>
      <c r="T233" s="15"/>
      <c r="U233" s="15"/>
      <c r="V233" s="15"/>
      <c r="W233" s="15"/>
    </row>
    <row r="234" spans="1:23" ht="24" hidden="1" customHeight="1">
      <c r="A234" s="42">
        <v>230</v>
      </c>
      <c r="B234" s="41"/>
      <c r="C234" s="41"/>
      <c r="D234" s="41"/>
      <c r="E234" s="41"/>
      <c r="F234" s="15"/>
      <c r="G234" s="15"/>
      <c r="H234" s="15"/>
      <c r="I234" s="15"/>
      <c r="J234" s="15"/>
      <c r="K234" s="15"/>
      <c r="L234" s="15"/>
      <c r="M234" s="15"/>
      <c r="N234" s="15"/>
      <c r="O234" s="15"/>
      <c r="P234" s="15"/>
      <c r="Q234" s="15"/>
      <c r="R234" s="15"/>
      <c r="S234" s="15"/>
      <c r="T234" s="15"/>
      <c r="U234" s="15"/>
      <c r="V234" s="15"/>
      <c r="W234" s="15"/>
    </row>
    <row r="235" spans="1:23" ht="24" hidden="1" customHeight="1">
      <c r="A235" s="42">
        <v>231</v>
      </c>
      <c r="B235" s="41"/>
      <c r="C235" s="41"/>
      <c r="D235" s="41"/>
      <c r="E235" s="41"/>
      <c r="F235" s="15"/>
      <c r="G235" s="15"/>
      <c r="H235" s="15"/>
      <c r="I235" s="15"/>
      <c r="J235" s="15"/>
      <c r="K235" s="15"/>
      <c r="L235" s="15"/>
      <c r="M235" s="15"/>
      <c r="N235" s="15"/>
      <c r="O235" s="15"/>
      <c r="P235" s="15"/>
      <c r="Q235" s="15"/>
      <c r="R235" s="15"/>
      <c r="S235" s="15"/>
      <c r="T235" s="15"/>
      <c r="U235" s="15"/>
      <c r="V235" s="15"/>
      <c r="W235" s="15"/>
    </row>
    <row r="236" spans="1:23" ht="24" hidden="1" customHeight="1">
      <c r="A236" s="42">
        <v>232</v>
      </c>
      <c r="B236" s="41"/>
      <c r="C236" s="41"/>
      <c r="D236" s="41"/>
      <c r="E236" s="41"/>
      <c r="F236" s="15"/>
      <c r="G236" s="15"/>
      <c r="H236" s="15"/>
      <c r="I236" s="15"/>
      <c r="J236" s="15"/>
      <c r="K236" s="15"/>
      <c r="L236" s="15"/>
      <c r="M236" s="15"/>
      <c r="N236" s="15"/>
      <c r="O236" s="15"/>
      <c r="P236" s="15"/>
      <c r="Q236" s="15"/>
      <c r="R236" s="15"/>
      <c r="S236" s="15"/>
      <c r="T236" s="15"/>
      <c r="U236" s="15"/>
      <c r="V236" s="15"/>
      <c r="W236" s="15"/>
    </row>
    <row r="237" spans="1:23" ht="24" hidden="1" customHeight="1">
      <c r="A237" s="42">
        <v>233</v>
      </c>
      <c r="B237" s="41"/>
      <c r="C237" s="41"/>
      <c r="D237" s="41"/>
      <c r="E237" s="41"/>
      <c r="F237" s="15"/>
      <c r="G237" s="15"/>
      <c r="H237" s="15"/>
      <c r="I237" s="15"/>
      <c r="J237" s="15"/>
      <c r="K237" s="15"/>
      <c r="L237" s="15"/>
      <c r="M237" s="15"/>
      <c r="N237" s="15"/>
      <c r="O237" s="15"/>
      <c r="P237" s="15"/>
      <c r="Q237" s="15"/>
      <c r="R237" s="15"/>
      <c r="S237" s="15"/>
      <c r="T237" s="15"/>
      <c r="U237" s="15"/>
      <c r="V237" s="15"/>
      <c r="W237" s="15"/>
    </row>
    <row r="238" spans="1:23" ht="24" hidden="1" customHeight="1">
      <c r="A238" s="42">
        <v>234</v>
      </c>
      <c r="B238" s="41"/>
      <c r="C238" s="41"/>
      <c r="D238" s="41"/>
      <c r="E238" s="41"/>
      <c r="F238" s="15"/>
      <c r="G238" s="15"/>
      <c r="H238" s="15"/>
      <c r="I238" s="15"/>
      <c r="J238" s="15"/>
      <c r="K238" s="15"/>
      <c r="L238" s="15"/>
      <c r="M238" s="15"/>
      <c r="N238" s="15"/>
      <c r="O238" s="15"/>
      <c r="P238" s="15"/>
      <c r="Q238" s="15"/>
      <c r="R238" s="15"/>
      <c r="S238" s="15"/>
      <c r="T238" s="15"/>
      <c r="U238" s="15"/>
      <c r="V238" s="15"/>
      <c r="W238" s="15"/>
    </row>
    <row r="239" spans="1:23" ht="24" hidden="1" customHeight="1">
      <c r="A239" s="42">
        <v>235</v>
      </c>
      <c r="B239" s="41"/>
      <c r="C239" s="41"/>
      <c r="D239" s="41"/>
      <c r="E239" s="41"/>
      <c r="F239" s="15"/>
      <c r="G239" s="15"/>
      <c r="H239" s="15"/>
      <c r="I239" s="15"/>
      <c r="J239" s="15"/>
      <c r="K239" s="15"/>
      <c r="L239" s="15"/>
      <c r="M239" s="15"/>
      <c r="N239" s="15"/>
      <c r="O239" s="15"/>
      <c r="P239" s="15"/>
      <c r="Q239" s="15"/>
      <c r="R239" s="15"/>
      <c r="S239" s="15"/>
      <c r="T239" s="15"/>
      <c r="U239" s="15"/>
      <c r="V239" s="15"/>
      <c r="W239" s="15"/>
    </row>
    <row r="240" spans="1:23" ht="24" hidden="1" customHeight="1">
      <c r="A240" s="42">
        <v>236</v>
      </c>
      <c r="B240" s="41"/>
      <c r="C240" s="41"/>
      <c r="D240" s="41"/>
      <c r="E240" s="41"/>
      <c r="F240" s="15"/>
      <c r="G240" s="15"/>
      <c r="H240" s="15"/>
      <c r="I240" s="15"/>
      <c r="J240" s="15"/>
      <c r="K240" s="15"/>
      <c r="L240" s="15"/>
      <c r="M240" s="15"/>
      <c r="N240" s="15"/>
      <c r="O240" s="15"/>
      <c r="P240" s="15"/>
      <c r="Q240" s="15"/>
      <c r="R240" s="15"/>
      <c r="S240" s="15"/>
      <c r="T240" s="15"/>
      <c r="U240" s="15"/>
      <c r="V240" s="15"/>
      <c r="W240" s="15"/>
    </row>
    <row r="241" spans="1:23" ht="24" hidden="1" customHeight="1">
      <c r="A241" s="42">
        <v>237</v>
      </c>
      <c r="B241" s="41"/>
      <c r="C241" s="41"/>
      <c r="D241" s="41"/>
      <c r="E241" s="41"/>
      <c r="F241" s="15"/>
      <c r="G241" s="15"/>
      <c r="H241" s="15"/>
      <c r="I241" s="15"/>
      <c r="J241" s="15"/>
      <c r="K241" s="15"/>
      <c r="L241" s="15"/>
      <c r="M241" s="15"/>
      <c r="N241" s="15"/>
      <c r="O241" s="15"/>
      <c r="P241" s="15"/>
      <c r="Q241" s="15"/>
      <c r="R241" s="15"/>
      <c r="S241" s="15"/>
      <c r="T241" s="15"/>
      <c r="U241" s="15"/>
      <c r="V241" s="15"/>
      <c r="W241" s="15"/>
    </row>
    <row r="242" spans="1:23" ht="24" hidden="1" customHeight="1">
      <c r="A242" s="42">
        <v>238</v>
      </c>
      <c r="B242" s="41"/>
      <c r="C242" s="41"/>
      <c r="D242" s="41"/>
      <c r="E242" s="41"/>
      <c r="F242" s="15"/>
      <c r="G242" s="15"/>
      <c r="H242" s="15"/>
      <c r="I242" s="15"/>
      <c r="J242" s="15"/>
      <c r="K242" s="15"/>
      <c r="L242" s="15"/>
      <c r="M242" s="15"/>
      <c r="N242" s="15"/>
      <c r="O242" s="15"/>
      <c r="P242" s="15"/>
      <c r="Q242" s="15"/>
      <c r="R242" s="15"/>
      <c r="S242" s="15"/>
      <c r="T242" s="15"/>
      <c r="U242" s="15"/>
      <c r="V242" s="15"/>
      <c r="W242" s="15"/>
    </row>
    <row r="243" spans="1:23" ht="24" hidden="1" customHeight="1">
      <c r="A243" s="42">
        <v>239</v>
      </c>
      <c r="B243" s="41"/>
      <c r="C243" s="41"/>
      <c r="D243" s="41"/>
      <c r="E243" s="41"/>
      <c r="F243" s="15"/>
      <c r="G243" s="15"/>
      <c r="H243" s="15"/>
      <c r="I243" s="15"/>
      <c r="J243" s="15"/>
      <c r="K243" s="15"/>
      <c r="L243" s="15"/>
      <c r="M243" s="15"/>
      <c r="N243" s="15"/>
      <c r="O243" s="15"/>
      <c r="P243" s="15"/>
      <c r="Q243" s="15"/>
      <c r="R243" s="15"/>
      <c r="S243" s="15"/>
      <c r="T243" s="15"/>
      <c r="U243" s="15"/>
      <c r="V243" s="15"/>
      <c r="W243" s="15"/>
    </row>
    <row r="244" spans="1:23" ht="24" hidden="1" customHeight="1">
      <c r="A244" s="42">
        <v>240</v>
      </c>
      <c r="B244" s="41"/>
      <c r="C244" s="41"/>
      <c r="D244" s="41"/>
      <c r="E244" s="41"/>
      <c r="F244" s="15"/>
      <c r="G244" s="15"/>
      <c r="H244" s="15"/>
      <c r="I244" s="15"/>
      <c r="J244" s="15"/>
      <c r="K244" s="15"/>
      <c r="L244" s="15"/>
      <c r="M244" s="15"/>
      <c r="N244" s="15"/>
      <c r="O244" s="15"/>
      <c r="P244" s="15"/>
      <c r="Q244" s="15"/>
      <c r="R244" s="15"/>
      <c r="S244" s="15"/>
      <c r="T244" s="15"/>
      <c r="U244" s="15"/>
      <c r="V244" s="15"/>
      <c r="W244" s="15"/>
    </row>
    <row r="245" spans="1:23" ht="24" hidden="1" customHeight="1">
      <c r="A245" s="42">
        <v>241</v>
      </c>
      <c r="B245" s="41"/>
      <c r="C245" s="41"/>
      <c r="D245" s="41"/>
      <c r="E245" s="41"/>
      <c r="F245" s="15"/>
      <c r="G245" s="15"/>
      <c r="H245" s="15"/>
      <c r="I245" s="15"/>
      <c r="J245" s="15"/>
      <c r="K245" s="15"/>
      <c r="L245" s="15"/>
      <c r="M245" s="15"/>
      <c r="N245" s="15"/>
      <c r="O245" s="15"/>
      <c r="P245" s="15"/>
      <c r="Q245" s="15"/>
      <c r="R245" s="15"/>
      <c r="S245" s="15"/>
      <c r="T245" s="15"/>
      <c r="U245" s="15"/>
      <c r="V245" s="15"/>
      <c r="W245" s="15"/>
    </row>
    <row r="246" spans="1:23" ht="24" hidden="1" customHeight="1">
      <c r="A246" s="42">
        <v>242</v>
      </c>
      <c r="B246" s="41"/>
      <c r="C246" s="41"/>
      <c r="D246" s="41"/>
      <c r="E246" s="41"/>
      <c r="F246" s="15"/>
      <c r="G246" s="15"/>
      <c r="H246" s="15"/>
      <c r="I246" s="15"/>
      <c r="J246" s="15"/>
      <c r="K246" s="15"/>
      <c r="L246" s="15"/>
      <c r="M246" s="15"/>
      <c r="N246" s="15"/>
      <c r="O246" s="15"/>
      <c r="P246" s="15"/>
      <c r="Q246" s="15"/>
      <c r="R246" s="15"/>
      <c r="S246" s="15"/>
      <c r="T246" s="15"/>
      <c r="U246" s="15"/>
      <c r="V246" s="15"/>
      <c r="W246" s="15"/>
    </row>
    <row r="247" spans="1:23" ht="24" hidden="1" customHeight="1">
      <c r="A247" s="42">
        <v>243</v>
      </c>
      <c r="B247" s="41"/>
      <c r="C247" s="41"/>
      <c r="D247" s="41"/>
      <c r="E247" s="41"/>
      <c r="F247" s="15"/>
      <c r="G247" s="15"/>
      <c r="H247" s="15"/>
      <c r="I247" s="15"/>
      <c r="J247" s="15"/>
      <c r="K247" s="15"/>
      <c r="L247" s="15"/>
      <c r="M247" s="15"/>
      <c r="N247" s="15"/>
      <c r="O247" s="15"/>
      <c r="P247" s="15"/>
      <c r="Q247" s="15"/>
      <c r="R247" s="15"/>
      <c r="S247" s="15"/>
      <c r="T247" s="15"/>
      <c r="U247" s="15"/>
      <c r="V247" s="15"/>
      <c r="W247" s="15"/>
    </row>
    <row r="248" spans="1:23" ht="24" hidden="1" customHeight="1">
      <c r="A248" s="42">
        <v>244</v>
      </c>
      <c r="B248" s="41"/>
      <c r="C248" s="41"/>
      <c r="D248" s="41"/>
      <c r="E248" s="41"/>
      <c r="F248" s="15"/>
      <c r="G248" s="15"/>
      <c r="H248" s="15"/>
      <c r="I248" s="15"/>
      <c r="J248" s="15"/>
      <c r="K248" s="15"/>
      <c r="L248" s="15"/>
      <c r="M248" s="15"/>
      <c r="N248" s="15"/>
      <c r="O248" s="15"/>
      <c r="P248" s="15"/>
      <c r="Q248" s="15"/>
      <c r="R248" s="15"/>
      <c r="S248" s="15"/>
      <c r="T248" s="15"/>
      <c r="U248" s="15"/>
      <c r="V248" s="15"/>
      <c r="W248" s="15"/>
    </row>
    <row r="249" spans="1:23" ht="24" hidden="1" customHeight="1">
      <c r="A249" s="42">
        <v>245</v>
      </c>
      <c r="B249" s="41"/>
      <c r="C249" s="41"/>
      <c r="D249" s="41"/>
      <c r="E249" s="41"/>
      <c r="F249" s="15"/>
      <c r="G249" s="15"/>
      <c r="H249" s="15"/>
      <c r="I249" s="15"/>
      <c r="J249" s="15"/>
      <c r="K249" s="15"/>
      <c r="L249" s="15"/>
      <c r="M249" s="15"/>
      <c r="N249" s="15"/>
      <c r="O249" s="15"/>
      <c r="P249" s="15"/>
      <c r="Q249" s="15"/>
      <c r="R249" s="15"/>
      <c r="S249" s="15"/>
      <c r="T249" s="15"/>
      <c r="U249" s="15"/>
      <c r="V249" s="15"/>
      <c r="W249" s="15"/>
    </row>
    <row r="250" spans="1:23" ht="24" hidden="1" customHeight="1">
      <c r="A250" s="42">
        <v>246</v>
      </c>
      <c r="B250" s="41"/>
      <c r="C250" s="41"/>
      <c r="D250" s="41"/>
      <c r="E250" s="41"/>
      <c r="F250" s="15"/>
      <c r="G250" s="15"/>
      <c r="H250" s="15"/>
      <c r="I250" s="15"/>
      <c r="J250" s="15"/>
      <c r="K250" s="15"/>
      <c r="L250" s="15"/>
      <c r="M250" s="15"/>
      <c r="N250" s="15"/>
      <c r="O250" s="15"/>
      <c r="P250" s="15"/>
      <c r="Q250" s="15"/>
      <c r="R250" s="15"/>
      <c r="S250" s="15"/>
      <c r="T250" s="15"/>
      <c r="U250" s="15"/>
      <c r="V250" s="15"/>
      <c r="W250" s="15"/>
    </row>
    <row r="251" spans="1:23" ht="24" hidden="1" customHeight="1">
      <c r="A251" s="42">
        <v>247</v>
      </c>
      <c r="B251" s="41"/>
      <c r="C251" s="41"/>
      <c r="D251" s="41"/>
      <c r="E251" s="41"/>
      <c r="F251" s="15"/>
      <c r="G251" s="15"/>
      <c r="H251" s="15"/>
      <c r="I251" s="15"/>
      <c r="J251" s="15"/>
      <c r="K251" s="15"/>
      <c r="L251" s="15"/>
      <c r="M251" s="15"/>
      <c r="N251" s="15"/>
      <c r="O251" s="15"/>
      <c r="P251" s="15"/>
      <c r="Q251" s="15"/>
      <c r="R251" s="15"/>
      <c r="S251" s="15"/>
      <c r="T251" s="15"/>
      <c r="U251" s="15"/>
      <c r="V251" s="15"/>
      <c r="W251" s="15"/>
    </row>
    <row r="252" spans="1:23" ht="24" hidden="1" customHeight="1">
      <c r="A252" s="42">
        <v>248</v>
      </c>
      <c r="B252" s="41"/>
      <c r="C252" s="41"/>
      <c r="D252" s="41"/>
      <c r="E252" s="41"/>
      <c r="F252" s="15"/>
      <c r="G252" s="15"/>
      <c r="H252" s="15"/>
      <c r="I252" s="15"/>
      <c r="J252" s="15"/>
      <c r="K252" s="15"/>
      <c r="L252" s="15"/>
      <c r="M252" s="15"/>
      <c r="N252" s="15"/>
      <c r="O252" s="15"/>
      <c r="P252" s="15"/>
      <c r="Q252" s="15"/>
      <c r="R252" s="15"/>
      <c r="S252" s="15"/>
      <c r="T252" s="15"/>
      <c r="U252" s="15"/>
      <c r="V252" s="15"/>
      <c r="W252" s="15"/>
    </row>
    <row r="253" spans="1:23" ht="24" hidden="1" customHeight="1">
      <c r="A253" s="42">
        <v>249</v>
      </c>
      <c r="B253" s="41"/>
      <c r="C253" s="41"/>
      <c r="D253" s="41"/>
      <c r="E253" s="41"/>
      <c r="F253" s="15"/>
      <c r="G253" s="15"/>
      <c r="H253" s="15"/>
      <c r="I253" s="15"/>
      <c r="J253" s="15"/>
      <c r="K253" s="15"/>
      <c r="L253" s="15"/>
      <c r="M253" s="15"/>
      <c r="N253" s="15"/>
      <c r="O253" s="15"/>
      <c r="P253" s="15"/>
      <c r="Q253" s="15"/>
      <c r="R253" s="15"/>
      <c r="S253" s="15"/>
      <c r="T253" s="15"/>
      <c r="U253" s="15"/>
      <c r="V253" s="15"/>
      <c r="W253" s="15"/>
    </row>
    <row r="254" spans="1:23" ht="24" hidden="1" customHeight="1">
      <c r="A254" s="42">
        <v>250</v>
      </c>
      <c r="B254" s="41"/>
      <c r="C254" s="41"/>
      <c r="D254" s="41"/>
      <c r="E254" s="41"/>
      <c r="F254" s="15"/>
      <c r="G254" s="15"/>
      <c r="H254" s="15"/>
      <c r="I254" s="15"/>
      <c r="J254" s="15"/>
      <c r="K254" s="15"/>
      <c r="L254" s="15"/>
      <c r="M254" s="15"/>
      <c r="N254" s="15"/>
      <c r="O254" s="15"/>
      <c r="P254" s="15"/>
      <c r="Q254" s="15"/>
      <c r="R254" s="15"/>
      <c r="S254" s="15"/>
      <c r="T254" s="15"/>
      <c r="U254" s="15"/>
      <c r="V254" s="15"/>
      <c r="W254" s="15"/>
    </row>
    <row r="255" spans="1:23" ht="24" hidden="1" customHeight="1">
      <c r="A255" s="42">
        <v>251</v>
      </c>
      <c r="B255" s="41"/>
      <c r="C255" s="41"/>
      <c r="D255" s="41"/>
      <c r="E255" s="41"/>
      <c r="F255" s="15"/>
      <c r="G255" s="15"/>
      <c r="H255" s="15"/>
      <c r="I255" s="15"/>
      <c r="J255" s="15"/>
      <c r="K255" s="15"/>
      <c r="L255" s="15"/>
      <c r="M255" s="15"/>
      <c r="N255" s="15"/>
      <c r="O255" s="15"/>
      <c r="P255" s="15"/>
      <c r="Q255" s="15"/>
      <c r="R255" s="15"/>
      <c r="S255" s="15"/>
      <c r="T255" s="15"/>
      <c r="U255" s="15"/>
      <c r="V255" s="15"/>
      <c r="W255" s="15"/>
    </row>
    <row r="256" spans="1:23" ht="24" hidden="1" customHeight="1">
      <c r="A256" s="42">
        <v>252</v>
      </c>
      <c r="B256" s="41"/>
      <c r="C256" s="41"/>
      <c r="D256" s="41"/>
      <c r="E256" s="41"/>
      <c r="F256" s="15"/>
      <c r="G256" s="15"/>
      <c r="H256" s="15"/>
      <c r="I256" s="15"/>
      <c r="J256" s="15"/>
      <c r="K256" s="15"/>
      <c r="L256" s="15"/>
      <c r="M256" s="15"/>
      <c r="N256" s="15"/>
      <c r="O256" s="15"/>
      <c r="P256" s="15"/>
      <c r="Q256" s="15"/>
      <c r="R256" s="15"/>
      <c r="S256" s="15"/>
      <c r="T256" s="15"/>
      <c r="U256" s="15"/>
      <c r="V256" s="15"/>
      <c r="W256" s="15"/>
    </row>
    <row r="257" spans="1:23" ht="24" hidden="1" customHeight="1">
      <c r="A257" s="42">
        <v>253</v>
      </c>
      <c r="B257" s="41"/>
      <c r="C257" s="41"/>
      <c r="D257" s="41"/>
      <c r="E257" s="41"/>
      <c r="F257" s="15"/>
      <c r="G257" s="15"/>
      <c r="H257" s="15"/>
      <c r="I257" s="15"/>
      <c r="J257" s="15"/>
      <c r="K257" s="15"/>
      <c r="L257" s="15"/>
      <c r="M257" s="15"/>
      <c r="N257" s="15"/>
      <c r="O257" s="15"/>
      <c r="P257" s="15"/>
      <c r="Q257" s="15"/>
      <c r="R257" s="15"/>
      <c r="S257" s="15"/>
      <c r="T257" s="15"/>
      <c r="U257" s="15"/>
      <c r="V257" s="15"/>
      <c r="W257" s="15"/>
    </row>
    <row r="258" spans="1:23" ht="24" hidden="1" customHeight="1">
      <c r="A258" s="42">
        <v>254</v>
      </c>
      <c r="B258" s="41"/>
      <c r="C258" s="41"/>
      <c r="D258" s="41"/>
      <c r="E258" s="41"/>
      <c r="F258" s="15"/>
      <c r="G258" s="15"/>
      <c r="H258" s="15"/>
      <c r="I258" s="15"/>
      <c r="J258" s="15"/>
      <c r="K258" s="15"/>
      <c r="L258" s="15"/>
      <c r="M258" s="15"/>
      <c r="N258" s="15"/>
      <c r="O258" s="15"/>
      <c r="P258" s="15"/>
      <c r="Q258" s="15"/>
      <c r="R258" s="15"/>
      <c r="S258" s="15"/>
      <c r="T258" s="15"/>
      <c r="U258" s="15"/>
      <c r="V258" s="15"/>
      <c r="W258" s="15"/>
    </row>
    <row r="259" spans="1:23" ht="24" hidden="1" customHeight="1">
      <c r="A259" s="42">
        <v>255</v>
      </c>
      <c r="B259" s="41"/>
      <c r="C259" s="41"/>
      <c r="D259" s="41"/>
      <c r="E259" s="41"/>
      <c r="F259" s="15"/>
      <c r="G259" s="15"/>
      <c r="H259" s="15"/>
      <c r="I259" s="15"/>
      <c r="J259" s="15"/>
      <c r="K259" s="15"/>
      <c r="L259" s="15"/>
      <c r="M259" s="15"/>
      <c r="N259" s="15"/>
      <c r="O259" s="15"/>
      <c r="P259" s="15"/>
      <c r="Q259" s="15"/>
      <c r="R259" s="15"/>
      <c r="S259" s="15"/>
      <c r="T259" s="15"/>
      <c r="U259" s="15"/>
      <c r="V259" s="15"/>
      <c r="W259" s="15"/>
    </row>
    <row r="260" spans="1:23" ht="24" hidden="1" customHeight="1">
      <c r="A260" s="42">
        <v>256</v>
      </c>
      <c r="B260" s="41"/>
      <c r="C260" s="41"/>
      <c r="D260" s="41"/>
      <c r="E260" s="41"/>
      <c r="F260" s="15"/>
      <c r="G260" s="15"/>
      <c r="H260" s="15"/>
      <c r="I260" s="15"/>
      <c r="J260" s="15"/>
      <c r="K260" s="15"/>
      <c r="L260" s="15"/>
      <c r="M260" s="15"/>
      <c r="N260" s="15"/>
      <c r="O260" s="15"/>
      <c r="P260" s="15"/>
      <c r="Q260" s="15"/>
      <c r="R260" s="15"/>
      <c r="S260" s="15"/>
      <c r="T260" s="15"/>
      <c r="U260" s="15"/>
      <c r="V260" s="15"/>
      <c r="W260" s="15"/>
    </row>
    <row r="261" spans="1:23" ht="24" hidden="1" customHeight="1">
      <c r="A261" s="42">
        <v>257</v>
      </c>
      <c r="B261" s="41"/>
      <c r="C261" s="41"/>
      <c r="D261" s="41"/>
      <c r="E261" s="41"/>
      <c r="F261" s="15"/>
      <c r="G261" s="15"/>
      <c r="H261" s="15"/>
      <c r="I261" s="15"/>
      <c r="J261" s="15"/>
      <c r="K261" s="15"/>
      <c r="L261" s="15"/>
      <c r="M261" s="15"/>
      <c r="N261" s="15"/>
      <c r="O261" s="15"/>
      <c r="P261" s="15"/>
      <c r="Q261" s="15"/>
      <c r="R261" s="15"/>
      <c r="S261" s="15"/>
      <c r="T261" s="15"/>
      <c r="U261" s="15"/>
      <c r="V261" s="15"/>
      <c r="W261" s="15"/>
    </row>
    <row r="262" spans="1:23" ht="24" hidden="1" customHeight="1">
      <c r="A262" s="42">
        <v>258</v>
      </c>
      <c r="B262" s="41"/>
      <c r="C262" s="41"/>
      <c r="D262" s="41"/>
      <c r="E262" s="41"/>
      <c r="F262" s="15"/>
      <c r="G262" s="15"/>
      <c r="H262" s="15"/>
      <c r="I262" s="15"/>
      <c r="J262" s="15"/>
      <c r="K262" s="15"/>
      <c r="L262" s="15"/>
      <c r="M262" s="15"/>
      <c r="N262" s="15"/>
      <c r="O262" s="15"/>
      <c r="P262" s="15"/>
      <c r="Q262" s="15"/>
      <c r="R262" s="15"/>
      <c r="S262" s="15"/>
      <c r="T262" s="15"/>
      <c r="U262" s="15"/>
      <c r="V262" s="15"/>
      <c r="W262" s="15"/>
    </row>
    <row r="263" spans="1:23" ht="24" hidden="1" customHeight="1">
      <c r="A263" s="42">
        <v>259</v>
      </c>
      <c r="B263" s="41"/>
      <c r="C263" s="41"/>
      <c r="D263" s="41"/>
      <c r="E263" s="41"/>
      <c r="F263" s="15"/>
      <c r="G263" s="15"/>
      <c r="H263" s="15"/>
      <c r="I263" s="15"/>
      <c r="J263" s="15"/>
      <c r="K263" s="15"/>
      <c r="L263" s="15"/>
      <c r="M263" s="15"/>
      <c r="N263" s="15"/>
      <c r="O263" s="15"/>
      <c r="P263" s="15"/>
      <c r="Q263" s="15"/>
      <c r="R263" s="15"/>
      <c r="S263" s="15"/>
      <c r="T263" s="15"/>
      <c r="U263" s="15"/>
      <c r="V263" s="15"/>
      <c r="W263" s="15"/>
    </row>
    <row r="264" spans="1:23" ht="24" hidden="1" customHeight="1">
      <c r="A264" s="42">
        <v>260</v>
      </c>
      <c r="B264" s="41"/>
      <c r="C264" s="41"/>
      <c r="D264" s="41"/>
      <c r="E264" s="41"/>
      <c r="F264" s="15"/>
      <c r="G264" s="15"/>
      <c r="H264" s="15"/>
      <c r="I264" s="15"/>
      <c r="J264" s="15"/>
      <c r="K264" s="15"/>
      <c r="L264" s="15"/>
      <c r="M264" s="15"/>
      <c r="N264" s="15"/>
      <c r="O264" s="15"/>
      <c r="P264" s="15"/>
      <c r="Q264" s="15"/>
      <c r="R264" s="15"/>
      <c r="S264" s="15"/>
      <c r="T264" s="15"/>
      <c r="U264" s="15"/>
      <c r="V264" s="15"/>
      <c r="W264" s="15"/>
    </row>
    <row r="265" spans="1:23" ht="24" hidden="1" customHeight="1">
      <c r="A265" s="42">
        <v>261</v>
      </c>
      <c r="B265" s="41"/>
      <c r="C265" s="41"/>
      <c r="D265" s="41"/>
      <c r="E265" s="41"/>
      <c r="F265" s="15"/>
      <c r="G265" s="15"/>
      <c r="H265" s="15"/>
      <c r="I265" s="15"/>
      <c r="J265" s="15"/>
      <c r="K265" s="15"/>
      <c r="L265" s="15"/>
      <c r="M265" s="15"/>
      <c r="N265" s="15"/>
      <c r="O265" s="15"/>
      <c r="P265" s="15"/>
      <c r="Q265" s="15"/>
      <c r="R265" s="15"/>
      <c r="S265" s="15"/>
      <c r="T265" s="15"/>
      <c r="U265" s="15"/>
      <c r="V265" s="15"/>
      <c r="W265" s="15"/>
    </row>
    <row r="266" spans="1:23" ht="24" hidden="1" customHeight="1">
      <c r="A266" s="42">
        <v>262</v>
      </c>
      <c r="B266" s="41"/>
      <c r="C266" s="41"/>
      <c r="D266" s="41"/>
      <c r="E266" s="41"/>
      <c r="F266" s="15"/>
      <c r="G266" s="15"/>
      <c r="H266" s="15"/>
      <c r="I266" s="15"/>
      <c r="J266" s="15"/>
      <c r="K266" s="15"/>
      <c r="L266" s="15"/>
      <c r="M266" s="15"/>
      <c r="N266" s="15"/>
      <c r="O266" s="15"/>
      <c r="P266" s="15"/>
      <c r="Q266" s="15"/>
      <c r="R266" s="15"/>
      <c r="S266" s="15"/>
      <c r="T266" s="15"/>
      <c r="U266" s="15"/>
      <c r="V266" s="15"/>
      <c r="W266" s="15"/>
    </row>
    <row r="267" spans="1:23" ht="24" hidden="1" customHeight="1">
      <c r="A267" s="42">
        <v>263</v>
      </c>
      <c r="B267" s="41"/>
      <c r="C267" s="41"/>
      <c r="D267" s="41"/>
      <c r="E267" s="41"/>
      <c r="F267" s="15"/>
      <c r="G267" s="15"/>
      <c r="H267" s="15"/>
      <c r="I267" s="15"/>
      <c r="J267" s="15"/>
      <c r="K267" s="15"/>
      <c r="L267" s="15"/>
      <c r="M267" s="15"/>
      <c r="N267" s="15"/>
      <c r="O267" s="15"/>
      <c r="P267" s="15"/>
      <c r="Q267" s="15"/>
      <c r="R267" s="15"/>
      <c r="S267" s="15"/>
      <c r="T267" s="15"/>
      <c r="U267" s="15"/>
      <c r="V267" s="15"/>
      <c r="W267" s="15"/>
    </row>
    <row r="268" spans="1:23" ht="24" hidden="1" customHeight="1">
      <c r="A268" s="42">
        <v>264</v>
      </c>
      <c r="B268" s="41"/>
      <c r="C268" s="41"/>
      <c r="D268" s="41"/>
      <c r="E268" s="41"/>
      <c r="F268" s="15"/>
      <c r="G268" s="15"/>
      <c r="H268" s="15"/>
      <c r="I268" s="15"/>
      <c r="J268" s="15"/>
      <c r="K268" s="15"/>
      <c r="L268" s="15"/>
      <c r="M268" s="15"/>
      <c r="N268" s="15"/>
      <c r="O268" s="15"/>
      <c r="P268" s="15"/>
      <c r="Q268" s="15"/>
      <c r="R268" s="15"/>
      <c r="S268" s="15"/>
      <c r="T268" s="15"/>
      <c r="U268" s="15"/>
      <c r="V268" s="15"/>
      <c r="W268" s="15"/>
    </row>
    <row r="269" spans="1:23" ht="24" hidden="1" customHeight="1">
      <c r="A269" s="42">
        <v>265</v>
      </c>
      <c r="B269" s="41"/>
      <c r="C269" s="41"/>
      <c r="D269" s="41"/>
      <c r="E269" s="41"/>
      <c r="F269" s="15"/>
      <c r="G269" s="15"/>
      <c r="H269" s="15"/>
      <c r="I269" s="15"/>
      <c r="J269" s="15"/>
      <c r="K269" s="15"/>
      <c r="L269" s="15"/>
      <c r="M269" s="15"/>
      <c r="N269" s="15"/>
      <c r="O269" s="15"/>
      <c r="P269" s="15"/>
      <c r="Q269" s="15"/>
      <c r="R269" s="15"/>
      <c r="S269" s="15"/>
      <c r="T269" s="15"/>
      <c r="U269" s="15"/>
      <c r="V269" s="15"/>
      <c r="W269" s="15"/>
    </row>
    <row r="270" spans="1:23" ht="24" hidden="1" customHeight="1">
      <c r="A270" s="42">
        <v>266</v>
      </c>
      <c r="B270" s="41"/>
      <c r="C270" s="41"/>
      <c r="D270" s="41"/>
      <c r="E270" s="41"/>
      <c r="F270" s="15"/>
      <c r="G270" s="15"/>
      <c r="H270" s="15"/>
      <c r="I270" s="15"/>
      <c r="J270" s="15"/>
      <c r="K270" s="15"/>
      <c r="L270" s="15"/>
      <c r="M270" s="15"/>
      <c r="N270" s="15"/>
      <c r="O270" s="15"/>
      <c r="P270" s="15"/>
      <c r="Q270" s="15"/>
      <c r="R270" s="15"/>
      <c r="S270" s="15"/>
      <c r="T270" s="15"/>
      <c r="U270" s="15"/>
      <c r="V270" s="15"/>
      <c r="W270" s="15"/>
    </row>
    <row r="271" spans="1:23" ht="24" hidden="1" customHeight="1">
      <c r="A271" s="42">
        <v>267</v>
      </c>
      <c r="B271" s="41"/>
      <c r="C271" s="41"/>
      <c r="D271" s="41"/>
      <c r="E271" s="41"/>
      <c r="F271" s="15"/>
      <c r="G271" s="15"/>
      <c r="H271" s="15"/>
      <c r="I271" s="15"/>
      <c r="J271" s="15"/>
      <c r="K271" s="15"/>
      <c r="L271" s="15"/>
      <c r="M271" s="15"/>
      <c r="N271" s="15"/>
      <c r="O271" s="15"/>
      <c r="P271" s="15"/>
      <c r="Q271" s="15"/>
      <c r="R271" s="15"/>
      <c r="S271" s="15"/>
      <c r="T271" s="15"/>
      <c r="U271" s="15"/>
      <c r="V271" s="15"/>
      <c r="W271" s="15"/>
    </row>
    <row r="272" spans="1:23" ht="24" hidden="1" customHeight="1">
      <c r="A272" s="42">
        <v>268</v>
      </c>
      <c r="B272" s="41"/>
      <c r="C272" s="41"/>
      <c r="D272" s="41"/>
      <c r="E272" s="41"/>
      <c r="F272" s="15"/>
      <c r="G272" s="15"/>
      <c r="H272" s="15"/>
      <c r="I272" s="15"/>
      <c r="J272" s="15"/>
      <c r="K272" s="15"/>
      <c r="L272" s="15"/>
      <c r="M272" s="15"/>
      <c r="N272" s="15"/>
      <c r="O272" s="15"/>
      <c r="P272" s="15"/>
      <c r="Q272" s="15"/>
      <c r="R272" s="15"/>
      <c r="S272" s="15"/>
      <c r="T272" s="15"/>
      <c r="U272" s="15"/>
      <c r="V272" s="15"/>
      <c r="W272" s="15"/>
    </row>
    <row r="273" spans="1:23" ht="24" hidden="1" customHeight="1">
      <c r="A273" s="42">
        <v>269</v>
      </c>
      <c r="B273" s="41"/>
      <c r="C273" s="41"/>
      <c r="D273" s="41"/>
      <c r="E273" s="41"/>
      <c r="F273" s="15"/>
      <c r="G273" s="15"/>
      <c r="H273" s="15"/>
      <c r="I273" s="15"/>
      <c r="J273" s="15"/>
      <c r="K273" s="15"/>
      <c r="L273" s="15"/>
      <c r="M273" s="15"/>
      <c r="N273" s="15"/>
      <c r="O273" s="15"/>
      <c r="P273" s="15"/>
      <c r="Q273" s="15"/>
      <c r="R273" s="15"/>
      <c r="S273" s="15"/>
      <c r="T273" s="15"/>
      <c r="U273" s="15"/>
      <c r="V273" s="15"/>
      <c r="W273" s="15"/>
    </row>
    <row r="274" spans="1:23" ht="24" hidden="1" customHeight="1">
      <c r="A274" s="42">
        <v>270</v>
      </c>
      <c r="B274" s="41"/>
      <c r="C274" s="41"/>
      <c r="D274" s="41"/>
      <c r="E274" s="41"/>
      <c r="F274" s="15"/>
      <c r="G274" s="15"/>
      <c r="H274" s="15"/>
      <c r="I274" s="15"/>
      <c r="J274" s="15"/>
      <c r="K274" s="15"/>
      <c r="L274" s="15"/>
      <c r="M274" s="15"/>
      <c r="N274" s="15"/>
      <c r="O274" s="15"/>
      <c r="P274" s="15"/>
      <c r="Q274" s="15"/>
      <c r="R274" s="15"/>
      <c r="S274" s="15"/>
      <c r="T274" s="15"/>
      <c r="U274" s="15"/>
      <c r="V274" s="15"/>
      <c r="W274" s="15"/>
    </row>
    <row r="275" spans="1:23" ht="24" hidden="1" customHeight="1">
      <c r="A275" s="42">
        <v>271</v>
      </c>
      <c r="B275" s="41"/>
      <c r="C275" s="41"/>
      <c r="D275" s="41"/>
      <c r="E275" s="41"/>
      <c r="F275" s="15"/>
      <c r="G275" s="15"/>
      <c r="H275" s="15"/>
      <c r="I275" s="15"/>
      <c r="J275" s="15"/>
      <c r="K275" s="15"/>
      <c r="L275" s="15"/>
      <c r="M275" s="15"/>
      <c r="N275" s="15"/>
      <c r="O275" s="15"/>
      <c r="P275" s="15"/>
      <c r="Q275" s="15"/>
      <c r="R275" s="15"/>
      <c r="S275" s="15"/>
      <c r="T275" s="15"/>
      <c r="U275" s="15"/>
      <c r="V275" s="15"/>
      <c r="W275" s="15"/>
    </row>
    <row r="276" spans="1:23" ht="24" hidden="1" customHeight="1">
      <c r="A276" s="42">
        <v>272</v>
      </c>
      <c r="B276" s="41"/>
      <c r="C276" s="41"/>
      <c r="D276" s="41"/>
      <c r="E276" s="41"/>
      <c r="F276" s="15"/>
      <c r="G276" s="15"/>
      <c r="H276" s="15"/>
      <c r="I276" s="15"/>
      <c r="J276" s="15"/>
      <c r="K276" s="15"/>
      <c r="L276" s="15"/>
      <c r="M276" s="15"/>
      <c r="N276" s="15"/>
      <c r="O276" s="15"/>
      <c r="P276" s="15"/>
      <c r="Q276" s="15"/>
      <c r="R276" s="15"/>
      <c r="S276" s="15"/>
      <c r="T276" s="15"/>
      <c r="U276" s="15"/>
      <c r="V276" s="15"/>
      <c r="W276" s="15"/>
    </row>
    <row r="277" spans="1:23" ht="24" hidden="1" customHeight="1">
      <c r="A277" s="42">
        <v>273</v>
      </c>
      <c r="B277" s="41"/>
      <c r="C277" s="41"/>
      <c r="D277" s="41"/>
      <c r="E277" s="41"/>
      <c r="F277" s="15"/>
      <c r="G277" s="15"/>
      <c r="H277" s="15"/>
      <c r="I277" s="15"/>
      <c r="J277" s="15"/>
      <c r="K277" s="15"/>
      <c r="L277" s="15"/>
      <c r="M277" s="15"/>
      <c r="N277" s="15"/>
      <c r="O277" s="15"/>
      <c r="P277" s="15"/>
      <c r="Q277" s="15"/>
      <c r="R277" s="15"/>
      <c r="S277" s="15"/>
      <c r="T277" s="15"/>
      <c r="U277" s="15"/>
      <c r="V277" s="15"/>
      <c r="W277" s="15"/>
    </row>
    <row r="278" spans="1:23" ht="24" hidden="1" customHeight="1">
      <c r="A278" s="42">
        <v>274</v>
      </c>
      <c r="B278" s="41"/>
      <c r="C278" s="41"/>
      <c r="D278" s="41"/>
      <c r="E278" s="41"/>
      <c r="F278" s="15"/>
      <c r="G278" s="15"/>
      <c r="H278" s="15"/>
      <c r="I278" s="15"/>
      <c r="J278" s="15"/>
      <c r="K278" s="15"/>
      <c r="L278" s="15"/>
      <c r="M278" s="15"/>
      <c r="N278" s="15"/>
      <c r="O278" s="15"/>
      <c r="P278" s="15"/>
      <c r="Q278" s="15"/>
      <c r="R278" s="15"/>
      <c r="S278" s="15"/>
      <c r="T278" s="15"/>
      <c r="U278" s="15"/>
      <c r="V278" s="15"/>
      <c r="W278" s="15"/>
    </row>
    <row r="279" spans="1:23" ht="24" hidden="1" customHeight="1">
      <c r="A279" s="42">
        <v>275</v>
      </c>
      <c r="B279" s="41"/>
      <c r="C279" s="41"/>
      <c r="D279" s="41"/>
      <c r="E279" s="41"/>
      <c r="F279" s="15"/>
      <c r="G279" s="15"/>
      <c r="H279" s="15"/>
      <c r="I279" s="15"/>
      <c r="J279" s="15"/>
      <c r="K279" s="15"/>
      <c r="L279" s="15"/>
      <c r="M279" s="15"/>
      <c r="N279" s="15"/>
      <c r="O279" s="15"/>
      <c r="P279" s="15"/>
      <c r="Q279" s="15"/>
      <c r="R279" s="15"/>
      <c r="S279" s="15"/>
      <c r="T279" s="15"/>
      <c r="U279" s="15"/>
      <c r="V279" s="15"/>
      <c r="W279" s="15"/>
    </row>
    <row r="280" spans="1:23" ht="24" hidden="1" customHeight="1">
      <c r="A280" s="42">
        <v>276</v>
      </c>
      <c r="B280" s="41"/>
      <c r="C280" s="41"/>
      <c r="D280" s="41"/>
      <c r="E280" s="41"/>
      <c r="F280" s="15"/>
      <c r="G280" s="15"/>
      <c r="H280" s="15"/>
      <c r="I280" s="15"/>
      <c r="J280" s="15"/>
      <c r="K280" s="15"/>
      <c r="L280" s="15"/>
      <c r="M280" s="15"/>
      <c r="N280" s="15"/>
      <c r="O280" s="15"/>
      <c r="P280" s="15"/>
      <c r="Q280" s="15"/>
      <c r="R280" s="15"/>
      <c r="S280" s="15"/>
      <c r="T280" s="15"/>
      <c r="U280" s="15"/>
      <c r="V280" s="15"/>
      <c r="W280" s="15"/>
    </row>
    <row r="281" spans="1:23" ht="24" hidden="1" customHeight="1">
      <c r="A281" s="42">
        <v>277</v>
      </c>
      <c r="B281" s="41"/>
      <c r="C281" s="41"/>
      <c r="D281" s="41"/>
      <c r="E281" s="41"/>
      <c r="F281" s="15"/>
      <c r="G281" s="15"/>
      <c r="H281" s="15"/>
      <c r="I281" s="15"/>
      <c r="J281" s="15"/>
      <c r="K281" s="15"/>
      <c r="L281" s="15"/>
      <c r="M281" s="15"/>
      <c r="N281" s="15"/>
      <c r="O281" s="15"/>
      <c r="P281" s="15"/>
      <c r="Q281" s="15"/>
      <c r="R281" s="15"/>
      <c r="S281" s="15"/>
      <c r="T281" s="15"/>
      <c r="U281" s="15"/>
      <c r="V281" s="15"/>
      <c r="W281" s="15"/>
    </row>
    <row r="282" spans="1:23" ht="24" hidden="1" customHeight="1">
      <c r="A282" s="42">
        <v>278</v>
      </c>
      <c r="B282" s="41"/>
      <c r="C282" s="41"/>
      <c r="D282" s="41"/>
      <c r="E282" s="41"/>
      <c r="F282" s="15"/>
      <c r="G282" s="15"/>
      <c r="H282" s="15"/>
      <c r="I282" s="15"/>
      <c r="J282" s="15"/>
      <c r="K282" s="15"/>
      <c r="L282" s="15"/>
      <c r="M282" s="15"/>
      <c r="N282" s="15"/>
      <c r="O282" s="15"/>
      <c r="P282" s="15"/>
      <c r="Q282" s="15"/>
      <c r="R282" s="15"/>
      <c r="S282" s="15"/>
      <c r="T282" s="15"/>
      <c r="U282" s="15"/>
      <c r="V282" s="15"/>
      <c r="W282" s="15"/>
    </row>
    <row r="283" spans="1:23" ht="24" hidden="1" customHeight="1">
      <c r="A283" s="42">
        <v>279</v>
      </c>
      <c r="B283" s="41"/>
      <c r="C283" s="41"/>
      <c r="D283" s="41"/>
      <c r="E283" s="41"/>
      <c r="F283" s="15"/>
      <c r="G283" s="15"/>
      <c r="H283" s="15"/>
      <c r="I283" s="15"/>
      <c r="J283" s="15"/>
      <c r="K283" s="15"/>
      <c r="L283" s="15"/>
      <c r="M283" s="15"/>
      <c r="N283" s="15"/>
      <c r="O283" s="15"/>
      <c r="P283" s="15"/>
      <c r="Q283" s="15"/>
      <c r="R283" s="15"/>
      <c r="S283" s="15"/>
      <c r="T283" s="15"/>
      <c r="U283" s="15"/>
      <c r="V283" s="15"/>
      <c r="W283" s="15"/>
    </row>
    <row r="284" spans="1:23" ht="24" hidden="1" customHeight="1">
      <c r="A284" s="42">
        <v>280</v>
      </c>
      <c r="B284" s="41"/>
      <c r="C284" s="41"/>
      <c r="D284" s="41"/>
      <c r="E284" s="41"/>
      <c r="F284" s="15"/>
      <c r="G284" s="15"/>
      <c r="H284" s="15"/>
      <c r="I284" s="15"/>
      <c r="J284" s="15"/>
      <c r="K284" s="15"/>
      <c r="L284" s="15"/>
      <c r="M284" s="15"/>
      <c r="N284" s="15"/>
      <c r="O284" s="15"/>
      <c r="P284" s="15"/>
      <c r="Q284" s="15"/>
      <c r="R284" s="15"/>
      <c r="S284" s="15"/>
      <c r="T284" s="15"/>
      <c r="U284" s="15"/>
      <c r="V284" s="15"/>
      <c r="W284" s="15"/>
    </row>
    <row r="285" spans="1:23" ht="24" hidden="1" customHeight="1">
      <c r="A285" s="42">
        <v>281</v>
      </c>
      <c r="B285" s="41"/>
      <c r="C285" s="41"/>
      <c r="D285" s="41"/>
      <c r="E285" s="41"/>
      <c r="F285" s="15"/>
      <c r="G285" s="15"/>
      <c r="H285" s="15"/>
      <c r="I285" s="15"/>
      <c r="J285" s="15"/>
      <c r="K285" s="15"/>
      <c r="L285" s="15"/>
      <c r="M285" s="15"/>
      <c r="N285" s="15"/>
      <c r="O285" s="15"/>
      <c r="P285" s="15"/>
      <c r="Q285" s="15"/>
      <c r="R285" s="15"/>
      <c r="S285" s="15"/>
      <c r="T285" s="15"/>
      <c r="U285" s="15"/>
      <c r="V285" s="15"/>
      <c r="W285" s="15"/>
    </row>
    <row r="286" spans="1:23" ht="24" hidden="1" customHeight="1">
      <c r="A286" s="42">
        <v>282</v>
      </c>
      <c r="B286" s="41"/>
      <c r="C286" s="41"/>
      <c r="D286" s="41"/>
      <c r="E286" s="41"/>
      <c r="F286" s="15"/>
      <c r="G286" s="15"/>
      <c r="H286" s="15"/>
      <c r="I286" s="15"/>
      <c r="J286" s="15"/>
      <c r="K286" s="15"/>
      <c r="L286" s="15"/>
      <c r="M286" s="15"/>
      <c r="N286" s="15"/>
      <c r="O286" s="15"/>
      <c r="P286" s="15"/>
      <c r="Q286" s="15"/>
      <c r="R286" s="15"/>
      <c r="S286" s="15"/>
      <c r="T286" s="15"/>
      <c r="U286" s="15"/>
      <c r="V286" s="15"/>
      <c r="W286" s="15"/>
    </row>
    <row r="287" spans="1:23" ht="24" hidden="1" customHeight="1">
      <c r="A287" s="42">
        <v>283</v>
      </c>
      <c r="B287" s="41"/>
      <c r="C287" s="41"/>
      <c r="D287" s="41"/>
      <c r="E287" s="41"/>
      <c r="F287" s="15"/>
      <c r="G287" s="15"/>
      <c r="H287" s="15"/>
      <c r="I287" s="15"/>
      <c r="J287" s="15"/>
      <c r="K287" s="15"/>
      <c r="L287" s="15"/>
      <c r="M287" s="15"/>
      <c r="N287" s="15"/>
      <c r="O287" s="15"/>
      <c r="P287" s="15"/>
      <c r="Q287" s="15"/>
      <c r="R287" s="15"/>
      <c r="S287" s="15"/>
      <c r="T287" s="15"/>
      <c r="U287" s="15"/>
      <c r="V287" s="15"/>
      <c r="W287" s="15"/>
    </row>
    <row r="288" spans="1:23" ht="24" hidden="1" customHeight="1">
      <c r="A288" s="42">
        <v>284</v>
      </c>
      <c r="B288" s="41"/>
      <c r="C288" s="41"/>
      <c r="D288" s="41"/>
      <c r="E288" s="41"/>
      <c r="F288" s="15"/>
      <c r="G288" s="15"/>
      <c r="H288" s="15"/>
      <c r="I288" s="15"/>
      <c r="J288" s="15"/>
      <c r="K288" s="15"/>
      <c r="L288" s="15"/>
      <c r="M288" s="15"/>
      <c r="N288" s="15"/>
      <c r="O288" s="15"/>
      <c r="P288" s="15"/>
      <c r="Q288" s="15"/>
      <c r="R288" s="15"/>
      <c r="S288" s="15"/>
      <c r="T288" s="15"/>
      <c r="U288" s="15"/>
      <c r="V288" s="15"/>
      <c r="W288" s="15"/>
    </row>
    <row r="289" spans="1:23" ht="24" hidden="1" customHeight="1">
      <c r="A289" s="42">
        <v>285</v>
      </c>
      <c r="B289" s="41"/>
      <c r="C289" s="41"/>
      <c r="D289" s="41"/>
      <c r="E289" s="41"/>
      <c r="F289" s="15"/>
      <c r="G289" s="15"/>
      <c r="H289" s="15"/>
      <c r="I289" s="15"/>
      <c r="J289" s="15"/>
      <c r="K289" s="15"/>
      <c r="L289" s="15"/>
      <c r="M289" s="15"/>
      <c r="N289" s="15"/>
      <c r="O289" s="15"/>
      <c r="P289" s="15"/>
      <c r="Q289" s="15"/>
      <c r="R289" s="15"/>
      <c r="S289" s="15"/>
      <c r="T289" s="15"/>
      <c r="U289" s="15"/>
      <c r="V289" s="15"/>
      <c r="W289" s="15"/>
    </row>
    <row r="290" spans="1:23" ht="24" hidden="1" customHeight="1">
      <c r="A290" s="42">
        <v>286</v>
      </c>
      <c r="B290" s="41"/>
      <c r="C290" s="41"/>
      <c r="D290" s="41"/>
      <c r="E290" s="41"/>
      <c r="F290" s="15"/>
      <c r="G290" s="15"/>
      <c r="H290" s="15"/>
      <c r="I290" s="15"/>
      <c r="J290" s="15"/>
      <c r="K290" s="15"/>
      <c r="L290" s="15"/>
      <c r="M290" s="15"/>
      <c r="N290" s="15"/>
      <c r="O290" s="15"/>
      <c r="P290" s="15"/>
      <c r="Q290" s="15"/>
      <c r="R290" s="15"/>
      <c r="S290" s="15"/>
      <c r="T290" s="15"/>
      <c r="U290" s="15"/>
      <c r="V290" s="15"/>
      <c r="W290" s="15"/>
    </row>
    <row r="291" spans="1:23" ht="24" hidden="1" customHeight="1">
      <c r="A291" s="42">
        <v>287</v>
      </c>
      <c r="B291" s="41"/>
      <c r="C291" s="41"/>
      <c r="D291" s="41"/>
      <c r="E291" s="41"/>
      <c r="F291" s="15"/>
      <c r="G291" s="15"/>
      <c r="H291" s="15"/>
      <c r="I291" s="15"/>
      <c r="J291" s="15"/>
      <c r="K291" s="15"/>
      <c r="L291" s="15"/>
      <c r="M291" s="15"/>
      <c r="N291" s="15"/>
      <c r="O291" s="15"/>
      <c r="P291" s="15"/>
      <c r="Q291" s="15"/>
      <c r="R291" s="15"/>
      <c r="S291" s="15"/>
      <c r="T291" s="15"/>
      <c r="U291" s="15"/>
      <c r="V291" s="15"/>
      <c r="W291" s="15"/>
    </row>
    <row r="292" spans="1:23" ht="24" hidden="1" customHeight="1">
      <c r="A292" s="42">
        <v>288</v>
      </c>
      <c r="B292" s="41"/>
      <c r="C292" s="41"/>
      <c r="D292" s="41"/>
      <c r="E292" s="41"/>
      <c r="F292" s="15"/>
      <c r="G292" s="15"/>
      <c r="H292" s="15"/>
      <c r="I292" s="15"/>
      <c r="J292" s="15"/>
      <c r="K292" s="15"/>
      <c r="L292" s="15"/>
      <c r="M292" s="15"/>
      <c r="N292" s="15"/>
      <c r="O292" s="15"/>
      <c r="P292" s="15"/>
      <c r="Q292" s="15"/>
      <c r="R292" s="15"/>
      <c r="S292" s="15"/>
      <c r="T292" s="15"/>
      <c r="U292" s="15"/>
      <c r="V292" s="15"/>
      <c r="W292" s="15"/>
    </row>
    <row r="293" spans="1:23" ht="24" hidden="1" customHeight="1">
      <c r="A293" s="42">
        <v>289</v>
      </c>
      <c r="B293" s="41"/>
      <c r="C293" s="41"/>
      <c r="D293" s="41"/>
      <c r="E293" s="41"/>
      <c r="F293" s="15"/>
      <c r="G293" s="15"/>
      <c r="H293" s="15"/>
      <c r="I293" s="15"/>
      <c r="J293" s="15"/>
      <c r="K293" s="15"/>
      <c r="L293" s="15"/>
      <c r="M293" s="15"/>
      <c r="N293" s="15"/>
      <c r="O293" s="15"/>
      <c r="P293" s="15"/>
      <c r="Q293" s="15"/>
      <c r="R293" s="15"/>
      <c r="S293" s="15"/>
      <c r="T293" s="15"/>
      <c r="U293" s="15"/>
      <c r="V293" s="15"/>
      <c r="W293" s="15"/>
    </row>
    <row r="294" spans="1:23" ht="24" hidden="1" customHeight="1">
      <c r="A294" s="42">
        <v>290</v>
      </c>
      <c r="B294" s="41"/>
      <c r="C294" s="41"/>
      <c r="D294" s="41"/>
      <c r="E294" s="41"/>
      <c r="F294" s="15"/>
      <c r="G294" s="15"/>
      <c r="H294" s="15"/>
      <c r="I294" s="15"/>
      <c r="J294" s="15"/>
      <c r="K294" s="15"/>
      <c r="L294" s="15"/>
      <c r="M294" s="15"/>
      <c r="N294" s="15"/>
      <c r="O294" s="15"/>
      <c r="P294" s="15"/>
      <c r="Q294" s="15"/>
      <c r="R294" s="15"/>
      <c r="S294" s="15"/>
      <c r="T294" s="15"/>
      <c r="U294" s="15"/>
      <c r="V294" s="15"/>
      <c r="W294" s="15"/>
    </row>
    <row r="295" spans="1:23" ht="24" hidden="1" customHeight="1">
      <c r="A295" s="42">
        <v>291</v>
      </c>
      <c r="B295" s="41"/>
      <c r="C295" s="41"/>
      <c r="D295" s="41"/>
      <c r="E295" s="41"/>
      <c r="F295" s="15"/>
      <c r="G295" s="15"/>
      <c r="H295" s="15"/>
      <c r="I295" s="15"/>
      <c r="J295" s="15"/>
      <c r="K295" s="15"/>
      <c r="L295" s="15"/>
      <c r="M295" s="15"/>
      <c r="N295" s="15"/>
      <c r="O295" s="15"/>
      <c r="P295" s="15"/>
      <c r="Q295" s="15"/>
      <c r="R295" s="15"/>
      <c r="S295" s="15"/>
      <c r="T295" s="15"/>
      <c r="U295" s="15"/>
      <c r="V295" s="15"/>
      <c r="W295" s="15"/>
    </row>
    <row r="296" spans="1:23" ht="24" hidden="1" customHeight="1">
      <c r="A296" s="42">
        <v>292</v>
      </c>
      <c r="B296" s="41"/>
      <c r="C296" s="41"/>
      <c r="D296" s="41"/>
      <c r="E296" s="41"/>
      <c r="F296" s="15"/>
      <c r="G296" s="15"/>
      <c r="H296" s="15"/>
      <c r="I296" s="15"/>
      <c r="J296" s="15"/>
      <c r="K296" s="15"/>
      <c r="L296" s="15"/>
      <c r="M296" s="15"/>
      <c r="N296" s="15"/>
      <c r="O296" s="15"/>
      <c r="P296" s="15"/>
      <c r="Q296" s="15"/>
      <c r="R296" s="15"/>
      <c r="S296" s="15"/>
      <c r="T296" s="15"/>
      <c r="U296" s="15"/>
      <c r="V296" s="15"/>
      <c r="W296" s="15"/>
    </row>
    <row r="297" spans="1:23" ht="24" hidden="1" customHeight="1">
      <c r="A297" s="42">
        <v>293</v>
      </c>
      <c r="B297" s="41"/>
      <c r="C297" s="41"/>
      <c r="D297" s="41"/>
      <c r="E297" s="41"/>
      <c r="F297" s="15"/>
      <c r="G297" s="15"/>
      <c r="H297" s="15"/>
      <c r="I297" s="15"/>
      <c r="J297" s="15"/>
      <c r="K297" s="15"/>
      <c r="L297" s="15"/>
      <c r="M297" s="15"/>
      <c r="N297" s="15"/>
      <c r="O297" s="15"/>
      <c r="P297" s="15"/>
      <c r="Q297" s="15"/>
      <c r="R297" s="15"/>
      <c r="S297" s="15"/>
      <c r="T297" s="15"/>
      <c r="U297" s="15"/>
      <c r="V297" s="15"/>
      <c r="W297" s="15"/>
    </row>
    <row r="298" spans="1:23" ht="24" hidden="1" customHeight="1">
      <c r="A298" s="42">
        <v>294</v>
      </c>
      <c r="B298" s="41"/>
      <c r="C298" s="41"/>
      <c r="D298" s="41"/>
      <c r="E298" s="41"/>
      <c r="F298" s="15"/>
      <c r="G298" s="15"/>
      <c r="H298" s="15"/>
      <c r="I298" s="15"/>
      <c r="J298" s="15"/>
      <c r="K298" s="15"/>
      <c r="L298" s="15"/>
      <c r="M298" s="15"/>
      <c r="N298" s="15"/>
      <c r="O298" s="15"/>
      <c r="P298" s="15"/>
      <c r="Q298" s="15"/>
      <c r="R298" s="15"/>
      <c r="S298" s="15"/>
      <c r="T298" s="15"/>
      <c r="U298" s="15"/>
      <c r="V298" s="15"/>
      <c r="W298" s="15"/>
    </row>
    <row r="299" spans="1:23" ht="24" hidden="1" customHeight="1">
      <c r="A299" s="42">
        <v>295</v>
      </c>
      <c r="B299" s="41"/>
      <c r="C299" s="41"/>
      <c r="D299" s="41"/>
      <c r="E299" s="41"/>
      <c r="F299" s="15"/>
      <c r="G299" s="15"/>
      <c r="H299" s="15"/>
      <c r="I299" s="15"/>
      <c r="J299" s="15"/>
      <c r="K299" s="15"/>
      <c r="L299" s="15"/>
      <c r="M299" s="15"/>
      <c r="N299" s="15"/>
      <c r="O299" s="15"/>
      <c r="P299" s="15"/>
      <c r="Q299" s="15"/>
      <c r="R299" s="15"/>
      <c r="S299" s="15"/>
      <c r="T299" s="15"/>
      <c r="U299" s="15"/>
      <c r="V299" s="15"/>
      <c r="W299" s="15"/>
    </row>
    <row r="300" spans="1:23" ht="24" hidden="1" customHeight="1">
      <c r="A300" s="42">
        <v>296</v>
      </c>
      <c r="B300" s="41"/>
      <c r="C300" s="41"/>
      <c r="D300" s="41"/>
      <c r="E300" s="41"/>
      <c r="F300" s="15"/>
      <c r="G300" s="15"/>
      <c r="H300" s="15"/>
      <c r="I300" s="15"/>
      <c r="J300" s="15"/>
      <c r="K300" s="15"/>
      <c r="L300" s="15"/>
      <c r="M300" s="15"/>
      <c r="N300" s="15"/>
      <c r="O300" s="15"/>
      <c r="P300" s="15"/>
      <c r="Q300" s="15"/>
      <c r="R300" s="15"/>
      <c r="S300" s="15"/>
      <c r="T300" s="15"/>
      <c r="U300" s="15"/>
      <c r="V300" s="15"/>
      <c r="W300" s="15"/>
    </row>
    <row r="301" spans="1:23" ht="24" hidden="1" customHeight="1">
      <c r="A301" s="42">
        <v>297</v>
      </c>
      <c r="B301" s="41"/>
      <c r="C301" s="41"/>
      <c r="D301" s="41"/>
      <c r="E301" s="41"/>
      <c r="F301" s="15"/>
      <c r="G301" s="15"/>
      <c r="H301" s="15"/>
      <c r="I301" s="15"/>
      <c r="J301" s="15"/>
      <c r="K301" s="15"/>
      <c r="L301" s="15"/>
      <c r="M301" s="15"/>
      <c r="N301" s="15"/>
      <c r="O301" s="15"/>
      <c r="P301" s="15"/>
      <c r="Q301" s="15"/>
      <c r="R301" s="15"/>
      <c r="S301" s="15"/>
      <c r="T301" s="15"/>
      <c r="U301" s="15"/>
      <c r="V301" s="15"/>
      <c r="W301" s="15"/>
    </row>
    <row r="302" spans="1:23" ht="24" hidden="1" customHeight="1">
      <c r="A302" s="42">
        <v>298</v>
      </c>
      <c r="B302" s="41"/>
      <c r="C302" s="41"/>
      <c r="D302" s="41"/>
      <c r="E302" s="41"/>
      <c r="F302" s="15"/>
      <c r="G302" s="15"/>
      <c r="H302" s="15"/>
      <c r="I302" s="15"/>
      <c r="J302" s="15"/>
      <c r="K302" s="15"/>
      <c r="L302" s="15"/>
      <c r="M302" s="15"/>
      <c r="N302" s="15"/>
      <c r="O302" s="15"/>
      <c r="P302" s="15"/>
      <c r="Q302" s="15"/>
      <c r="R302" s="15"/>
      <c r="S302" s="15"/>
      <c r="T302" s="15"/>
      <c r="U302" s="15"/>
      <c r="V302" s="15"/>
      <c r="W302" s="15"/>
    </row>
    <row r="303" spans="1:23" ht="24" hidden="1" customHeight="1">
      <c r="A303" s="42">
        <v>299</v>
      </c>
      <c r="B303" s="41"/>
      <c r="C303" s="41"/>
      <c r="D303" s="41"/>
      <c r="E303" s="41"/>
      <c r="F303" s="15"/>
      <c r="G303" s="15"/>
      <c r="H303" s="15"/>
      <c r="I303" s="15"/>
      <c r="J303" s="15"/>
      <c r="K303" s="15"/>
      <c r="L303" s="15"/>
      <c r="M303" s="15"/>
      <c r="N303" s="15"/>
      <c r="O303" s="15"/>
      <c r="P303" s="15"/>
      <c r="Q303" s="15"/>
      <c r="R303" s="15"/>
      <c r="S303" s="15"/>
      <c r="T303" s="15"/>
      <c r="U303" s="15"/>
      <c r="V303" s="15"/>
      <c r="W303" s="15"/>
    </row>
    <row r="304" spans="1:23" ht="24" hidden="1" customHeight="1">
      <c r="A304" s="42">
        <v>300</v>
      </c>
      <c r="B304" s="41"/>
      <c r="C304" s="41"/>
      <c r="D304" s="41"/>
      <c r="E304" s="41"/>
      <c r="F304" s="15"/>
      <c r="G304" s="15"/>
      <c r="H304" s="15"/>
      <c r="I304" s="15"/>
      <c r="J304" s="15"/>
      <c r="K304" s="15"/>
      <c r="L304" s="15"/>
      <c r="M304" s="15"/>
      <c r="N304" s="15"/>
      <c r="O304" s="15"/>
      <c r="P304" s="15"/>
      <c r="Q304" s="15"/>
      <c r="R304" s="15"/>
      <c r="S304" s="15"/>
      <c r="T304" s="15"/>
      <c r="U304" s="15"/>
      <c r="V304" s="15"/>
      <c r="W304" s="15"/>
    </row>
    <row r="305" spans="1:23">
      <c r="A305" s="15"/>
      <c r="B305" s="15"/>
      <c r="C305" s="15"/>
      <c r="D305" s="15"/>
      <c r="E305" s="15"/>
      <c r="F305" s="15"/>
      <c r="G305" s="15"/>
      <c r="H305" s="15"/>
      <c r="I305" s="15"/>
      <c r="J305" s="15"/>
      <c r="K305" s="15"/>
      <c r="L305" s="15"/>
      <c r="M305" s="15"/>
      <c r="N305" s="15"/>
      <c r="O305" s="15"/>
      <c r="P305" s="15"/>
      <c r="Q305" s="15"/>
      <c r="R305" s="15"/>
      <c r="S305" s="15"/>
      <c r="T305" s="15"/>
      <c r="U305" s="15"/>
      <c r="V305" s="15"/>
      <c r="W305" s="15"/>
    </row>
    <row r="306" spans="1:23">
      <c r="A306" s="15"/>
      <c r="B306" s="15"/>
      <c r="C306" s="15"/>
      <c r="D306" s="15"/>
      <c r="E306" s="15"/>
      <c r="F306" s="15"/>
      <c r="G306" s="15"/>
      <c r="H306" s="15"/>
      <c r="I306" s="15"/>
      <c r="J306" s="15"/>
      <c r="K306" s="15"/>
      <c r="L306" s="15"/>
      <c r="M306" s="15"/>
      <c r="N306" s="15"/>
      <c r="O306" s="15"/>
      <c r="P306" s="15"/>
      <c r="Q306" s="15"/>
      <c r="R306" s="15"/>
      <c r="S306" s="15"/>
      <c r="T306" s="15"/>
      <c r="U306" s="15"/>
      <c r="V306" s="15"/>
      <c r="W306" s="15"/>
    </row>
    <row r="307" spans="1:23">
      <c r="A307" s="15"/>
      <c r="B307" s="15"/>
      <c r="C307" s="15"/>
      <c r="D307" s="15"/>
      <c r="E307" s="15"/>
      <c r="F307" s="15"/>
      <c r="G307" s="15"/>
      <c r="H307" s="15"/>
      <c r="I307" s="15"/>
      <c r="J307" s="15"/>
      <c r="K307" s="15"/>
      <c r="L307" s="15"/>
      <c r="M307" s="15"/>
      <c r="N307" s="15"/>
      <c r="O307" s="15"/>
      <c r="P307" s="15"/>
      <c r="Q307" s="15"/>
      <c r="R307" s="15"/>
      <c r="S307" s="15"/>
      <c r="T307" s="15"/>
      <c r="U307" s="15"/>
      <c r="V307" s="15"/>
      <c r="W307" s="15"/>
    </row>
    <row r="308" spans="1:23">
      <c r="A308" s="15"/>
      <c r="B308" s="15"/>
      <c r="C308" s="15"/>
      <c r="D308" s="15"/>
      <c r="E308" s="15"/>
      <c r="F308" s="15"/>
      <c r="G308" s="15"/>
      <c r="H308" s="15"/>
      <c r="I308" s="15"/>
      <c r="J308" s="15"/>
      <c r="K308" s="15"/>
      <c r="L308" s="15"/>
      <c r="M308" s="15"/>
      <c r="N308" s="15"/>
      <c r="O308" s="15"/>
      <c r="P308" s="15"/>
      <c r="Q308" s="15"/>
      <c r="R308" s="15"/>
      <c r="S308" s="15"/>
      <c r="T308" s="15"/>
      <c r="U308" s="15"/>
      <c r="V308" s="15"/>
      <c r="W308" s="15"/>
    </row>
    <row r="309" spans="1:23">
      <c r="A309" s="15"/>
      <c r="B309" s="15"/>
      <c r="C309" s="15"/>
      <c r="D309" s="15"/>
      <c r="E309" s="15"/>
      <c r="F309" s="15"/>
      <c r="G309" s="15"/>
      <c r="H309" s="15"/>
      <c r="I309" s="15"/>
      <c r="J309" s="15"/>
      <c r="K309" s="15"/>
      <c r="L309" s="15"/>
      <c r="M309" s="15"/>
      <c r="N309" s="15"/>
      <c r="O309" s="15"/>
      <c r="P309" s="15"/>
      <c r="Q309" s="15"/>
      <c r="R309" s="15"/>
      <c r="S309" s="15"/>
      <c r="T309" s="15"/>
      <c r="U309" s="15"/>
      <c r="V309" s="15"/>
      <c r="W309" s="15"/>
    </row>
    <row r="310" spans="1:23">
      <c r="A310" s="15"/>
      <c r="B310" s="15"/>
      <c r="C310" s="15"/>
      <c r="D310" s="15"/>
      <c r="E310" s="15"/>
      <c r="F310" s="15"/>
      <c r="G310" s="15"/>
      <c r="H310" s="15"/>
      <c r="I310" s="15"/>
      <c r="J310" s="15"/>
      <c r="K310" s="15"/>
      <c r="L310" s="15"/>
      <c r="M310" s="15"/>
      <c r="N310" s="15"/>
      <c r="O310" s="15"/>
      <c r="P310" s="15"/>
      <c r="Q310" s="15"/>
      <c r="R310" s="15"/>
      <c r="S310" s="15"/>
      <c r="T310" s="15"/>
      <c r="U310" s="15"/>
      <c r="V310" s="15"/>
      <c r="W310" s="15"/>
    </row>
    <row r="311" spans="1:23">
      <c r="A311" s="15"/>
      <c r="B311" s="15"/>
      <c r="C311" s="15"/>
      <c r="D311" s="15"/>
      <c r="E311" s="15"/>
      <c r="F311" s="15"/>
      <c r="G311" s="15"/>
      <c r="H311" s="15"/>
      <c r="I311" s="15"/>
      <c r="J311" s="15"/>
      <c r="K311" s="15"/>
      <c r="L311" s="15"/>
      <c r="M311" s="15"/>
      <c r="N311" s="15"/>
      <c r="O311" s="15"/>
      <c r="P311" s="15"/>
      <c r="Q311" s="15"/>
      <c r="R311" s="15"/>
      <c r="S311" s="15"/>
      <c r="T311" s="15"/>
      <c r="U311" s="15"/>
      <c r="V311" s="15"/>
      <c r="W311" s="15"/>
    </row>
    <row r="312" spans="1:23">
      <c r="A312" s="15"/>
      <c r="B312" s="15"/>
      <c r="C312" s="15"/>
      <c r="D312" s="15"/>
      <c r="E312" s="15"/>
      <c r="F312" s="15"/>
      <c r="G312" s="15"/>
      <c r="H312" s="15"/>
      <c r="I312" s="15"/>
      <c r="J312" s="15"/>
      <c r="K312" s="15"/>
      <c r="L312" s="15"/>
      <c r="M312" s="15"/>
      <c r="N312" s="15"/>
      <c r="O312" s="15"/>
      <c r="P312" s="15"/>
      <c r="Q312" s="15"/>
      <c r="R312" s="15"/>
      <c r="S312" s="15"/>
      <c r="T312" s="15"/>
      <c r="U312" s="15"/>
      <c r="V312" s="15"/>
      <c r="W312" s="15"/>
    </row>
    <row r="313" spans="1:23">
      <c r="A313" s="15"/>
      <c r="B313" s="15"/>
      <c r="C313" s="15"/>
      <c r="D313" s="15"/>
      <c r="E313" s="15"/>
      <c r="F313" s="15"/>
      <c r="G313" s="15"/>
      <c r="H313" s="15"/>
      <c r="I313" s="15"/>
      <c r="J313" s="15"/>
      <c r="K313" s="15"/>
      <c r="L313" s="15"/>
      <c r="M313" s="15"/>
      <c r="N313" s="15"/>
      <c r="O313" s="15"/>
      <c r="P313" s="15"/>
      <c r="Q313" s="15"/>
      <c r="R313" s="15"/>
      <c r="S313" s="15"/>
      <c r="T313" s="15"/>
      <c r="U313" s="15"/>
      <c r="V313" s="15"/>
      <c r="W313" s="15"/>
    </row>
    <row r="314" spans="1:23">
      <c r="A314" s="15"/>
      <c r="B314" s="15"/>
      <c r="C314" s="15"/>
      <c r="D314" s="15"/>
      <c r="E314" s="15"/>
      <c r="F314" s="15"/>
      <c r="G314" s="15"/>
      <c r="H314" s="15"/>
      <c r="I314" s="15"/>
      <c r="J314" s="15"/>
      <c r="K314" s="15"/>
      <c r="L314" s="15"/>
      <c r="M314" s="15"/>
      <c r="N314" s="15"/>
      <c r="O314" s="15"/>
      <c r="P314" s="15"/>
      <c r="Q314" s="15"/>
      <c r="R314" s="15"/>
      <c r="S314" s="15"/>
      <c r="T314" s="15"/>
      <c r="U314" s="15"/>
      <c r="V314" s="15"/>
      <c r="W314" s="15"/>
    </row>
    <row r="315" spans="1:23">
      <c r="A315" s="15"/>
      <c r="B315" s="15"/>
      <c r="C315" s="15"/>
      <c r="D315" s="15"/>
      <c r="E315" s="15"/>
      <c r="F315" s="15"/>
      <c r="G315" s="15"/>
      <c r="H315" s="15"/>
      <c r="I315" s="15"/>
      <c r="J315" s="15"/>
      <c r="K315" s="15"/>
      <c r="L315" s="15"/>
      <c r="M315" s="15"/>
      <c r="N315" s="15"/>
      <c r="O315" s="15"/>
      <c r="P315" s="15"/>
      <c r="Q315" s="15"/>
      <c r="R315" s="15"/>
      <c r="S315" s="15"/>
      <c r="T315" s="15"/>
      <c r="U315" s="15"/>
      <c r="V315" s="15"/>
      <c r="W315" s="15"/>
    </row>
    <row r="316" spans="1:23">
      <c r="A316" s="15"/>
      <c r="B316" s="15"/>
      <c r="C316" s="15"/>
      <c r="D316" s="15"/>
      <c r="E316" s="15"/>
      <c r="F316" s="15"/>
      <c r="G316" s="15"/>
      <c r="H316" s="15"/>
      <c r="I316" s="15"/>
      <c r="J316" s="15"/>
      <c r="K316" s="15"/>
      <c r="L316" s="15"/>
      <c r="M316" s="15"/>
      <c r="N316" s="15"/>
      <c r="O316" s="15"/>
      <c r="P316" s="15"/>
      <c r="Q316" s="15"/>
      <c r="R316" s="15"/>
      <c r="S316" s="15"/>
      <c r="T316" s="15"/>
      <c r="U316" s="15"/>
      <c r="V316" s="15"/>
      <c r="W316" s="15"/>
    </row>
    <row r="317" spans="1:23">
      <c r="A317" s="15"/>
      <c r="B317" s="15"/>
      <c r="C317" s="15"/>
      <c r="D317" s="15"/>
      <c r="E317" s="15"/>
      <c r="F317" s="15"/>
      <c r="G317" s="15"/>
      <c r="H317" s="15"/>
      <c r="I317" s="15"/>
      <c r="J317" s="15"/>
      <c r="K317" s="15"/>
      <c r="L317" s="15"/>
      <c r="M317" s="15"/>
      <c r="N317" s="15"/>
      <c r="O317" s="15"/>
      <c r="P317" s="15"/>
      <c r="Q317" s="15"/>
      <c r="R317" s="15"/>
      <c r="S317" s="15"/>
      <c r="T317" s="15"/>
      <c r="U317" s="15"/>
      <c r="V317" s="15"/>
      <c r="W317" s="15"/>
    </row>
    <row r="318" spans="1:23">
      <c r="A318" s="15"/>
      <c r="B318" s="15"/>
      <c r="C318" s="15"/>
      <c r="D318" s="15"/>
      <c r="E318" s="15"/>
      <c r="F318" s="15"/>
      <c r="G318" s="15"/>
      <c r="H318" s="15"/>
      <c r="I318" s="15"/>
      <c r="J318" s="15"/>
      <c r="K318" s="15"/>
      <c r="L318" s="15"/>
      <c r="M318" s="15"/>
      <c r="N318" s="15"/>
      <c r="O318" s="15"/>
      <c r="P318" s="15"/>
      <c r="Q318" s="15"/>
      <c r="R318" s="15"/>
      <c r="S318" s="15"/>
      <c r="T318" s="15"/>
      <c r="U318" s="15"/>
      <c r="V318" s="15"/>
      <c r="W318" s="15"/>
    </row>
    <row r="319" spans="1:23">
      <c r="A319" s="15"/>
      <c r="B319" s="15"/>
      <c r="C319" s="15"/>
      <c r="D319" s="15"/>
      <c r="E319" s="15"/>
      <c r="F319" s="15"/>
      <c r="G319" s="15"/>
      <c r="H319" s="15"/>
      <c r="I319" s="15"/>
      <c r="J319" s="15"/>
      <c r="K319" s="15"/>
      <c r="L319" s="15"/>
      <c r="M319" s="15"/>
      <c r="N319" s="15"/>
      <c r="O319" s="15"/>
      <c r="P319" s="15"/>
      <c r="Q319" s="15"/>
      <c r="R319" s="15"/>
      <c r="S319" s="15"/>
      <c r="T319" s="15"/>
      <c r="U319" s="15"/>
      <c r="V319" s="15"/>
      <c r="W319" s="15"/>
    </row>
    <row r="320" spans="1:23">
      <c r="A320" s="15"/>
      <c r="B320" s="15"/>
      <c r="C320" s="15"/>
      <c r="D320" s="15"/>
      <c r="E320" s="15"/>
      <c r="F320" s="15"/>
      <c r="G320" s="15"/>
      <c r="H320" s="15"/>
      <c r="I320" s="15"/>
      <c r="J320" s="15"/>
      <c r="K320" s="15"/>
      <c r="L320" s="15"/>
      <c r="M320" s="15"/>
      <c r="N320" s="15"/>
      <c r="O320" s="15"/>
      <c r="P320" s="15"/>
      <c r="Q320" s="15"/>
      <c r="R320" s="15"/>
      <c r="S320" s="15"/>
      <c r="T320" s="15"/>
      <c r="U320" s="15"/>
      <c r="V320" s="15"/>
      <c r="W320" s="15"/>
    </row>
  </sheetData>
  <mergeCells count="26">
    <mergeCell ref="B17:E17"/>
    <mergeCell ref="B18:E18"/>
    <mergeCell ref="B19:E19"/>
    <mergeCell ref="O21:W21"/>
    <mergeCell ref="Q13:R13"/>
    <mergeCell ref="B14:E14"/>
    <mergeCell ref="B15:E15"/>
    <mergeCell ref="O15:R15"/>
    <mergeCell ref="B16:E16"/>
    <mergeCell ref="B9:E9"/>
    <mergeCell ref="B10:E10"/>
    <mergeCell ref="B11:E11"/>
    <mergeCell ref="B12:E12"/>
    <mergeCell ref="B13:E13"/>
    <mergeCell ref="B4:E4"/>
    <mergeCell ref="B5:E5"/>
    <mergeCell ref="B6:E6"/>
    <mergeCell ref="B7:E7"/>
    <mergeCell ref="B8:E8"/>
    <mergeCell ref="A1:E1"/>
    <mergeCell ref="H1:I1"/>
    <mergeCell ref="K1:M1"/>
    <mergeCell ref="O1:W1"/>
    <mergeCell ref="A3:E3"/>
    <mergeCell ref="O3:R3"/>
    <mergeCell ref="T3:W3"/>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76" t="s">
        <v>201</v>
      </c>
      <c r="B1" s="76"/>
      <c r="C1" s="76"/>
      <c r="D1" s="76"/>
      <c r="E1" s="76"/>
      <c r="F1" s="76"/>
      <c r="G1" s="76"/>
      <c r="H1" s="76"/>
      <c r="I1" s="2"/>
      <c r="J1" s="2"/>
    </row>
    <row r="2" spans="1:10" ht="24" customHeight="1">
      <c r="A2" s="3" t="s">
        <v>202</v>
      </c>
      <c r="B2" s="3" t="s">
        <v>203</v>
      </c>
      <c r="C2" s="3" t="s">
        <v>202</v>
      </c>
      <c r="D2" s="3" t="s">
        <v>203</v>
      </c>
      <c r="E2" s="2"/>
      <c r="F2" s="77" t="s">
        <v>204</v>
      </c>
      <c r="G2" s="77"/>
      <c r="H2" s="77"/>
      <c r="I2" s="2"/>
      <c r="J2" s="2"/>
    </row>
    <row r="3" spans="1:10" ht="24" customHeight="1">
      <c r="A3" s="4" t="s">
        <v>17</v>
      </c>
      <c r="B3" s="4"/>
      <c r="C3" s="4" t="s">
        <v>18</v>
      </c>
      <c r="D3" s="4"/>
      <c r="E3" s="2"/>
      <c r="F3" s="3" t="s">
        <v>144</v>
      </c>
      <c r="G3" s="3" t="s">
        <v>205</v>
      </c>
      <c r="H3" s="3" t="s">
        <v>206</v>
      </c>
      <c r="I3" s="2"/>
      <c r="J3" s="2"/>
    </row>
    <row r="4" spans="1:10" ht="24" customHeight="1">
      <c r="A4" s="4" t="s">
        <v>24</v>
      </c>
      <c r="B4" s="4"/>
      <c r="C4" s="4" t="s">
        <v>25</v>
      </c>
      <c r="D4" s="4"/>
      <c r="E4" s="2"/>
      <c r="F4" s="4">
        <f t="shared" ref="F4:F13" si="0">ROW()-3</f>
        <v>1</v>
      </c>
      <c r="G4" s="4"/>
      <c r="H4" s="4" t="str">
        <f>IF(OR(G4="",G4="空"),"",IFERROR(VLOOKUP(G4,【墨家】物品库!$K$5:$M$300,3,FALSE),""))</f>
        <v/>
      </c>
      <c r="I4" s="2"/>
      <c r="J4" s="2"/>
    </row>
    <row r="5" spans="1:10" ht="24" customHeight="1">
      <c r="A5" s="4" t="s">
        <v>28</v>
      </c>
      <c r="B5" s="4"/>
      <c r="C5" s="4" t="s">
        <v>29</v>
      </c>
      <c r="D5" s="4"/>
      <c r="E5" s="2"/>
      <c r="F5" s="4">
        <f t="shared" si="0"/>
        <v>2</v>
      </c>
      <c r="G5" s="4"/>
      <c r="H5" s="4" t="str">
        <f>IF(OR(G5="",G5="空"),"",IFERROR(VLOOKUP(G5,【墨家】物品库!$K$5:$M$300,3,FALSE),""))</f>
        <v/>
      </c>
      <c r="I5" s="2"/>
      <c r="J5" s="2"/>
    </row>
    <row r="6" spans="1:10" ht="24" customHeight="1">
      <c r="A6" s="4" t="s">
        <v>33</v>
      </c>
      <c r="B6" s="4"/>
      <c r="C6" s="4" t="s">
        <v>34</v>
      </c>
      <c r="D6" s="4"/>
      <c r="E6" s="2"/>
      <c r="F6" s="4">
        <f t="shared" si="0"/>
        <v>3</v>
      </c>
      <c r="G6" s="4"/>
      <c r="H6" s="4" t="str">
        <f>IF(OR(G6="",G6="空"),"",IFERROR(VLOOKUP(G6,【墨家】物品库!$K$5:$M$300,3,FALSE),""))</f>
        <v/>
      </c>
      <c r="I6" s="2"/>
      <c r="J6" s="2"/>
    </row>
    <row r="7" spans="1:10" ht="24" customHeight="1">
      <c r="A7" s="4" t="s">
        <v>148</v>
      </c>
      <c r="B7" s="4"/>
      <c r="C7" s="4" t="s">
        <v>41</v>
      </c>
      <c r="D7" s="4"/>
      <c r="E7" s="2"/>
      <c r="F7" s="4">
        <f t="shared" si="0"/>
        <v>4</v>
      </c>
      <c r="G7" s="4"/>
      <c r="H7" s="4" t="str">
        <f>IF(OR(G7="",G7="空"),"",IFERROR(VLOOKUP(G7,【墨家】物品库!$K$5:$M$300,3,FALSE),""))</f>
        <v/>
      </c>
      <c r="I7" s="2"/>
      <c r="J7" s="2"/>
    </row>
    <row r="8" spans="1:10" ht="24" customHeight="1">
      <c r="A8" s="4" t="s">
        <v>174</v>
      </c>
      <c r="B8" s="4"/>
      <c r="C8" s="4" t="s">
        <v>11</v>
      </c>
      <c r="D8" s="4"/>
      <c r="E8" s="2"/>
      <c r="F8" s="4">
        <f t="shared" si="0"/>
        <v>5</v>
      </c>
      <c r="G8" s="4"/>
      <c r="H8" s="4" t="str">
        <f>IF(OR(G8="",G8="空"),"",IFERROR(VLOOKUP(G8,【墨家】物品库!$K$5:$M$300,3,FALSE),""))</f>
        <v/>
      </c>
      <c r="I8" s="2"/>
      <c r="J8" s="2"/>
    </row>
    <row r="9" spans="1:10" ht="24" customHeight="1">
      <c r="A9" s="4" t="s">
        <v>153</v>
      </c>
      <c r="B9" s="4"/>
      <c r="C9" s="4" t="s">
        <v>207</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208</v>
      </c>
      <c r="B11" s="4">
        <f>1+SUM(D18:D27)</f>
        <v>1</v>
      </c>
      <c r="C11" s="5" t="s">
        <v>209</v>
      </c>
      <c r="D11" s="4">
        <v>5</v>
      </c>
      <c r="E11" s="2"/>
      <c r="F11" s="4">
        <f t="shared" si="0"/>
        <v>8</v>
      </c>
      <c r="G11" s="4"/>
      <c r="H11" s="4" t="str">
        <f>IF(OR(G11="",G11="空"),"",IFERROR(VLOOKUP(G11,【墨家】物品库!$K$5:$M$300,3,FALSE),""))</f>
        <v/>
      </c>
      <c r="I11" s="2"/>
      <c r="J11" s="2"/>
    </row>
    <row r="12" spans="1:10" ht="24" customHeight="1">
      <c r="A12" s="5" t="s">
        <v>210</v>
      </c>
      <c r="B12" s="4">
        <f>COUNTIFS(G4:G13,"&lt;&gt;",G4:G13,"&lt;&gt;空")</f>
        <v>0</v>
      </c>
      <c r="C12" s="5" t="s">
        <v>211</v>
      </c>
      <c r="D12" s="4">
        <f>D11+SUM(C18:C27)+B13</f>
        <v>5</v>
      </c>
      <c r="E12" s="2"/>
      <c r="F12" s="4">
        <f t="shared" si="0"/>
        <v>9</v>
      </c>
      <c r="G12" s="4"/>
      <c r="H12" s="4" t="str">
        <f>IF(OR(G12="",G12="空"),"",IFERROR(VLOOKUP(G12,【墨家】物品库!$K$5:$M$300,3,FALSE),""))</f>
        <v/>
      </c>
      <c r="I12" s="2"/>
      <c r="J12" s="2"/>
    </row>
    <row r="13" spans="1:10" ht="24" customHeight="1">
      <c r="A13" s="5" t="s">
        <v>212</v>
      </c>
      <c r="B13" s="4">
        <f>COUNTIF(G4:G13,"槽位插件")*3</f>
        <v>0</v>
      </c>
      <c r="C13" s="5" t="s">
        <v>213</v>
      </c>
      <c r="D13" s="4">
        <f>SUM(I31:I330)</f>
        <v>0</v>
      </c>
      <c r="E13" s="2"/>
      <c r="F13" s="4">
        <f t="shared" si="0"/>
        <v>10</v>
      </c>
      <c r="G13" s="4"/>
      <c r="H13" s="4" t="str">
        <f>IF(OR(G13="",G13="空"),"",IFERROR(VLOOKUP(G13,【墨家】物品库!$K$5:$M$300,3,FALSE),""))</f>
        <v/>
      </c>
      <c r="I13" s="2"/>
      <c r="J13" s="2"/>
    </row>
    <row r="14" spans="1:10" ht="24" customHeight="1">
      <c r="A14" s="5" t="s">
        <v>214</v>
      </c>
      <c r="B14" s="4">
        <f>B11-B12</f>
        <v>1</v>
      </c>
      <c r="C14" s="5" t="s">
        <v>215</v>
      </c>
      <c r="D14" s="4">
        <f>D12-D13</f>
        <v>5</v>
      </c>
      <c r="E14" s="2"/>
      <c r="F14" s="2"/>
      <c r="G14" s="2"/>
      <c r="H14" s="2"/>
      <c r="I14" s="2"/>
      <c r="J14" s="2"/>
    </row>
    <row r="15" spans="1:10" ht="24" customHeight="1">
      <c r="A15" s="2"/>
      <c r="B15" s="2"/>
      <c r="C15" s="5" t="s">
        <v>216</v>
      </c>
      <c r="D15" s="4" t="s">
        <v>217</v>
      </c>
      <c r="E15" s="2"/>
      <c r="F15" s="2"/>
      <c r="G15" s="2"/>
      <c r="H15" s="2"/>
      <c r="I15" s="2"/>
      <c r="J15" s="2"/>
    </row>
    <row r="16" spans="1:10" ht="25.95" customHeight="1">
      <c r="A16" s="78" t="s">
        <v>218</v>
      </c>
      <c r="B16" s="78"/>
      <c r="C16" s="78"/>
      <c r="D16" s="78"/>
      <c r="E16" s="78"/>
      <c r="F16" s="81" t="s">
        <v>219</v>
      </c>
      <c r="G16" s="81"/>
      <c r="H16" s="81"/>
      <c r="I16" s="2"/>
      <c r="J16" s="2"/>
    </row>
    <row r="17" spans="1:10" ht="25.95" customHeight="1">
      <c r="A17" s="3" t="s">
        <v>144</v>
      </c>
      <c r="B17" s="3" t="s">
        <v>134</v>
      </c>
      <c r="C17" s="3" t="s">
        <v>220</v>
      </c>
      <c r="D17" s="3" t="s">
        <v>221</v>
      </c>
      <c r="E17" s="3" t="s">
        <v>136</v>
      </c>
      <c r="F17" s="81"/>
      <c r="G17" s="81"/>
      <c r="H17" s="81"/>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79" t="s">
        <v>222</v>
      </c>
      <c r="B29" s="79"/>
      <c r="C29" s="79"/>
      <c r="D29" s="79"/>
      <c r="E29" s="79"/>
      <c r="F29" s="2"/>
      <c r="G29" s="2"/>
      <c r="H29" s="2"/>
      <c r="I29" s="2"/>
      <c r="J29" s="2"/>
    </row>
    <row r="30" spans="1:10" ht="25.95" customHeight="1">
      <c r="A30" s="3" t="s">
        <v>139</v>
      </c>
      <c r="B30" s="80" t="s">
        <v>140</v>
      </c>
      <c r="C30" s="80"/>
      <c r="D30" s="80"/>
      <c r="E30" s="80"/>
      <c r="F30" s="2"/>
      <c r="G30" s="2"/>
      <c r="H30" s="2"/>
      <c r="I30" s="2"/>
      <c r="J30" s="2"/>
    </row>
    <row r="31" spans="1:10" ht="24" customHeight="1">
      <c r="A31" s="7">
        <v>1</v>
      </c>
      <c r="B31" s="82"/>
      <c r="C31" s="83"/>
      <c r="D31" s="83"/>
      <c r="E31" s="84"/>
      <c r="F31" s="2"/>
      <c r="G31" s="2"/>
      <c r="H31" s="2"/>
      <c r="I31" s="2"/>
      <c r="J31" s="2"/>
    </row>
    <row r="32" spans="1:10" ht="24" customHeight="1">
      <c r="A32" s="7">
        <v>2</v>
      </c>
      <c r="B32" s="82"/>
      <c r="C32" s="83"/>
      <c r="D32" s="83"/>
      <c r="E32" s="84"/>
      <c r="F32" s="2"/>
      <c r="G32" s="2"/>
      <c r="H32" s="2"/>
      <c r="I32" s="2"/>
      <c r="J32" s="2"/>
    </row>
    <row r="33" spans="1:10" ht="24" customHeight="1">
      <c r="A33" s="7">
        <v>3</v>
      </c>
      <c r="B33" s="82"/>
      <c r="C33" s="83"/>
      <c r="D33" s="83"/>
      <c r="E33" s="84"/>
      <c r="F33" s="2"/>
      <c r="G33" s="2"/>
      <c r="H33" s="2"/>
      <c r="I33" s="2"/>
      <c r="J33" s="2"/>
    </row>
    <row r="34" spans="1:10" ht="24" customHeight="1">
      <c r="A34" s="7">
        <v>4</v>
      </c>
      <c r="B34" s="82"/>
      <c r="C34" s="83"/>
      <c r="D34" s="83"/>
      <c r="E34" s="84"/>
      <c r="F34" s="2"/>
      <c r="G34" s="2"/>
      <c r="H34" s="2"/>
      <c r="I34" s="2"/>
      <c r="J34" s="2"/>
    </row>
    <row r="35" spans="1:10" ht="24" customHeight="1">
      <c r="A35" s="7">
        <v>5</v>
      </c>
      <c r="B35" s="82"/>
      <c r="C35" s="83"/>
      <c r="D35" s="83"/>
      <c r="E35" s="84"/>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B31:E31"/>
    <mergeCell ref="B32:E32"/>
    <mergeCell ref="B33:E33"/>
    <mergeCell ref="B34:E34"/>
    <mergeCell ref="B35:E35"/>
    <mergeCell ref="A1:H1"/>
    <mergeCell ref="F2:H2"/>
    <mergeCell ref="A16:E16"/>
    <mergeCell ref="A29:E29"/>
    <mergeCell ref="B30:E30"/>
    <mergeCell ref="F16:H17"/>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2" customWidth="1"/>
    <col min="2" max="2" width="10.77734375" style="12" customWidth="1"/>
    <col min="3" max="3" width="12.77734375" style="12" customWidth="1"/>
    <col min="4" max="4" width="30.77734375" style="12" customWidth="1"/>
    <col min="5" max="5" width="3.77734375" style="12" customWidth="1"/>
    <col min="6" max="6" width="18.77734375" style="12" customWidth="1"/>
    <col min="7" max="7" width="10.77734375" style="12" customWidth="1"/>
    <col min="8" max="8" width="12.77734375" style="12" customWidth="1"/>
    <col min="9" max="9" width="32.77734375" style="12" customWidth="1"/>
    <col min="10" max="10" width="3.77734375" style="12" customWidth="1"/>
    <col min="11" max="11" width="18.77734375" style="12" customWidth="1"/>
    <col min="12" max="12" width="10.77734375" style="12" customWidth="1"/>
    <col min="13" max="13" width="12.77734375" style="12" customWidth="1"/>
    <col min="14" max="14" width="32.77734375" style="12" customWidth="1"/>
    <col min="15" max="15" width="3.77734375" style="12" customWidth="1"/>
    <col min="16" max="16" width="18.77734375" style="12" customWidth="1"/>
    <col min="17" max="17" width="10.77734375" style="12" customWidth="1"/>
    <col min="18" max="18" width="24.77734375" style="12" customWidth="1"/>
    <col min="19" max="19" width="14.77734375" style="12" customWidth="1"/>
    <col min="20" max="20" width="3.77734375" style="12" customWidth="1"/>
    <col min="21" max="21" width="18.77734375" style="12" customWidth="1"/>
    <col min="22" max="22" width="10.77734375" style="12" customWidth="1"/>
    <col min="23" max="23" width="24.77734375" style="12" customWidth="1"/>
    <col min="24" max="24" width="12.77734375" style="12" customWidth="1"/>
    <col min="25" max="25" width="3.77734375" style="12" customWidth="1"/>
    <col min="26" max="26" width="20.77734375" style="12" customWidth="1"/>
    <col min="27" max="27" width="10.77734375" style="12" customWidth="1"/>
    <col min="28" max="28" width="12.77734375" style="12" customWidth="1"/>
    <col min="29" max="29" width="34.77734375" style="12" customWidth="1"/>
    <col min="30" max="52" width="9" style="12" hidden="1" customWidth="1"/>
    <col min="53" max="16384" width="8.88671875" style="12"/>
  </cols>
  <sheetData>
    <row r="1" spans="1:49" ht="28.05" customHeight="1">
      <c r="A1" s="85" t="s">
        <v>223</v>
      </c>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row>
    <row r="2" spans="1:49" ht="24" customHeight="1">
      <c r="A2" s="21"/>
      <c r="B2" s="21"/>
      <c r="C2" s="21"/>
      <c r="D2" s="21"/>
      <c r="E2" s="21"/>
      <c r="F2" s="21"/>
      <c r="G2" s="21"/>
      <c r="H2" s="21"/>
      <c r="I2" s="21"/>
      <c r="J2" s="21"/>
      <c r="K2" s="21"/>
      <c r="L2" s="21"/>
      <c r="M2" s="21"/>
      <c r="N2" s="21"/>
      <c r="O2" s="22"/>
      <c r="P2" s="22"/>
      <c r="Q2" s="22"/>
      <c r="R2" s="22"/>
      <c r="S2" s="22"/>
      <c r="T2" s="22"/>
      <c r="U2" s="22"/>
      <c r="V2" s="22"/>
      <c r="W2" s="22"/>
      <c r="X2" s="22"/>
      <c r="Y2" s="22"/>
      <c r="Z2" s="22"/>
      <c r="AA2" s="22"/>
      <c r="AB2" s="22"/>
      <c r="AC2" s="22"/>
    </row>
    <row r="3" spans="1:49" ht="24" customHeight="1">
      <c r="A3" s="86" t="s">
        <v>224</v>
      </c>
      <c r="B3" s="87"/>
      <c r="C3" s="87"/>
      <c r="D3" s="88"/>
      <c r="E3" s="22"/>
      <c r="F3" s="89" t="s">
        <v>225</v>
      </c>
      <c r="G3" s="89"/>
      <c r="H3" s="89"/>
      <c r="I3" s="89"/>
      <c r="J3" s="22"/>
      <c r="K3" s="90" t="s">
        <v>226</v>
      </c>
      <c r="L3" s="146"/>
      <c r="M3" s="146"/>
      <c r="N3" s="146"/>
      <c r="O3" s="22"/>
      <c r="P3" s="91" t="s">
        <v>138</v>
      </c>
      <c r="Q3" s="91"/>
      <c r="R3" s="91"/>
      <c r="S3" s="91"/>
      <c r="T3" s="22"/>
      <c r="U3" s="149" t="s">
        <v>181</v>
      </c>
      <c r="V3" s="149"/>
      <c r="W3" s="149"/>
      <c r="X3" s="149"/>
      <c r="Y3" s="22"/>
      <c r="Z3" s="149" t="s">
        <v>227</v>
      </c>
      <c r="AA3" s="149"/>
      <c r="AB3" s="149"/>
      <c r="AC3" s="149"/>
    </row>
    <row r="4" spans="1:49" ht="24" customHeight="1">
      <c r="A4" s="28" t="s">
        <v>228</v>
      </c>
      <c r="B4" s="29" t="s">
        <v>229</v>
      </c>
      <c r="C4" s="29" t="s">
        <v>230</v>
      </c>
      <c r="D4" s="30" t="s">
        <v>11</v>
      </c>
      <c r="E4" s="22"/>
      <c r="F4" s="142" t="s">
        <v>228</v>
      </c>
      <c r="G4" s="142" t="s">
        <v>229</v>
      </c>
      <c r="H4" s="142" t="s">
        <v>230</v>
      </c>
      <c r="I4" s="142" t="s">
        <v>11</v>
      </c>
      <c r="J4" s="22"/>
      <c r="K4" s="31" t="s">
        <v>228</v>
      </c>
      <c r="L4" s="142" t="s">
        <v>229</v>
      </c>
      <c r="M4" s="142" t="s">
        <v>230</v>
      </c>
      <c r="N4" s="147" t="s">
        <v>11</v>
      </c>
      <c r="O4" s="22"/>
      <c r="P4" s="142" t="s">
        <v>145</v>
      </c>
      <c r="Q4" s="142" t="s">
        <v>229</v>
      </c>
      <c r="R4" s="142" t="s">
        <v>11</v>
      </c>
      <c r="S4" s="142" t="s">
        <v>136</v>
      </c>
      <c r="T4" s="22"/>
      <c r="U4" s="147" t="s">
        <v>184</v>
      </c>
      <c r="V4" s="147" t="s">
        <v>229</v>
      </c>
      <c r="W4" s="147" t="s">
        <v>11</v>
      </c>
      <c r="X4" s="147" t="s">
        <v>136</v>
      </c>
      <c r="Y4" s="22"/>
      <c r="Z4" s="147" t="s">
        <v>228</v>
      </c>
      <c r="AA4" s="147" t="s">
        <v>229</v>
      </c>
      <c r="AB4" s="147" t="s">
        <v>231</v>
      </c>
      <c r="AC4" s="147" t="s">
        <v>11</v>
      </c>
      <c r="AE4" s="12" t="s">
        <v>232</v>
      </c>
      <c r="AF4" s="12" t="s">
        <v>186</v>
      </c>
      <c r="AG4" s="12" t="s">
        <v>230</v>
      </c>
      <c r="AH4" s="12" t="s">
        <v>11</v>
      </c>
      <c r="AJ4" s="12" t="s">
        <v>138</v>
      </c>
      <c r="AK4" s="12" t="s">
        <v>186</v>
      </c>
      <c r="AL4" s="12" t="s">
        <v>11</v>
      </c>
      <c r="AN4" s="12" t="s">
        <v>181</v>
      </c>
      <c r="AO4" s="12" t="s">
        <v>186</v>
      </c>
      <c r="AP4" s="12" t="s">
        <v>11</v>
      </c>
      <c r="AR4" s="12" t="s">
        <v>233</v>
      </c>
      <c r="AS4" s="12" t="s">
        <v>186</v>
      </c>
      <c r="AT4" s="12" t="s">
        <v>230</v>
      </c>
      <c r="AV4" s="12" t="s">
        <v>234</v>
      </c>
      <c r="AW4" s="12" t="s">
        <v>153</v>
      </c>
    </row>
    <row r="5" spans="1:49" ht="24" customHeight="1">
      <c r="A5" s="32" t="s">
        <v>235</v>
      </c>
      <c r="B5" s="33">
        <v>1</v>
      </c>
      <c r="C5" s="34" t="s">
        <v>224</v>
      </c>
      <c r="D5" s="35" t="s">
        <v>236</v>
      </c>
      <c r="E5" s="22"/>
      <c r="F5" s="143" t="s">
        <v>237</v>
      </c>
      <c r="G5" s="144">
        <v>3</v>
      </c>
      <c r="H5" s="143" t="s">
        <v>225</v>
      </c>
      <c r="I5" s="143" t="s">
        <v>238</v>
      </c>
      <c r="J5" s="22"/>
      <c r="K5" s="36" t="s">
        <v>239</v>
      </c>
      <c r="L5" s="148">
        <v>3</v>
      </c>
      <c r="M5" s="143" t="s">
        <v>226</v>
      </c>
      <c r="N5" s="145" t="s">
        <v>240</v>
      </c>
      <c r="O5" s="22"/>
      <c r="P5" s="143" t="s">
        <v>241</v>
      </c>
      <c r="Q5" s="148">
        <v>5</v>
      </c>
      <c r="R5" s="143" t="s">
        <v>242</v>
      </c>
      <c r="S5" s="143" t="s">
        <v>243</v>
      </c>
      <c r="T5" s="22"/>
      <c r="U5" s="145" t="s">
        <v>244</v>
      </c>
      <c r="V5" s="144">
        <v>5</v>
      </c>
      <c r="W5" s="145" t="s">
        <v>245</v>
      </c>
      <c r="X5" s="145"/>
      <c r="Y5" s="22"/>
      <c r="Z5" s="145" t="s">
        <v>246</v>
      </c>
      <c r="AA5" s="144">
        <v>10</v>
      </c>
      <c r="AB5" s="145" t="s">
        <v>227</v>
      </c>
      <c r="AC5" s="145" t="s">
        <v>247</v>
      </c>
      <c r="AE5" s="12" t="s">
        <v>248</v>
      </c>
      <c r="AF5" s="12">
        <v>0</v>
      </c>
      <c r="AG5" s="12" t="s">
        <v>249</v>
      </c>
      <c r="AH5" s="12" t="s">
        <v>250</v>
      </c>
      <c r="AJ5" s="12" t="s">
        <v>248</v>
      </c>
      <c r="AK5" s="12">
        <v>0</v>
      </c>
      <c r="AL5" s="12" t="s">
        <v>251</v>
      </c>
      <c r="AN5" s="12" t="s">
        <v>248</v>
      </c>
      <c r="AO5" s="12">
        <v>0</v>
      </c>
      <c r="AP5" s="12" t="s">
        <v>252</v>
      </c>
      <c r="AR5" s="12" t="s">
        <v>235</v>
      </c>
      <c r="AS5" s="12">
        <v>1</v>
      </c>
      <c r="AT5" s="12" t="s">
        <v>224</v>
      </c>
      <c r="AV5" s="12" t="s">
        <v>163</v>
      </c>
      <c r="AW5" s="12" t="s">
        <v>253</v>
      </c>
    </row>
    <row r="6" spans="1:49" ht="24" customHeight="1">
      <c r="A6" s="32" t="s">
        <v>254</v>
      </c>
      <c r="B6" s="33">
        <v>3</v>
      </c>
      <c r="C6" s="34" t="s">
        <v>224</v>
      </c>
      <c r="D6" s="35" t="s">
        <v>255</v>
      </c>
      <c r="E6" s="22"/>
      <c r="F6" s="143" t="s">
        <v>256</v>
      </c>
      <c r="G6" s="144">
        <v>8</v>
      </c>
      <c r="H6" s="143" t="s">
        <v>225</v>
      </c>
      <c r="I6" s="143" t="s">
        <v>257</v>
      </c>
      <c r="J6" s="22"/>
      <c r="K6" s="36" t="s">
        <v>258</v>
      </c>
      <c r="L6" s="148">
        <v>3</v>
      </c>
      <c r="M6" s="143" t="s">
        <v>226</v>
      </c>
      <c r="N6" s="145" t="s">
        <v>259</v>
      </c>
      <c r="O6" s="22"/>
      <c r="P6" s="143" t="s">
        <v>260</v>
      </c>
      <c r="Q6" s="148">
        <v>5</v>
      </c>
      <c r="R6" s="143" t="s">
        <v>261</v>
      </c>
      <c r="S6" s="143" t="s">
        <v>243</v>
      </c>
      <c r="T6" s="22"/>
      <c r="U6" s="145" t="s">
        <v>262</v>
      </c>
      <c r="V6" s="144">
        <v>5</v>
      </c>
      <c r="W6" s="145" t="s">
        <v>263</v>
      </c>
      <c r="X6" s="145"/>
      <c r="Y6" s="22"/>
      <c r="Z6" s="145" t="s">
        <v>264</v>
      </c>
      <c r="AA6" s="144">
        <v>25</v>
      </c>
      <c r="AB6" s="145" t="s">
        <v>227</v>
      </c>
      <c r="AC6" s="145" t="s">
        <v>265</v>
      </c>
      <c r="AE6" s="12" t="s">
        <v>235</v>
      </c>
      <c r="AF6" s="12">
        <v>1</v>
      </c>
      <c r="AG6" s="12" t="s">
        <v>224</v>
      </c>
      <c r="AH6" s="12" t="s">
        <v>236</v>
      </c>
      <c r="AJ6" s="12" t="s">
        <v>241</v>
      </c>
      <c r="AK6" s="12">
        <v>5</v>
      </c>
      <c r="AL6" s="12" t="s">
        <v>242</v>
      </c>
      <c r="AN6" s="12" t="s">
        <v>244</v>
      </c>
      <c r="AO6" s="12">
        <v>5</v>
      </c>
      <c r="AP6" s="12" t="s">
        <v>245</v>
      </c>
      <c r="AR6" s="12" t="s">
        <v>254</v>
      </c>
      <c r="AS6" s="12">
        <v>3</v>
      </c>
      <c r="AT6" s="12" t="s">
        <v>224</v>
      </c>
      <c r="AV6" s="12" t="s">
        <v>166</v>
      </c>
      <c r="AW6" s="12" t="s">
        <v>266</v>
      </c>
    </row>
    <row r="7" spans="1:49" ht="24" customHeight="1">
      <c r="A7" s="32" t="s">
        <v>267</v>
      </c>
      <c r="B7" s="33">
        <v>1</v>
      </c>
      <c r="C7" s="34" t="s">
        <v>224</v>
      </c>
      <c r="D7" s="35" t="s">
        <v>268</v>
      </c>
      <c r="E7" s="22"/>
      <c r="F7" s="143" t="s">
        <v>269</v>
      </c>
      <c r="G7" s="144">
        <v>4</v>
      </c>
      <c r="H7" s="143" t="s">
        <v>225</v>
      </c>
      <c r="I7" s="143" t="s">
        <v>270</v>
      </c>
      <c r="J7" s="22"/>
      <c r="K7" s="36" t="s">
        <v>271</v>
      </c>
      <c r="L7" s="148">
        <v>3</v>
      </c>
      <c r="M7" s="143" t="s">
        <v>226</v>
      </c>
      <c r="N7" s="145" t="s">
        <v>272</v>
      </c>
      <c r="O7" s="22"/>
      <c r="P7" s="143" t="s">
        <v>273</v>
      </c>
      <c r="Q7" s="148">
        <v>5</v>
      </c>
      <c r="R7" s="143" t="s">
        <v>274</v>
      </c>
      <c r="S7" s="143" t="s">
        <v>243</v>
      </c>
      <c r="T7" s="22"/>
      <c r="U7" s="145" t="s">
        <v>275</v>
      </c>
      <c r="V7" s="144">
        <v>5</v>
      </c>
      <c r="W7" s="145" t="s">
        <v>276</v>
      </c>
      <c r="X7" s="145"/>
      <c r="Y7" s="22"/>
      <c r="Z7" s="145" t="s">
        <v>277</v>
      </c>
      <c r="AA7" s="144">
        <v>2</v>
      </c>
      <c r="AB7" s="145" t="s">
        <v>227</v>
      </c>
      <c r="AC7" s="145" t="s">
        <v>278</v>
      </c>
      <c r="AE7" s="12" t="s">
        <v>254</v>
      </c>
      <c r="AF7" s="12">
        <v>3</v>
      </c>
      <c r="AG7" s="12" t="s">
        <v>224</v>
      </c>
      <c r="AH7" s="12" t="s">
        <v>255</v>
      </c>
      <c r="AJ7" s="12" t="s">
        <v>260</v>
      </c>
      <c r="AK7" s="12">
        <v>5</v>
      </c>
      <c r="AL7" s="12" t="s">
        <v>261</v>
      </c>
      <c r="AN7" s="12" t="s">
        <v>262</v>
      </c>
      <c r="AO7" s="12">
        <v>5</v>
      </c>
      <c r="AP7" s="12" t="s">
        <v>263</v>
      </c>
      <c r="AR7" s="12" t="s">
        <v>267</v>
      </c>
      <c r="AS7" s="12">
        <v>1</v>
      </c>
      <c r="AT7" s="12" t="s">
        <v>224</v>
      </c>
      <c r="AV7" s="12" t="s">
        <v>169</v>
      </c>
      <c r="AW7" s="12" t="s">
        <v>112</v>
      </c>
    </row>
    <row r="8" spans="1:49" ht="24" customHeight="1">
      <c r="A8" s="32" t="s">
        <v>279</v>
      </c>
      <c r="B8" s="33">
        <v>2</v>
      </c>
      <c r="C8" s="34" t="s">
        <v>224</v>
      </c>
      <c r="D8" s="35" t="s">
        <v>280</v>
      </c>
      <c r="E8" s="22"/>
      <c r="F8" s="143" t="s">
        <v>281</v>
      </c>
      <c r="G8" s="144">
        <v>1</v>
      </c>
      <c r="H8" s="143" t="s">
        <v>225</v>
      </c>
      <c r="I8" s="143" t="s">
        <v>282</v>
      </c>
      <c r="J8" s="22"/>
      <c r="K8" s="36" t="s">
        <v>283</v>
      </c>
      <c r="L8" s="148">
        <v>5</v>
      </c>
      <c r="M8" s="143" t="s">
        <v>226</v>
      </c>
      <c r="N8" s="145" t="s">
        <v>284</v>
      </c>
      <c r="O8" s="22"/>
      <c r="P8" s="143" t="s">
        <v>285</v>
      </c>
      <c r="Q8" s="148">
        <v>5</v>
      </c>
      <c r="R8" s="145" t="s">
        <v>286</v>
      </c>
      <c r="S8" s="145" t="s">
        <v>243</v>
      </c>
      <c r="T8" s="22"/>
      <c r="U8" s="145" t="s">
        <v>287</v>
      </c>
      <c r="V8" s="144">
        <v>5</v>
      </c>
      <c r="W8" s="145" t="s">
        <v>288</v>
      </c>
      <c r="X8" s="145"/>
      <c r="Y8" s="22"/>
      <c r="Z8" s="145"/>
      <c r="AA8" s="145"/>
      <c r="AB8" s="145"/>
      <c r="AC8" s="145"/>
      <c r="AE8" s="12" t="s">
        <v>267</v>
      </c>
      <c r="AF8" s="12">
        <v>1</v>
      </c>
      <c r="AG8" s="12" t="s">
        <v>224</v>
      </c>
      <c r="AH8" s="12" t="s">
        <v>268</v>
      </c>
      <c r="AJ8" s="12" t="s">
        <v>273</v>
      </c>
      <c r="AK8" s="12">
        <v>5</v>
      </c>
      <c r="AL8" s="12" t="s">
        <v>274</v>
      </c>
      <c r="AN8" s="12" t="s">
        <v>275</v>
      </c>
      <c r="AO8" s="12">
        <v>5</v>
      </c>
      <c r="AP8" s="12" t="s">
        <v>276</v>
      </c>
      <c r="AR8" s="12" t="s">
        <v>279</v>
      </c>
      <c r="AS8" s="12">
        <v>2</v>
      </c>
      <c r="AT8" s="12" t="s">
        <v>224</v>
      </c>
      <c r="AV8" s="12" t="s">
        <v>172</v>
      </c>
    </row>
    <row r="9" spans="1:49" ht="24" customHeight="1">
      <c r="A9" s="32" t="s">
        <v>289</v>
      </c>
      <c r="B9" s="33">
        <v>2</v>
      </c>
      <c r="C9" s="34" t="s">
        <v>224</v>
      </c>
      <c r="D9" s="35" t="s">
        <v>290</v>
      </c>
      <c r="E9" s="22"/>
      <c r="F9" s="143" t="s">
        <v>291</v>
      </c>
      <c r="G9" s="144">
        <v>5</v>
      </c>
      <c r="H9" s="143" t="s">
        <v>225</v>
      </c>
      <c r="I9" s="143" t="s">
        <v>292</v>
      </c>
      <c r="J9" s="22"/>
      <c r="K9" s="36" t="s">
        <v>293</v>
      </c>
      <c r="L9" s="148">
        <v>5</v>
      </c>
      <c r="M9" s="143" t="s">
        <v>226</v>
      </c>
      <c r="N9" s="145" t="s">
        <v>294</v>
      </c>
      <c r="O9" s="22"/>
      <c r="P9" s="143" t="s">
        <v>295</v>
      </c>
      <c r="Q9" s="148">
        <v>5</v>
      </c>
      <c r="R9" s="145" t="s">
        <v>296</v>
      </c>
      <c r="S9" s="145" t="s">
        <v>243</v>
      </c>
      <c r="T9" s="22"/>
      <c r="U9" s="145" t="s">
        <v>297</v>
      </c>
      <c r="V9" s="144">
        <v>10</v>
      </c>
      <c r="W9" s="145" t="s">
        <v>298</v>
      </c>
      <c r="X9" s="145"/>
      <c r="Y9" s="22"/>
      <c r="Z9" s="22"/>
      <c r="AA9" s="22"/>
      <c r="AB9" s="22"/>
      <c r="AC9" s="22"/>
      <c r="AE9" s="12" t="s">
        <v>279</v>
      </c>
      <c r="AF9" s="12">
        <v>2</v>
      </c>
      <c r="AG9" s="12" t="s">
        <v>224</v>
      </c>
      <c r="AH9" s="12" t="s">
        <v>280</v>
      </c>
      <c r="AJ9" s="12" t="s">
        <v>285</v>
      </c>
      <c r="AK9" s="12">
        <v>5</v>
      </c>
      <c r="AL9" s="12" t="s">
        <v>286</v>
      </c>
      <c r="AN9" s="12" t="s">
        <v>287</v>
      </c>
      <c r="AO9" s="12">
        <v>5</v>
      </c>
      <c r="AP9" s="12" t="s">
        <v>288</v>
      </c>
      <c r="AR9" s="12" t="s">
        <v>289</v>
      </c>
      <c r="AS9" s="12">
        <v>2</v>
      </c>
      <c r="AT9" s="12" t="s">
        <v>224</v>
      </c>
      <c r="AV9" s="12" t="s">
        <v>177</v>
      </c>
    </row>
    <row r="10" spans="1:49" ht="24" customHeight="1">
      <c r="A10" s="32" t="s">
        <v>299</v>
      </c>
      <c r="B10" s="33">
        <v>3</v>
      </c>
      <c r="C10" s="34" t="s">
        <v>224</v>
      </c>
      <c r="D10" s="35" t="s">
        <v>255</v>
      </c>
      <c r="E10" s="22"/>
      <c r="F10" s="145" t="s">
        <v>300</v>
      </c>
      <c r="G10" s="144">
        <v>3</v>
      </c>
      <c r="H10" s="145" t="s">
        <v>225</v>
      </c>
      <c r="I10" s="145" t="s">
        <v>301</v>
      </c>
      <c r="J10" s="22"/>
      <c r="K10" s="36" t="s">
        <v>302</v>
      </c>
      <c r="L10" s="148">
        <v>10</v>
      </c>
      <c r="M10" s="143" t="s">
        <v>226</v>
      </c>
      <c r="N10" s="145" t="s">
        <v>303</v>
      </c>
      <c r="O10" s="22"/>
      <c r="P10" s="145" t="s">
        <v>304</v>
      </c>
      <c r="Q10" s="144">
        <v>5</v>
      </c>
      <c r="R10" s="145" t="s">
        <v>305</v>
      </c>
      <c r="S10" s="145" t="s">
        <v>243</v>
      </c>
      <c r="T10" s="22"/>
      <c r="U10" s="22"/>
      <c r="V10" s="22"/>
      <c r="W10" s="22"/>
      <c r="X10" s="22"/>
      <c r="Y10" s="22"/>
      <c r="Z10" s="22"/>
      <c r="AA10" s="22"/>
      <c r="AB10" s="22"/>
      <c r="AC10" s="22"/>
      <c r="AE10" s="12" t="s">
        <v>289</v>
      </c>
      <c r="AF10" s="12">
        <v>2</v>
      </c>
      <c r="AG10" s="12" t="s">
        <v>224</v>
      </c>
      <c r="AH10" s="12" t="s">
        <v>290</v>
      </c>
      <c r="AJ10" s="12" t="s">
        <v>295</v>
      </c>
      <c r="AK10" s="12">
        <v>5</v>
      </c>
      <c r="AL10" s="12" t="s">
        <v>296</v>
      </c>
      <c r="AN10" s="12" t="s">
        <v>297</v>
      </c>
      <c r="AO10" s="12">
        <v>10</v>
      </c>
      <c r="AP10" s="12" t="s">
        <v>298</v>
      </c>
      <c r="AR10" s="12" t="s">
        <v>299</v>
      </c>
      <c r="AS10" s="12">
        <v>3</v>
      </c>
      <c r="AT10" s="12" t="s">
        <v>224</v>
      </c>
    </row>
    <row r="11" spans="1:49" ht="24" customHeight="1">
      <c r="A11" s="32" t="s">
        <v>306</v>
      </c>
      <c r="B11" s="33">
        <v>5</v>
      </c>
      <c r="C11" s="34" t="s">
        <v>224</v>
      </c>
      <c r="D11" s="35" t="s">
        <v>307</v>
      </c>
      <c r="E11" s="22"/>
      <c r="F11" s="145" t="s">
        <v>308</v>
      </c>
      <c r="G11" s="144">
        <v>3</v>
      </c>
      <c r="H11" s="145" t="s">
        <v>225</v>
      </c>
      <c r="I11" s="145" t="s">
        <v>309</v>
      </c>
      <c r="J11" s="22"/>
      <c r="K11" s="36" t="s">
        <v>310</v>
      </c>
      <c r="L11" s="148">
        <v>5</v>
      </c>
      <c r="M11" s="143" t="s">
        <v>226</v>
      </c>
      <c r="N11" s="145" t="s">
        <v>311</v>
      </c>
      <c r="O11" s="22"/>
      <c r="P11" s="148" t="s">
        <v>312</v>
      </c>
      <c r="Q11" s="148">
        <v>5</v>
      </c>
      <c r="R11" s="148" t="s">
        <v>313</v>
      </c>
      <c r="S11" s="148" t="s">
        <v>243</v>
      </c>
      <c r="T11" s="22"/>
      <c r="U11" s="22"/>
      <c r="V11" s="22"/>
      <c r="W11" s="22"/>
      <c r="X11" s="22"/>
      <c r="Y11" s="22"/>
      <c r="Z11" s="22"/>
      <c r="AA11" s="22"/>
      <c r="AB11" s="22"/>
      <c r="AC11" s="22"/>
      <c r="AE11" s="12" t="s">
        <v>299</v>
      </c>
      <c r="AF11" s="12">
        <v>3</v>
      </c>
      <c r="AG11" s="12" t="s">
        <v>224</v>
      </c>
      <c r="AH11" s="12" t="s">
        <v>255</v>
      </c>
      <c r="AJ11" s="12" t="s">
        <v>304</v>
      </c>
      <c r="AK11" s="12">
        <v>5</v>
      </c>
      <c r="AL11" s="12" t="s">
        <v>305</v>
      </c>
      <c r="AR11" s="12" t="s">
        <v>306</v>
      </c>
      <c r="AS11" s="12">
        <v>5</v>
      </c>
      <c r="AT11" s="12" t="s">
        <v>224</v>
      </c>
    </row>
    <row r="12" spans="1:49" ht="24" customHeight="1">
      <c r="A12" s="32" t="s">
        <v>314</v>
      </c>
      <c r="B12" s="33">
        <v>2</v>
      </c>
      <c r="C12" s="34" t="s">
        <v>224</v>
      </c>
      <c r="D12" s="35" t="s">
        <v>315</v>
      </c>
      <c r="E12" s="22"/>
      <c r="F12" s="145" t="s">
        <v>316</v>
      </c>
      <c r="G12" s="144">
        <v>10</v>
      </c>
      <c r="H12" s="145" t="s">
        <v>225</v>
      </c>
      <c r="I12" s="145" t="s">
        <v>317</v>
      </c>
      <c r="J12" s="22"/>
      <c r="K12" s="36" t="s">
        <v>318</v>
      </c>
      <c r="L12" s="148">
        <v>5</v>
      </c>
      <c r="M12" s="143" t="s">
        <v>226</v>
      </c>
      <c r="N12" s="145" t="s">
        <v>319</v>
      </c>
      <c r="O12" s="22"/>
      <c r="P12" s="143" t="s">
        <v>320</v>
      </c>
      <c r="Q12" s="148">
        <v>5</v>
      </c>
      <c r="R12" s="143" t="s">
        <v>321</v>
      </c>
      <c r="S12" s="143" t="s">
        <v>243</v>
      </c>
      <c r="T12" s="22"/>
      <c r="U12" s="22"/>
      <c r="V12" s="22"/>
      <c r="W12" s="22"/>
      <c r="X12" s="22"/>
      <c r="Y12" s="22"/>
      <c r="Z12" s="22"/>
      <c r="AA12" s="22"/>
      <c r="AB12" s="22"/>
      <c r="AC12" s="22"/>
      <c r="AE12" s="12" t="s">
        <v>306</v>
      </c>
      <c r="AF12" s="12">
        <v>5</v>
      </c>
      <c r="AG12" s="12" t="s">
        <v>224</v>
      </c>
      <c r="AH12" s="12" t="s">
        <v>307</v>
      </c>
      <c r="AJ12" s="12" t="s">
        <v>312</v>
      </c>
      <c r="AK12" s="12">
        <v>5</v>
      </c>
      <c r="AL12" s="12" t="s">
        <v>313</v>
      </c>
      <c r="AR12" s="12" t="s">
        <v>314</v>
      </c>
      <c r="AS12" s="12">
        <v>2</v>
      </c>
      <c r="AT12" s="12" t="s">
        <v>224</v>
      </c>
    </row>
    <row r="13" spans="1:49" ht="24" customHeight="1">
      <c r="A13" s="32" t="s">
        <v>322</v>
      </c>
      <c r="B13" s="33">
        <v>1</v>
      </c>
      <c r="C13" s="34" t="s">
        <v>224</v>
      </c>
      <c r="D13" s="35" t="s">
        <v>323</v>
      </c>
      <c r="E13" s="22"/>
      <c r="F13" s="145" t="s">
        <v>324</v>
      </c>
      <c r="G13" s="144">
        <v>8</v>
      </c>
      <c r="H13" s="145" t="s">
        <v>225</v>
      </c>
      <c r="I13" s="145" t="s">
        <v>325</v>
      </c>
      <c r="J13" s="22"/>
      <c r="K13" s="36" t="s">
        <v>326</v>
      </c>
      <c r="L13" s="148">
        <v>5</v>
      </c>
      <c r="M13" s="143" t="s">
        <v>226</v>
      </c>
      <c r="N13" s="145" t="s">
        <v>327</v>
      </c>
      <c r="O13" s="22"/>
      <c r="P13" s="143" t="s">
        <v>328</v>
      </c>
      <c r="Q13" s="148">
        <v>5</v>
      </c>
      <c r="R13" s="143" t="s">
        <v>329</v>
      </c>
      <c r="S13" s="143" t="s">
        <v>243</v>
      </c>
      <c r="T13" s="22"/>
      <c r="U13" s="22"/>
      <c r="V13" s="22"/>
      <c r="W13" s="22"/>
      <c r="X13" s="22"/>
      <c r="Y13" s="22"/>
      <c r="Z13" s="22"/>
      <c r="AA13" s="22"/>
      <c r="AB13" s="22"/>
      <c r="AC13" s="22"/>
      <c r="AE13" s="12" t="s">
        <v>314</v>
      </c>
      <c r="AF13" s="12">
        <v>2</v>
      </c>
      <c r="AG13" s="12" t="s">
        <v>224</v>
      </c>
      <c r="AH13" s="12" t="s">
        <v>315</v>
      </c>
      <c r="AJ13" s="12" t="s">
        <v>320</v>
      </c>
      <c r="AK13" s="12">
        <v>5</v>
      </c>
      <c r="AL13" s="12" t="s">
        <v>321</v>
      </c>
      <c r="AR13" s="12" t="s">
        <v>322</v>
      </c>
      <c r="AS13" s="12">
        <v>1</v>
      </c>
      <c r="AT13" s="12" t="s">
        <v>224</v>
      </c>
    </row>
    <row r="14" spans="1:49" ht="24" customHeight="1">
      <c r="A14" s="32" t="s">
        <v>330</v>
      </c>
      <c r="B14" s="33">
        <v>1</v>
      </c>
      <c r="C14" s="34" t="s">
        <v>224</v>
      </c>
      <c r="D14" s="35" t="s">
        <v>323</v>
      </c>
      <c r="E14" s="22"/>
      <c r="F14" s="145" t="s">
        <v>331</v>
      </c>
      <c r="G14" s="144">
        <v>6</v>
      </c>
      <c r="H14" s="145" t="s">
        <v>225</v>
      </c>
      <c r="I14" s="145" t="s">
        <v>332</v>
      </c>
      <c r="J14" s="22"/>
      <c r="K14" s="36" t="s">
        <v>333</v>
      </c>
      <c r="L14" s="148">
        <v>10</v>
      </c>
      <c r="M14" s="143" t="s">
        <v>226</v>
      </c>
      <c r="N14" s="145" t="s">
        <v>334</v>
      </c>
      <c r="O14" s="22"/>
      <c r="P14" s="143" t="s">
        <v>335</v>
      </c>
      <c r="Q14" s="148">
        <v>5</v>
      </c>
      <c r="R14" s="143" t="s">
        <v>336</v>
      </c>
      <c r="S14" s="143" t="s">
        <v>243</v>
      </c>
      <c r="T14" s="22"/>
      <c r="U14" s="22"/>
      <c r="V14" s="22"/>
      <c r="W14" s="22"/>
      <c r="X14" s="22"/>
      <c r="Y14" s="22"/>
      <c r="Z14" s="22"/>
      <c r="AA14" s="22"/>
      <c r="AB14" s="22"/>
      <c r="AC14" s="22"/>
      <c r="AE14" s="12" t="s">
        <v>322</v>
      </c>
      <c r="AF14" s="12">
        <v>1</v>
      </c>
      <c r="AG14" s="12" t="s">
        <v>224</v>
      </c>
      <c r="AH14" s="12" t="s">
        <v>323</v>
      </c>
      <c r="AJ14" s="12" t="s">
        <v>328</v>
      </c>
      <c r="AK14" s="12">
        <v>5</v>
      </c>
      <c r="AL14" s="12" t="s">
        <v>329</v>
      </c>
      <c r="AR14" s="12" t="s">
        <v>330</v>
      </c>
      <c r="AS14" s="12">
        <v>1</v>
      </c>
      <c r="AT14" s="12" t="s">
        <v>224</v>
      </c>
    </row>
    <row r="15" spans="1:49" ht="24" customHeight="1">
      <c r="A15" s="23"/>
      <c r="B15" s="23"/>
      <c r="C15" s="23"/>
      <c r="D15" s="23"/>
      <c r="E15" s="22"/>
      <c r="F15" s="145" t="s">
        <v>337</v>
      </c>
      <c r="G15" s="144">
        <v>6</v>
      </c>
      <c r="H15" s="145" t="s">
        <v>225</v>
      </c>
      <c r="I15" s="145" t="s">
        <v>338</v>
      </c>
      <c r="J15" s="22"/>
      <c r="K15" s="36" t="s">
        <v>339</v>
      </c>
      <c r="L15" s="148">
        <v>3</v>
      </c>
      <c r="M15" s="143" t="s">
        <v>226</v>
      </c>
      <c r="N15" s="145" t="s">
        <v>340</v>
      </c>
      <c r="O15" s="22"/>
      <c r="P15" s="143" t="s">
        <v>341</v>
      </c>
      <c r="Q15" s="148">
        <v>5</v>
      </c>
      <c r="R15" s="143" t="s">
        <v>342</v>
      </c>
      <c r="S15" s="143" t="s">
        <v>243</v>
      </c>
      <c r="T15" s="22"/>
      <c r="U15" s="22"/>
      <c r="V15" s="22"/>
      <c r="W15" s="22"/>
      <c r="X15" s="22"/>
      <c r="Y15" s="22"/>
      <c r="Z15" s="22"/>
      <c r="AA15" s="22"/>
      <c r="AB15" s="22"/>
      <c r="AC15" s="22"/>
      <c r="AE15" s="12" t="s">
        <v>330</v>
      </c>
      <c r="AF15" s="12">
        <v>1</v>
      </c>
      <c r="AG15" s="12" t="s">
        <v>224</v>
      </c>
      <c r="AH15" s="12" t="s">
        <v>323</v>
      </c>
      <c r="AJ15" s="12" t="s">
        <v>335</v>
      </c>
      <c r="AK15" s="12">
        <v>5</v>
      </c>
      <c r="AL15" s="12" t="s">
        <v>336</v>
      </c>
      <c r="AR15" s="12" t="s">
        <v>237</v>
      </c>
      <c r="AS15" s="12">
        <v>3</v>
      </c>
      <c r="AT15" s="12" t="s">
        <v>225</v>
      </c>
    </row>
    <row r="16" spans="1:49" ht="24" customHeight="1">
      <c r="A16" s="23"/>
      <c r="B16" s="23"/>
      <c r="C16" s="23"/>
      <c r="D16" s="23"/>
      <c r="E16" s="22"/>
      <c r="F16" s="145" t="s">
        <v>343</v>
      </c>
      <c r="G16" s="144">
        <v>5</v>
      </c>
      <c r="H16" s="145" t="s">
        <v>225</v>
      </c>
      <c r="I16" s="145" t="s">
        <v>344</v>
      </c>
      <c r="J16" s="22"/>
      <c r="K16" s="36" t="s">
        <v>345</v>
      </c>
      <c r="L16" s="148">
        <v>50</v>
      </c>
      <c r="M16" s="143" t="s">
        <v>226</v>
      </c>
      <c r="N16" s="145" t="s">
        <v>346</v>
      </c>
      <c r="O16" s="22"/>
      <c r="P16" s="143" t="s">
        <v>347</v>
      </c>
      <c r="Q16" s="148">
        <v>5</v>
      </c>
      <c r="R16" s="143" t="s">
        <v>348</v>
      </c>
      <c r="S16" s="143" t="s">
        <v>243</v>
      </c>
      <c r="T16" s="22"/>
      <c r="U16" s="22"/>
      <c r="V16" s="22"/>
      <c r="W16" s="22"/>
      <c r="X16" s="22"/>
      <c r="Y16" s="22"/>
      <c r="Z16" s="22"/>
      <c r="AA16" s="22"/>
      <c r="AB16" s="22"/>
      <c r="AC16" s="22"/>
      <c r="AE16" s="12" t="s">
        <v>237</v>
      </c>
      <c r="AF16" s="12">
        <v>3</v>
      </c>
      <c r="AG16" s="12" t="s">
        <v>225</v>
      </c>
      <c r="AH16" s="12" t="s">
        <v>238</v>
      </c>
      <c r="AJ16" s="12" t="s">
        <v>341</v>
      </c>
      <c r="AK16" s="12">
        <v>5</v>
      </c>
      <c r="AL16" s="12" t="s">
        <v>342</v>
      </c>
      <c r="AR16" s="12" t="s">
        <v>256</v>
      </c>
      <c r="AS16" s="12">
        <v>8</v>
      </c>
      <c r="AT16" s="12" t="s">
        <v>225</v>
      </c>
    </row>
    <row r="17" spans="1:46" ht="24" customHeight="1">
      <c r="A17" s="23"/>
      <c r="B17" s="23"/>
      <c r="C17" s="23"/>
      <c r="D17" s="23"/>
      <c r="E17" s="22"/>
      <c r="F17" s="145" t="s">
        <v>349</v>
      </c>
      <c r="G17" s="144">
        <v>12</v>
      </c>
      <c r="H17" s="145" t="s">
        <v>225</v>
      </c>
      <c r="I17" s="145" t="s">
        <v>350</v>
      </c>
      <c r="J17" s="22"/>
      <c r="K17" s="24"/>
      <c r="L17" s="24"/>
      <c r="M17" s="24"/>
      <c r="N17" s="22"/>
      <c r="O17" s="22"/>
      <c r="P17" s="37" t="s">
        <v>351</v>
      </c>
      <c r="Q17" s="38">
        <v>5</v>
      </c>
      <c r="R17" s="37" t="s">
        <v>352</v>
      </c>
      <c r="S17" s="37" t="s">
        <v>243</v>
      </c>
      <c r="T17" s="22"/>
      <c r="U17" s="22"/>
      <c r="V17" s="22"/>
      <c r="W17" s="22"/>
      <c r="X17" s="22"/>
      <c r="Y17" s="22"/>
      <c r="Z17" s="22"/>
      <c r="AA17" s="22"/>
      <c r="AB17" s="22"/>
      <c r="AC17" s="22"/>
      <c r="AE17" s="12" t="s">
        <v>256</v>
      </c>
      <c r="AF17" s="12">
        <v>8</v>
      </c>
      <c r="AG17" s="12" t="s">
        <v>225</v>
      </c>
      <c r="AH17" s="12" t="s">
        <v>257</v>
      </c>
      <c r="AJ17" s="12" t="s">
        <v>347</v>
      </c>
      <c r="AK17" s="12">
        <v>5</v>
      </c>
      <c r="AL17" s="12" t="s">
        <v>348</v>
      </c>
      <c r="AR17" s="12" t="s">
        <v>269</v>
      </c>
      <c r="AS17" s="12">
        <v>4</v>
      </c>
      <c r="AT17" s="12" t="s">
        <v>225</v>
      </c>
    </row>
    <row r="18" spans="1:46" ht="24" customHeight="1">
      <c r="A18" s="25"/>
      <c r="B18" s="25"/>
      <c r="C18" s="25"/>
      <c r="D18" s="25"/>
      <c r="E18" s="22"/>
      <c r="F18" s="145" t="s">
        <v>353</v>
      </c>
      <c r="G18" s="144">
        <v>12</v>
      </c>
      <c r="H18" s="145" t="s">
        <v>225</v>
      </c>
      <c r="I18" s="145" t="s">
        <v>354</v>
      </c>
      <c r="J18" s="22"/>
      <c r="K18" s="22"/>
      <c r="L18" s="22"/>
      <c r="M18" s="22"/>
      <c r="N18" s="22"/>
      <c r="O18" s="22"/>
      <c r="P18" s="22"/>
      <c r="Q18" s="22"/>
      <c r="R18" s="22"/>
      <c r="S18" s="22"/>
      <c r="T18" s="22"/>
      <c r="U18" s="22"/>
      <c r="V18" s="22"/>
      <c r="W18" s="22"/>
      <c r="X18" s="22"/>
      <c r="Y18" s="22"/>
      <c r="Z18" s="22"/>
      <c r="AA18" s="22"/>
      <c r="AB18" s="22"/>
      <c r="AC18" s="22"/>
      <c r="AE18" s="12" t="s">
        <v>269</v>
      </c>
      <c r="AF18" s="12">
        <v>4</v>
      </c>
      <c r="AG18" s="12" t="s">
        <v>225</v>
      </c>
      <c r="AH18" s="12" t="s">
        <v>270</v>
      </c>
      <c r="AJ18" s="12" t="s">
        <v>351</v>
      </c>
      <c r="AK18" s="12">
        <v>5</v>
      </c>
      <c r="AL18" s="12" t="s">
        <v>352</v>
      </c>
      <c r="AR18" s="12" t="s">
        <v>281</v>
      </c>
      <c r="AS18" s="12">
        <v>1</v>
      </c>
      <c r="AT18" s="12" t="s">
        <v>225</v>
      </c>
    </row>
    <row r="19" spans="1:46" ht="24" customHeight="1">
      <c r="A19" s="25"/>
      <c r="B19" s="25"/>
      <c r="C19" s="25"/>
      <c r="D19" s="25"/>
      <c r="E19" s="22"/>
      <c r="F19" s="145" t="s">
        <v>355</v>
      </c>
      <c r="G19" s="144">
        <v>25</v>
      </c>
      <c r="H19" s="145" t="s">
        <v>225</v>
      </c>
      <c r="I19" s="145" t="s">
        <v>356</v>
      </c>
      <c r="J19" s="22"/>
      <c r="K19" s="22"/>
      <c r="L19" s="22"/>
      <c r="M19" s="22"/>
      <c r="N19" s="22"/>
      <c r="O19" s="22"/>
      <c r="P19" s="22"/>
      <c r="Q19" s="22"/>
      <c r="R19" s="22"/>
      <c r="S19" s="22"/>
      <c r="T19" s="22"/>
      <c r="U19" s="22"/>
      <c r="V19" s="22"/>
      <c r="W19" s="22"/>
      <c r="X19" s="22"/>
      <c r="Y19" s="22"/>
      <c r="Z19" s="22"/>
      <c r="AA19" s="22"/>
      <c r="AB19" s="22"/>
      <c r="AC19" s="22"/>
      <c r="AE19" s="12" t="s">
        <v>281</v>
      </c>
      <c r="AF19" s="12">
        <v>1</v>
      </c>
      <c r="AG19" s="12" t="s">
        <v>225</v>
      </c>
      <c r="AH19" s="12" t="s">
        <v>282</v>
      </c>
      <c r="AR19" s="12" t="s">
        <v>291</v>
      </c>
      <c r="AS19" s="12">
        <v>5</v>
      </c>
      <c r="AT19" s="12" t="s">
        <v>225</v>
      </c>
    </row>
    <row r="20" spans="1:46" ht="24" customHeight="1">
      <c r="A20" s="25"/>
      <c r="B20" s="25"/>
      <c r="C20" s="25"/>
      <c r="D20" s="25"/>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E20" s="12" t="s">
        <v>291</v>
      </c>
      <c r="AF20" s="12">
        <v>5</v>
      </c>
      <c r="AG20" s="12" t="s">
        <v>225</v>
      </c>
      <c r="AH20" s="12" t="s">
        <v>292</v>
      </c>
      <c r="AR20" s="12" t="s">
        <v>300</v>
      </c>
      <c r="AS20" s="12">
        <v>3</v>
      </c>
      <c r="AT20" s="12" t="s">
        <v>225</v>
      </c>
    </row>
    <row r="21" spans="1:46" ht="24" customHeight="1">
      <c r="A21" s="26"/>
      <c r="B21" s="26"/>
      <c r="C21" s="26"/>
      <c r="D21" s="26"/>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E21" s="12" t="s">
        <v>300</v>
      </c>
      <c r="AF21" s="12">
        <v>3</v>
      </c>
      <c r="AG21" s="12" t="s">
        <v>225</v>
      </c>
      <c r="AH21" s="12" t="s">
        <v>301</v>
      </c>
      <c r="AR21" s="12" t="s">
        <v>308</v>
      </c>
      <c r="AS21" s="12">
        <v>3</v>
      </c>
      <c r="AT21" s="12" t="s">
        <v>225</v>
      </c>
    </row>
    <row r="22" spans="1:46" ht="30" customHeight="1">
      <c r="A22" s="90" t="s">
        <v>357</v>
      </c>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E22" s="12" t="s">
        <v>308</v>
      </c>
      <c r="AF22" s="12">
        <v>3</v>
      </c>
      <c r="AG22" s="12" t="s">
        <v>225</v>
      </c>
      <c r="AH22" s="12" t="s">
        <v>309</v>
      </c>
      <c r="AR22" s="12" t="s">
        <v>316</v>
      </c>
      <c r="AS22" s="12">
        <v>10</v>
      </c>
      <c r="AT22" s="12" t="s">
        <v>225</v>
      </c>
    </row>
    <row r="23" spans="1:46" ht="30" customHeight="1">
      <c r="A23" s="92" t="s">
        <v>358</v>
      </c>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E23" s="12" t="s">
        <v>316</v>
      </c>
      <c r="AF23" s="12">
        <v>10</v>
      </c>
      <c r="AG23" s="12" t="s">
        <v>225</v>
      </c>
      <c r="AH23" s="12" t="s">
        <v>317</v>
      </c>
      <c r="AR23" s="12" t="s">
        <v>324</v>
      </c>
      <c r="AS23" s="12">
        <v>8</v>
      </c>
      <c r="AT23" s="12" t="s">
        <v>225</v>
      </c>
    </row>
    <row r="24" spans="1:46" ht="30" customHeight="1">
      <c r="A24" s="92" t="s">
        <v>359</v>
      </c>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c r="AB24" s="150"/>
      <c r="AC24" s="150"/>
      <c r="AE24" s="12" t="s">
        <v>324</v>
      </c>
      <c r="AF24" s="12">
        <v>8</v>
      </c>
      <c r="AG24" s="12" t="s">
        <v>225</v>
      </c>
      <c r="AH24" s="12" t="s">
        <v>325</v>
      </c>
      <c r="AR24" s="12" t="s">
        <v>331</v>
      </c>
      <c r="AS24" s="12">
        <v>6</v>
      </c>
      <c r="AT24" s="12" t="s">
        <v>225</v>
      </c>
    </row>
    <row r="25" spans="1:46" ht="30" customHeight="1">
      <c r="A25" s="92" t="s">
        <v>360</v>
      </c>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50"/>
      <c r="AC25" s="150"/>
      <c r="AE25" s="12" t="s">
        <v>331</v>
      </c>
      <c r="AF25" s="12">
        <v>6</v>
      </c>
      <c r="AG25" s="12" t="s">
        <v>225</v>
      </c>
      <c r="AH25" s="12" t="s">
        <v>332</v>
      </c>
      <c r="AR25" s="12" t="s">
        <v>337</v>
      </c>
      <c r="AS25" s="12">
        <v>6</v>
      </c>
      <c r="AT25" s="12" t="s">
        <v>225</v>
      </c>
    </row>
    <row r="26" spans="1:46" ht="30" customHeight="1">
      <c r="A26" s="92" t="s">
        <v>361</v>
      </c>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c r="AB26" s="150"/>
      <c r="AC26" s="150"/>
      <c r="AE26" s="12" t="s">
        <v>337</v>
      </c>
      <c r="AF26" s="12">
        <v>6</v>
      </c>
      <c r="AG26" s="12" t="s">
        <v>225</v>
      </c>
      <c r="AH26" s="12" t="s">
        <v>338</v>
      </c>
      <c r="AR26" s="12" t="s">
        <v>343</v>
      </c>
      <c r="AS26" s="12">
        <v>5</v>
      </c>
      <c r="AT26" s="12" t="s">
        <v>225</v>
      </c>
    </row>
    <row r="27" spans="1:46" ht="24" customHeight="1">
      <c r="A27" s="27"/>
      <c r="B27" s="27"/>
      <c r="C27" s="27"/>
      <c r="D27" s="27"/>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E27" s="12" t="s">
        <v>343</v>
      </c>
      <c r="AF27" s="12">
        <v>5</v>
      </c>
      <c r="AG27" s="12" t="s">
        <v>225</v>
      </c>
      <c r="AH27" s="12" t="s">
        <v>344</v>
      </c>
      <c r="AR27" s="12" t="s">
        <v>349</v>
      </c>
      <c r="AS27" s="12">
        <v>12</v>
      </c>
      <c r="AT27" s="12" t="s">
        <v>225</v>
      </c>
    </row>
    <row r="28" spans="1:46" ht="24" customHeight="1">
      <c r="A28" s="25"/>
      <c r="B28" s="25"/>
      <c r="C28" s="25"/>
      <c r="D28" s="25"/>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E28" s="12" t="s">
        <v>349</v>
      </c>
      <c r="AF28" s="12">
        <v>12</v>
      </c>
      <c r="AG28" s="12" t="s">
        <v>225</v>
      </c>
      <c r="AH28" s="12" t="s">
        <v>350</v>
      </c>
      <c r="AR28" s="12" t="s">
        <v>353</v>
      </c>
      <c r="AS28" s="12">
        <v>12</v>
      </c>
      <c r="AT28" s="12" t="s">
        <v>225</v>
      </c>
    </row>
    <row r="29" spans="1:46" ht="24" customHeight="1">
      <c r="A29" s="25"/>
      <c r="B29" s="25"/>
      <c r="C29" s="25"/>
      <c r="D29" s="25"/>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E29" s="12" t="s">
        <v>353</v>
      </c>
      <c r="AF29" s="12">
        <v>12</v>
      </c>
      <c r="AG29" s="12" t="s">
        <v>225</v>
      </c>
      <c r="AH29" s="12" t="s">
        <v>354</v>
      </c>
      <c r="AR29" s="12" t="s">
        <v>355</v>
      </c>
      <c r="AS29" s="12">
        <v>25</v>
      </c>
      <c r="AT29" s="12" t="s">
        <v>225</v>
      </c>
    </row>
    <row r="30" spans="1:46" ht="24" customHeight="1">
      <c r="A30" s="25"/>
      <c r="B30" s="25"/>
      <c r="C30" s="25"/>
      <c r="D30" s="25"/>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E30" s="12" t="s">
        <v>355</v>
      </c>
      <c r="AF30" s="12">
        <v>25</v>
      </c>
      <c r="AG30" s="12" t="s">
        <v>225</v>
      </c>
      <c r="AH30" s="12" t="s">
        <v>356</v>
      </c>
      <c r="AR30" s="12" t="s">
        <v>239</v>
      </c>
      <c r="AS30" s="12">
        <v>3</v>
      </c>
      <c r="AT30" s="12" t="s">
        <v>226</v>
      </c>
    </row>
    <row r="31" spans="1:46" ht="24" customHeight="1">
      <c r="A31" s="13"/>
      <c r="B31" s="13"/>
      <c r="C31" s="13"/>
      <c r="D31" s="13"/>
      <c r="E31" s="14"/>
      <c r="F31" s="14"/>
      <c r="G31" s="14"/>
      <c r="H31" s="14"/>
      <c r="I31" s="14"/>
      <c r="J31" s="14"/>
      <c r="K31" s="14"/>
      <c r="L31" s="14"/>
      <c r="M31" s="14"/>
      <c r="N31" s="14"/>
      <c r="O31" s="14"/>
      <c r="P31" s="14"/>
      <c r="Q31" s="14"/>
      <c r="R31" s="14"/>
      <c r="S31" s="14"/>
      <c r="T31" s="14"/>
      <c r="U31" s="14"/>
      <c r="V31" s="14"/>
      <c r="W31" s="14"/>
      <c r="AE31" s="12" t="s">
        <v>239</v>
      </c>
      <c r="AF31" s="12">
        <v>3</v>
      </c>
      <c r="AG31" s="12" t="s">
        <v>226</v>
      </c>
      <c r="AH31" s="12" t="s">
        <v>240</v>
      </c>
      <c r="AR31" s="12" t="s">
        <v>258</v>
      </c>
      <c r="AS31" s="12">
        <v>3</v>
      </c>
      <c r="AT31" s="12" t="s">
        <v>226</v>
      </c>
    </row>
    <row r="32" spans="1:46" ht="24" customHeight="1">
      <c r="A32" s="13"/>
      <c r="B32" s="13"/>
      <c r="C32" s="13"/>
      <c r="D32" s="13"/>
      <c r="E32" s="14"/>
      <c r="F32" s="14"/>
      <c r="G32" s="14"/>
      <c r="H32" s="14"/>
      <c r="I32" s="14"/>
      <c r="J32" s="14"/>
      <c r="K32" s="14"/>
      <c r="L32" s="14"/>
      <c r="M32" s="14"/>
      <c r="N32" s="14"/>
      <c r="O32" s="14"/>
      <c r="P32" s="14"/>
      <c r="Q32" s="14"/>
      <c r="R32" s="14"/>
      <c r="S32" s="14"/>
      <c r="T32" s="14"/>
      <c r="U32" s="14"/>
      <c r="V32" s="14"/>
      <c r="W32" s="14"/>
      <c r="AE32" s="12" t="s">
        <v>258</v>
      </c>
      <c r="AF32" s="12">
        <v>3</v>
      </c>
      <c r="AG32" s="12" t="s">
        <v>226</v>
      </c>
      <c r="AH32" s="12" t="s">
        <v>259</v>
      </c>
      <c r="AR32" s="12" t="s">
        <v>271</v>
      </c>
      <c r="AS32" s="12">
        <v>3</v>
      </c>
      <c r="AT32" s="12" t="s">
        <v>226</v>
      </c>
    </row>
    <row r="33" spans="1:46" ht="24" customHeight="1">
      <c r="A33" s="13"/>
      <c r="B33" s="13"/>
      <c r="C33" s="13"/>
      <c r="D33" s="13"/>
      <c r="E33" s="14"/>
      <c r="F33" s="14"/>
      <c r="G33" s="14"/>
      <c r="H33" s="14"/>
      <c r="I33" s="14"/>
      <c r="J33" s="14"/>
      <c r="K33" s="14"/>
      <c r="L33" s="14"/>
      <c r="M33" s="14"/>
      <c r="N33" s="14"/>
      <c r="O33" s="14"/>
      <c r="P33" s="14"/>
      <c r="Q33" s="14"/>
      <c r="R33" s="14"/>
      <c r="S33" s="14"/>
      <c r="T33" s="14"/>
      <c r="U33" s="14"/>
      <c r="V33" s="14"/>
      <c r="W33" s="14"/>
      <c r="AE33" s="12" t="s">
        <v>271</v>
      </c>
      <c r="AF33" s="12">
        <v>3</v>
      </c>
      <c r="AG33" s="12" t="s">
        <v>226</v>
      </c>
      <c r="AH33" s="12" t="s">
        <v>272</v>
      </c>
      <c r="AR33" s="12" t="s">
        <v>283</v>
      </c>
      <c r="AS33" s="12">
        <v>5</v>
      </c>
      <c r="AT33" s="12" t="s">
        <v>226</v>
      </c>
    </row>
    <row r="34" spans="1:46" ht="24" customHeight="1">
      <c r="A34" s="13"/>
      <c r="B34" s="13"/>
      <c r="C34" s="13"/>
      <c r="D34" s="13"/>
      <c r="E34" s="14"/>
      <c r="F34" s="14"/>
      <c r="G34" s="14"/>
      <c r="H34" s="14"/>
      <c r="I34" s="14"/>
      <c r="J34" s="14"/>
      <c r="K34" s="14"/>
      <c r="L34" s="14"/>
      <c r="M34" s="14"/>
      <c r="N34" s="14"/>
      <c r="O34" s="14"/>
      <c r="P34" s="14"/>
      <c r="Q34" s="14"/>
      <c r="R34" s="14"/>
      <c r="S34" s="14"/>
      <c r="T34" s="14"/>
      <c r="U34" s="14"/>
      <c r="V34" s="14"/>
      <c r="W34" s="14"/>
      <c r="AE34" s="12" t="s">
        <v>283</v>
      </c>
      <c r="AF34" s="12">
        <v>5</v>
      </c>
      <c r="AG34" s="12" t="s">
        <v>226</v>
      </c>
      <c r="AH34" s="12" t="s">
        <v>284</v>
      </c>
      <c r="AR34" s="12" t="s">
        <v>293</v>
      </c>
      <c r="AS34" s="12">
        <v>5</v>
      </c>
      <c r="AT34" s="12" t="s">
        <v>226</v>
      </c>
    </row>
    <row r="35" spans="1:46" ht="24" customHeight="1">
      <c r="A35" s="13"/>
      <c r="B35" s="13"/>
      <c r="C35" s="13"/>
      <c r="D35" s="13"/>
      <c r="E35" s="14"/>
      <c r="F35" s="14"/>
      <c r="G35" s="14"/>
      <c r="H35" s="14"/>
      <c r="I35" s="14"/>
      <c r="J35" s="14"/>
      <c r="K35" s="14"/>
      <c r="L35" s="14"/>
      <c r="M35" s="14"/>
      <c r="N35" s="14"/>
      <c r="O35" s="14"/>
      <c r="P35" s="14"/>
      <c r="Q35" s="14"/>
      <c r="R35" s="14"/>
      <c r="S35" s="14"/>
      <c r="T35" s="14"/>
      <c r="U35" s="14"/>
      <c r="V35" s="14"/>
      <c r="W35" s="14"/>
      <c r="AE35" s="12" t="s">
        <v>293</v>
      </c>
      <c r="AF35" s="12">
        <v>5</v>
      </c>
      <c r="AG35" s="12" t="s">
        <v>226</v>
      </c>
      <c r="AH35" s="12" t="s">
        <v>294</v>
      </c>
      <c r="AR35" s="12" t="s">
        <v>302</v>
      </c>
      <c r="AS35" s="12">
        <v>10</v>
      </c>
      <c r="AT35" s="12" t="s">
        <v>226</v>
      </c>
    </row>
    <row r="36" spans="1:46" ht="24" customHeight="1">
      <c r="A36" s="13"/>
      <c r="B36" s="13"/>
      <c r="C36" s="13"/>
      <c r="D36" s="13"/>
      <c r="E36" s="14"/>
      <c r="F36" s="14"/>
      <c r="G36" s="14"/>
      <c r="H36" s="14"/>
      <c r="I36" s="14"/>
      <c r="J36" s="14"/>
      <c r="K36" s="14"/>
      <c r="L36" s="14"/>
      <c r="M36" s="14"/>
      <c r="N36" s="14"/>
      <c r="O36" s="14"/>
      <c r="P36" s="14"/>
      <c r="Q36" s="14"/>
      <c r="R36" s="14"/>
      <c r="S36" s="14"/>
      <c r="T36" s="14"/>
      <c r="U36" s="14"/>
      <c r="V36" s="14"/>
      <c r="W36" s="14"/>
      <c r="AE36" s="12" t="s">
        <v>302</v>
      </c>
      <c r="AF36" s="12">
        <v>10</v>
      </c>
      <c r="AG36" s="12" t="s">
        <v>226</v>
      </c>
      <c r="AH36" s="12" t="s">
        <v>303</v>
      </c>
      <c r="AR36" s="12" t="s">
        <v>310</v>
      </c>
      <c r="AS36" s="12">
        <v>5</v>
      </c>
      <c r="AT36" s="12" t="s">
        <v>226</v>
      </c>
    </row>
    <row r="37" spans="1:46" ht="24" customHeight="1">
      <c r="A37" s="13"/>
      <c r="B37" s="13"/>
      <c r="C37" s="13"/>
      <c r="D37" s="13"/>
      <c r="E37" s="14"/>
      <c r="F37" s="14"/>
      <c r="G37" s="14"/>
      <c r="H37" s="14"/>
      <c r="I37" s="14"/>
      <c r="J37" s="14"/>
      <c r="K37" s="14"/>
      <c r="L37" s="14"/>
      <c r="M37" s="14"/>
      <c r="N37" s="14"/>
      <c r="O37" s="14"/>
      <c r="P37" s="14"/>
      <c r="Q37" s="14"/>
      <c r="R37" s="14"/>
      <c r="S37" s="14"/>
      <c r="T37" s="14"/>
      <c r="U37" s="14"/>
      <c r="V37" s="14"/>
      <c r="W37" s="14"/>
      <c r="AE37" s="12" t="s">
        <v>310</v>
      </c>
      <c r="AF37" s="12">
        <v>5</v>
      </c>
      <c r="AG37" s="12" t="s">
        <v>226</v>
      </c>
      <c r="AH37" s="12" t="s">
        <v>311</v>
      </c>
      <c r="AR37" s="12" t="s">
        <v>318</v>
      </c>
      <c r="AS37" s="12">
        <v>5</v>
      </c>
      <c r="AT37" s="12" t="s">
        <v>226</v>
      </c>
    </row>
    <row r="38" spans="1:46" ht="24" customHeight="1">
      <c r="A38" s="13"/>
      <c r="B38" s="13"/>
      <c r="C38" s="13"/>
      <c r="D38" s="13"/>
      <c r="E38" s="14"/>
      <c r="F38" s="14"/>
      <c r="G38" s="14"/>
      <c r="H38" s="14"/>
      <c r="I38" s="14"/>
      <c r="J38" s="14"/>
      <c r="K38" s="14"/>
      <c r="L38" s="14"/>
      <c r="M38" s="14"/>
      <c r="N38" s="14"/>
      <c r="O38" s="14"/>
      <c r="P38" s="14"/>
      <c r="Q38" s="14"/>
      <c r="R38" s="14"/>
      <c r="S38" s="14"/>
      <c r="T38" s="14"/>
      <c r="U38" s="14"/>
      <c r="V38" s="14"/>
      <c r="W38" s="14"/>
      <c r="AE38" s="12" t="s">
        <v>318</v>
      </c>
      <c r="AF38" s="12">
        <v>5</v>
      </c>
      <c r="AG38" s="12" t="s">
        <v>226</v>
      </c>
      <c r="AH38" s="12" t="s">
        <v>319</v>
      </c>
      <c r="AR38" s="12" t="s">
        <v>326</v>
      </c>
      <c r="AS38" s="12">
        <v>5</v>
      </c>
      <c r="AT38" s="12" t="s">
        <v>226</v>
      </c>
    </row>
    <row r="39" spans="1:46" ht="24" customHeight="1">
      <c r="A39" s="13"/>
      <c r="B39" s="13"/>
      <c r="C39" s="13"/>
      <c r="D39" s="13"/>
      <c r="E39" s="14"/>
      <c r="F39" s="14"/>
      <c r="G39" s="14"/>
      <c r="H39" s="14"/>
      <c r="I39" s="14"/>
      <c r="J39" s="14"/>
      <c r="K39" s="14"/>
      <c r="L39" s="14"/>
      <c r="M39" s="14"/>
      <c r="N39" s="14"/>
      <c r="O39" s="14"/>
      <c r="P39" s="14"/>
      <c r="Q39" s="14"/>
      <c r="R39" s="14"/>
      <c r="S39" s="14"/>
      <c r="T39" s="14"/>
      <c r="U39" s="14"/>
      <c r="V39" s="14"/>
      <c r="W39" s="14"/>
      <c r="AE39" s="12" t="s">
        <v>326</v>
      </c>
      <c r="AF39" s="12">
        <v>5</v>
      </c>
      <c r="AG39" s="12" t="s">
        <v>226</v>
      </c>
      <c r="AH39" s="12" t="s">
        <v>327</v>
      </c>
      <c r="AR39" s="12" t="s">
        <v>333</v>
      </c>
      <c r="AS39" s="12">
        <v>10</v>
      </c>
      <c r="AT39" s="12" t="s">
        <v>226</v>
      </c>
    </row>
    <row r="40" spans="1:46" ht="24" customHeight="1">
      <c r="A40" s="13"/>
      <c r="B40" s="13"/>
      <c r="C40" s="13"/>
      <c r="D40" s="13"/>
      <c r="E40" s="14"/>
      <c r="F40" s="14"/>
      <c r="G40" s="14"/>
      <c r="H40" s="14"/>
      <c r="I40" s="14"/>
      <c r="J40" s="14"/>
      <c r="K40" s="14"/>
      <c r="L40" s="14"/>
      <c r="M40" s="14"/>
      <c r="N40" s="14"/>
      <c r="O40" s="14"/>
      <c r="P40" s="14"/>
      <c r="Q40" s="14"/>
      <c r="R40" s="14"/>
      <c r="S40" s="14"/>
      <c r="T40" s="14"/>
      <c r="U40" s="14"/>
      <c r="V40" s="14"/>
      <c r="W40" s="14"/>
      <c r="AE40" s="12" t="s">
        <v>333</v>
      </c>
      <c r="AF40" s="12">
        <v>10</v>
      </c>
      <c r="AG40" s="12" t="s">
        <v>226</v>
      </c>
      <c r="AH40" s="12" t="s">
        <v>334</v>
      </c>
      <c r="AR40" s="12" t="s">
        <v>339</v>
      </c>
      <c r="AS40" s="12">
        <v>3</v>
      </c>
      <c r="AT40" s="12" t="s">
        <v>226</v>
      </c>
    </row>
    <row r="41" spans="1:46" ht="24" customHeight="1">
      <c r="A41" s="13"/>
      <c r="B41" s="13"/>
      <c r="C41" s="13"/>
      <c r="D41" s="13"/>
      <c r="E41" s="14"/>
      <c r="F41" s="14"/>
      <c r="G41" s="14"/>
      <c r="H41" s="14"/>
      <c r="I41" s="14"/>
      <c r="J41" s="14"/>
      <c r="K41" s="14"/>
      <c r="L41" s="14"/>
      <c r="M41" s="14"/>
      <c r="N41" s="14"/>
      <c r="O41" s="14"/>
      <c r="P41" s="14"/>
      <c r="Q41" s="14"/>
      <c r="R41" s="14"/>
      <c r="S41" s="14"/>
      <c r="T41" s="14"/>
      <c r="U41" s="14"/>
      <c r="V41" s="14"/>
      <c r="W41" s="14"/>
      <c r="AE41" s="12" t="s">
        <v>339</v>
      </c>
      <c r="AF41" s="12">
        <v>3</v>
      </c>
      <c r="AG41" s="12" t="s">
        <v>226</v>
      </c>
      <c r="AH41" s="12" t="s">
        <v>340</v>
      </c>
      <c r="AR41" s="12" t="s">
        <v>345</v>
      </c>
      <c r="AS41" s="12">
        <v>50</v>
      </c>
      <c r="AT41" s="12" t="s">
        <v>226</v>
      </c>
    </row>
    <row r="42" spans="1:46">
      <c r="AE42" s="12" t="s">
        <v>345</v>
      </c>
      <c r="AF42" s="12">
        <v>50</v>
      </c>
      <c r="AG42" s="12" t="s">
        <v>226</v>
      </c>
      <c r="AH42" s="12" t="s">
        <v>346</v>
      </c>
      <c r="AR42" s="12" t="s">
        <v>246</v>
      </c>
      <c r="AS42" s="12">
        <v>10</v>
      </c>
      <c r="AT42" s="12" t="s">
        <v>227</v>
      </c>
    </row>
    <row r="43" spans="1:46">
      <c r="AE43" s="12" t="s">
        <v>246</v>
      </c>
      <c r="AF43" s="12">
        <v>10</v>
      </c>
      <c r="AG43" s="12" t="s">
        <v>227</v>
      </c>
      <c r="AH43" s="12" t="s">
        <v>247</v>
      </c>
      <c r="AR43" s="12" t="s">
        <v>264</v>
      </c>
      <c r="AS43" s="12">
        <v>25</v>
      </c>
      <c r="AT43" s="12" t="s">
        <v>227</v>
      </c>
    </row>
    <row r="44" spans="1:46">
      <c r="AE44" s="12" t="s">
        <v>264</v>
      </c>
      <c r="AF44" s="12">
        <v>25</v>
      </c>
      <c r="AG44" s="12" t="s">
        <v>227</v>
      </c>
      <c r="AH44" s="12" t="s">
        <v>265</v>
      </c>
      <c r="AR44" s="12" t="s">
        <v>277</v>
      </c>
      <c r="AS44" s="12">
        <v>2</v>
      </c>
      <c r="AT44" s="12" t="s">
        <v>227</v>
      </c>
    </row>
    <row r="45" spans="1:46">
      <c r="AE45" s="12" t="s">
        <v>277</v>
      </c>
      <c r="AF45" s="12">
        <v>2</v>
      </c>
      <c r="AG45" s="12" t="s">
        <v>227</v>
      </c>
      <c r="AH45" s="12" t="s">
        <v>278</v>
      </c>
      <c r="AR45" s="12" t="s">
        <v>362</v>
      </c>
      <c r="AS45" s="12">
        <v>5</v>
      </c>
      <c r="AT45" s="12" t="s">
        <v>138</v>
      </c>
    </row>
    <row r="46" spans="1:46">
      <c r="AR46" s="12" t="s">
        <v>363</v>
      </c>
      <c r="AS46" s="12">
        <v>5</v>
      </c>
      <c r="AT46" s="12" t="s">
        <v>138</v>
      </c>
    </row>
    <row r="47" spans="1:46">
      <c r="AR47" s="12" t="s">
        <v>364</v>
      </c>
      <c r="AS47" s="12">
        <v>5</v>
      </c>
      <c r="AT47" s="12" t="s">
        <v>138</v>
      </c>
    </row>
    <row r="48" spans="1:46">
      <c r="AR48" s="12" t="s">
        <v>365</v>
      </c>
      <c r="AS48" s="12">
        <v>5</v>
      </c>
      <c r="AT48" s="12" t="s">
        <v>138</v>
      </c>
    </row>
    <row r="49" spans="44:46">
      <c r="AR49" s="12" t="s">
        <v>366</v>
      </c>
      <c r="AS49" s="12">
        <v>5</v>
      </c>
      <c r="AT49" s="12" t="s">
        <v>138</v>
      </c>
    </row>
    <row r="50" spans="44:46">
      <c r="AR50" s="12" t="s">
        <v>367</v>
      </c>
      <c r="AS50" s="12">
        <v>5</v>
      </c>
      <c r="AT50" s="12" t="s">
        <v>138</v>
      </c>
    </row>
    <row r="51" spans="44:46">
      <c r="AR51" s="12" t="s">
        <v>368</v>
      </c>
      <c r="AS51" s="12">
        <v>5</v>
      </c>
      <c r="AT51" s="12" t="s">
        <v>138</v>
      </c>
    </row>
    <row r="52" spans="44:46">
      <c r="AR52" s="12" t="s">
        <v>369</v>
      </c>
      <c r="AS52" s="12">
        <v>5</v>
      </c>
      <c r="AT52" s="12" t="s">
        <v>138</v>
      </c>
    </row>
    <row r="53" spans="44:46">
      <c r="AR53" s="12" t="s">
        <v>370</v>
      </c>
      <c r="AS53" s="12">
        <v>5</v>
      </c>
      <c r="AT53" s="12" t="s">
        <v>138</v>
      </c>
    </row>
    <row r="54" spans="44:46">
      <c r="AR54" s="12" t="s">
        <v>371</v>
      </c>
      <c r="AS54" s="12">
        <v>5</v>
      </c>
      <c r="AT54" s="12" t="s">
        <v>138</v>
      </c>
    </row>
    <row r="55" spans="44:46">
      <c r="AR55" s="12" t="s">
        <v>372</v>
      </c>
      <c r="AS55" s="12">
        <v>5</v>
      </c>
      <c r="AT55" s="12" t="s">
        <v>138</v>
      </c>
    </row>
    <row r="56" spans="44:46">
      <c r="AR56" s="12" t="s">
        <v>373</v>
      </c>
      <c r="AS56" s="12">
        <v>5</v>
      </c>
      <c r="AT56" s="12" t="s">
        <v>138</v>
      </c>
    </row>
    <row r="57" spans="44:46">
      <c r="AR57" s="12" t="s">
        <v>374</v>
      </c>
      <c r="AS57" s="12">
        <v>5</v>
      </c>
      <c r="AT57" s="12" t="s">
        <v>138</v>
      </c>
    </row>
    <row r="58" spans="44:46">
      <c r="AR58" s="12" t="s">
        <v>375</v>
      </c>
      <c r="AS58" s="12">
        <v>5</v>
      </c>
      <c r="AT58" s="12" t="s">
        <v>181</v>
      </c>
    </row>
    <row r="59" spans="44:46">
      <c r="AR59" s="12" t="s">
        <v>376</v>
      </c>
      <c r="AS59" s="12">
        <v>5</v>
      </c>
      <c r="AT59" s="12" t="s">
        <v>181</v>
      </c>
    </row>
    <row r="60" spans="44:46">
      <c r="AR60" s="12" t="s">
        <v>377</v>
      </c>
      <c r="AS60" s="12">
        <v>5</v>
      </c>
      <c r="AT60" s="12" t="s">
        <v>181</v>
      </c>
    </row>
    <row r="61" spans="44:46">
      <c r="AR61" s="12" t="s">
        <v>378</v>
      </c>
      <c r="AS61" s="12">
        <v>5</v>
      </c>
      <c r="AT61" s="12" t="s">
        <v>181</v>
      </c>
    </row>
    <row r="62" spans="44:46">
      <c r="AR62" s="12" t="s">
        <v>379</v>
      </c>
      <c r="AS62" s="12">
        <v>10</v>
      </c>
      <c r="AT62" s="12" t="s">
        <v>181</v>
      </c>
    </row>
    <row r="81" spans="21:23">
      <c r="U81" s="12" t="str">
        <f t="shared" ref="U81:U133" si="0">IF(ROW()-1&lt;=COUNTA($A$5:$A$300)+4,INDEX($A:$A,ROW()-1),"")</f>
        <v/>
      </c>
      <c r="V81" s="12" t="str">
        <f t="shared" ref="V81:V133" si="1">IF(ROW()-1&lt;=COUNTA($F$5:$F$300)+4,INDEX($F:$F,ROW()-1),"")</f>
        <v/>
      </c>
      <c r="W81" s="12" t="str">
        <f t="shared" ref="W81:W133" si="2">IF(ROW()-1&lt;=COUNTA($K$5:$K$300)+4,INDEX($K:$K,ROW()-1),"")</f>
        <v/>
      </c>
    </row>
    <row r="82" spans="21:23">
      <c r="U82" s="12" t="str">
        <f t="shared" si="0"/>
        <v/>
      </c>
      <c r="V82" s="12" t="str">
        <f t="shared" si="1"/>
        <v/>
      </c>
      <c r="W82" s="12" t="str">
        <f t="shared" si="2"/>
        <v/>
      </c>
    </row>
    <row r="83" spans="21:23">
      <c r="U83" s="12" t="str">
        <f t="shared" si="0"/>
        <v/>
      </c>
      <c r="V83" s="12" t="str">
        <f t="shared" si="1"/>
        <v/>
      </c>
      <c r="W83" s="12" t="str">
        <f t="shared" si="2"/>
        <v/>
      </c>
    </row>
    <row r="84" spans="21:23">
      <c r="U84" s="12" t="str">
        <f t="shared" si="0"/>
        <v/>
      </c>
      <c r="V84" s="12" t="str">
        <f t="shared" si="1"/>
        <v/>
      </c>
      <c r="W84" s="12" t="str">
        <f t="shared" si="2"/>
        <v/>
      </c>
    </row>
    <row r="85" spans="21:23">
      <c r="U85" s="12" t="str">
        <f t="shared" si="0"/>
        <v/>
      </c>
      <c r="V85" s="12" t="str">
        <f t="shared" si="1"/>
        <v/>
      </c>
      <c r="W85" s="12" t="str">
        <f t="shared" si="2"/>
        <v/>
      </c>
    </row>
    <row r="86" spans="21:23">
      <c r="U86" s="12" t="str">
        <f t="shared" si="0"/>
        <v/>
      </c>
      <c r="V86" s="12" t="str">
        <f t="shared" si="1"/>
        <v/>
      </c>
      <c r="W86" s="12" t="str">
        <f t="shared" si="2"/>
        <v/>
      </c>
    </row>
    <row r="87" spans="21:23">
      <c r="U87" s="12" t="str">
        <f t="shared" si="0"/>
        <v/>
      </c>
      <c r="V87" s="12" t="str">
        <f t="shared" si="1"/>
        <v/>
      </c>
      <c r="W87" s="12" t="str">
        <f t="shared" si="2"/>
        <v/>
      </c>
    </row>
    <row r="88" spans="21:23">
      <c r="U88" s="12" t="str">
        <f t="shared" si="0"/>
        <v/>
      </c>
      <c r="V88" s="12" t="str">
        <f t="shared" si="1"/>
        <v/>
      </c>
      <c r="W88" s="12" t="str">
        <f t="shared" si="2"/>
        <v/>
      </c>
    </row>
    <row r="89" spans="21:23">
      <c r="U89" s="12" t="str">
        <f t="shared" si="0"/>
        <v/>
      </c>
      <c r="V89" s="12" t="str">
        <f t="shared" si="1"/>
        <v/>
      </c>
      <c r="W89" s="12" t="str">
        <f t="shared" si="2"/>
        <v/>
      </c>
    </row>
    <row r="90" spans="21:23">
      <c r="U90" s="12" t="str">
        <f t="shared" si="0"/>
        <v/>
      </c>
      <c r="V90" s="12" t="str">
        <f t="shared" si="1"/>
        <v/>
      </c>
      <c r="W90" s="12" t="str">
        <f t="shared" si="2"/>
        <v/>
      </c>
    </row>
    <row r="91" spans="21:23">
      <c r="U91" s="12" t="str">
        <f t="shared" si="0"/>
        <v/>
      </c>
      <c r="V91" s="12" t="str">
        <f t="shared" si="1"/>
        <v/>
      </c>
      <c r="W91" s="12" t="str">
        <f t="shared" si="2"/>
        <v/>
      </c>
    </row>
    <row r="92" spans="21:23">
      <c r="U92" s="12" t="str">
        <f t="shared" si="0"/>
        <v/>
      </c>
      <c r="V92" s="12" t="str">
        <f t="shared" si="1"/>
        <v/>
      </c>
      <c r="W92" s="12" t="str">
        <f t="shared" si="2"/>
        <v/>
      </c>
    </row>
    <row r="93" spans="21:23">
      <c r="U93" s="12" t="str">
        <f t="shared" si="0"/>
        <v/>
      </c>
      <c r="V93" s="12" t="str">
        <f t="shared" si="1"/>
        <v/>
      </c>
      <c r="W93" s="12" t="str">
        <f t="shared" si="2"/>
        <v/>
      </c>
    </row>
    <row r="94" spans="21:23">
      <c r="U94" s="12" t="str">
        <f t="shared" si="0"/>
        <v/>
      </c>
      <c r="V94" s="12" t="str">
        <f t="shared" si="1"/>
        <v/>
      </c>
      <c r="W94" s="12" t="str">
        <f t="shared" si="2"/>
        <v/>
      </c>
    </row>
    <row r="95" spans="21:23">
      <c r="U95" s="12" t="str">
        <f t="shared" si="0"/>
        <v/>
      </c>
      <c r="V95" s="12" t="str">
        <f t="shared" si="1"/>
        <v/>
      </c>
      <c r="W95" s="12" t="str">
        <f t="shared" si="2"/>
        <v/>
      </c>
    </row>
    <row r="96" spans="21:23">
      <c r="U96" s="12" t="str">
        <f t="shared" si="0"/>
        <v/>
      </c>
      <c r="V96" s="12" t="str">
        <f t="shared" si="1"/>
        <v/>
      </c>
      <c r="W96" s="12" t="str">
        <f t="shared" si="2"/>
        <v/>
      </c>
    </row>
    <row r="97" spans="21:23">
      <c r="U97" s="12" t="str">
        <f t="shared" si="0"/>
        <v/>
      </c>
      <c r="V97" s="12" t="str">
        <f t="shared" si="1"/>
        <v/>
      </c>
      <c r="W97" s="12" t="str">
        <f t="shared" si="2"/>
        <v/>
      </c>
    </row>
    <row r="98" spans="21:23">
      <c r="U98" s="12" t="str">
        <f t="shared" si="0"/>
        <v/>
      </c>
      <c r="V98" s="12" t="str">
        <f t="shared" si="1"/>
        <v/>
      </c>
      <c r="W98" s="12" t="str">
        <f t="shared" si="2"/>
        <v/>
      </c>
    </row>
    <row r="99" spans="21:23">
      <c r="U99" s="12" t="str">
        <f t="shared" si="0"/>
        <v/>
      </c>
      <c r="V99" s="12" t="str">
        <f t="shared" si="1"/>
        <v/>
      </c>
      <c r="W99" s="12" t="str">
        <f t="shared" si="2"/>
        <v/>
      </c>
    </row>
    <row r="100" spans="21:23">
      <c r="U100" s="12" t="str">
        <f t="shared" si="0"/>
        <v/>
      </c>
      <c r="V100" s="12" t="str">
        <f t="shared" si="1"/>
        <v/>
      </c>
      <c r="W100" s="12" t="str">
        <f t="shared" si="2"/>
        <v/>
      </c>
    </row>
    <row r="101" spans="21:23">
      <c r="U101" s="12" t="str">
        <f t="shared" si="0"/>
        <v/>
      </c>
      <c r="V101" s="12" t="str">
        <f t="shared" si="1"/>
        <v/>
      </c>
      <c r="W101" s="12" t="str">
        <f t="shared" si="2"/>
        <v/>
      </c>
    </row>
    <row r="102" spans="21:23">
      <c r="U102" s="12" t="str">
        <f t="shared" si="0"/>
        <v/>
      </c>
      <c r="V102" s="12" t="str">
        <f t="shared" si="1"/>
        <v/>
      </c>
      <c r="W102" s="12" t="str">
        <f t="shared" si="2"/>
        <v/>
      </c>
    </row>
    <row r="103" spans="21:23">
      <c r="U103" s="12" t="str">
        <f t="shared" si="0"/>
        <v/>
      </c>
      <c r="V103" s="12" t="str">
        <f t="shared" si="1"/>
        <v/>
      </c>
      <c r="W103" s="12" t="str">
        <f t="shared" si="2"/>
        <v/>
      </c>
    </row>
    <row r="104" spans="21:23">
      <c r="U104" s="12" t="str">
        <f t="shared" si="0"/>
        <v/>
      </c>
      <c r="V104" s="12" t="str">
        <f t="shared" si="1"/>
        <v/>
      </c>
      <c r="W104" s="12" t="str">
        <f t="shared" si="2"/>
        <v/>
      </c>
    </row>
    <row r="105" spans="21:23">
      <c r="U105" s="12" t="str">
        <f t="shared" si="0"/>
        <v/>
      </c>
      <c r="V105" s="12" t="str">
        <f t="shared" si="1"/>
        <v/>
      </c>
      <c r="W105" s="12" t="str">
        <f t="shared" si="2"/>
        <v/>
      </c>
    </row>
    <row r="106" spans="21:23">
      <c r="U106" s="12" t="str">
        <f t="shared" si="0"/>
        <v/>
      </c>
      <c r="V106" s="12" t="str">
        <f t="shared" si="1"/>
        <v/>
      </c>
      <c r="W106" s="12" t="str">
        <f t="shared" si="2"/>
        <v/>
      </c>
    </row>
    <row r="107" spans="21:23">
      <c r="U107" s="12" t="str">
        <f t="shared" si="0"/>
        <v/>
      </c>
      <c r="V107" s="12" t="str">
        <f t="shared" si="1"/>
        <v/>
      </c>
      <c r="W107" s="12" t="str">
        <f t="shared" si="2"/>
        <v/>
      </c>
    </row>
    <row r="108" spans="21:23">
      <c r="U108" s="12" t="str">
        <f t="shared" si="0"/>
        <v/>
      </c>
      <c r="V108" s="12" t="str">
        <f t="shared" si="1"/>
        <v/>
      </c>
      <c r="W108" s="12" t="str">
        <f t="shared" si="2"/>
        <v/>
      </c>
    </row>
    <row r="109" spans="21:23">
      <c r="U109" s="12" t="str">
        <f t="shared" si="0"/>
        <v/>
      </c>
      <c r="V109" s="12" t="str">
        <f t="shared" si="1"/>
        <v/>
      </c>
      <c r="W109" s="12" t="str">
        <f t="shared" si="2"/>
        <v/>
      </c>
    </row>
    <row r="110" spans="21:23">
      <c r="U110" s="12" t="str">
        <f t="shared" si="0"/>
        <v/>
      </c>
      <c r="V110" s="12" t="str">
        <f t="shared" si="1"/>
        <v/>
      </c>
      <c r="W110" s="12" t="str">
        <f t="shared" si="2"/>
        <v/>
      </c>
    </row>
    <row r="111" spans="21:23">
      <c r="U111" s="12" t="str">
        <f t="shared" si="0"/>
        <v/>
      </c>
      <c r="V111" s="12" t="str">
        <f t="shared" si="1"/>
        <v/>
      </c>
      <c r="W111" s="12" t="str">
        <f t="shared" si="2"/>
        <v/>
      </c>
    </row>
    <row r="112" spans="21:23">
      <c r="U112" s="12" t="str">
        <f t="shared" si="0"/>
        <v/>
      </c>
      <c r="V112" s="12" t="str">
        <f t="shared" si="1"/>
        <v/>
      </c>
      <c r="W112" s="12" t="str">
        <f t="shared" si="2"/>
        <v/>
      </c>
    </row>
    <row r="113" spans="21:23">
      <c r="U113" s="12" t="str">
        <f t="shared" si="0"/>
        <v/>
      </c>
      <c r="V113" s="12" t="str">
        <f t="shared" si="1"/>
        <v/>
      </c>
      <c r="W113" s="12" t="str">
        <f t="shared" si="2"/>
        <v/>
      </c>
    </row>
    <row r="114" spans="21:23">
      <c r="U114" s="12" t="str">
        <f t="shared" si="0"/>
        <v/>
      </c>
      <c r="V114" s="12" t="str">
        <f t="shared" si="1"/>
        <v/>
      </c>
      <c r="W114" s="12" t="str">
        <f t="shared" si="2"/>
        <v/>
      </c>
    </row>
    <row r="115" spans="21:23">
      <c r="U115" s="12" t="str">
        <f t="shared" si="0"/>
        <v/>
      </c>
      <c r="V115" s="12" t="str">
        <f t="shared" si="1"/>
        <v/>
      </c>
      <c r="W115" s="12" t="str">
        <f t="shared" si="2"/>
        <v/>
      </c>
    </row>
    <row r="116" spans="21:23">
      <c r="U116" s="12" t="str">
        <f t="shared" si="0"/>
        <v/>
      </c>
      <c r="V116" s="12" t="str">
        <f t="shared" si="1"/>
        <v/>
      </c>
      <c r="W116" s="12" t="str">
        <f t="shared" si="2"/>
        <v/>
      </c>
    </row>
    <row r="117" spans="21:23">
      <c r="U117" s="12" t="str">
        <f t="shared" si="0"/>
        <v/>
      </c>
      <c r="V117" s="12" t="str">
        <f t="shared" si="1"/>
        <v/>
      </c>
      <c r="W117" s="12" t="str">
        <f t="shared" si="2"/>
        <v/>
      </c>
    </row>
    <row r="118" spans="21:23">
      <c r="U118" s="12" t="str">
        <f t="shared" si="0"/>
        <v/>
      </c>
      <c r="V118" s="12" t="str">
        <f t="shared" si="1"/>
        <v/>
      </c>
      <c r="W118" s="12" t="str">
        <f t="shared" si="2"/>
        <v/>
      </c>
    </row>
    <row r="119" spans="21:23">
      <c r="U119" s="12" t="str">
        <f t="shared" si="0"/>
        <v/>
      </c>
      <c r="V119" s="12" t="str">
        <f t="shared" si="1"/>
        <v/>
      </c>
      <c r="W119" s="12" t="str">
        <f t="shared" si="2"/>
        <v/>
      </c>
    </row>
    <row r="120" spans="21:23">
      <c r="U120" s="12" t="str">
        <f t="shared" si="0"/>
        <v/>
      </c>
      <c r="V120" s="12" t="str">
        <f t="shared" si="1"/>
        <v/>
      </c>
      <c r="W120" s="12" t="str">
        <f t="shared" si="2"/>
        <v/>
      </c>
    </row>
    <row r="121" spans="21:23">
      <c r="U121" s="12" t="str">
        <f t="shared" si="0"/>
        <v/>
      </c>
      <c r="V121" s="12" t="str">
        <f t="shared" si="1"/>
        <v/>
      </c>
      <c r="W121" s="12" t="str">
        <f t="shared" si="2"/>
        <v/>
      </c>
    </row>
    <row r="122" spans="21:23">
      <c r="U122" s="12" t="str">
        <f t="shared" si="0"/>
        <v/>
      </c>
      <c r="V122" s="12" t="str">
        <f t="shared" si="1"/>
        <v/>
      </c>
      <c r="W122" s="12" t="str">
        <f t="shared" si="2"/>
        <v/>
      </c>
    </row>
    <row r="123" spans="21:23">
      <c r="U123" s="12" t="str">
        <f t="shared" si="0"/>
        <v/>
      </c>
      <c r="V123" s="12" t="str">
        <f t="shared" si="1"/>
        <v/>
      </c>
      <c r="W123" s="12" t="str">
        <f t="shared" si="2"/>
        <v/>
      </c>
    </row>
    <row r="124" spans="21:23">
      <c r="U124" s="12" t="str">
        <f t="shared" si="0"/>
        <v/>
      </c>
      <c r="V124" s="12" t="str">
        <f t="shared" si="1"/>
        <v/>
      </c>
      <c r="W124" s="12" t="str">
        <f t="shared" si="2"/>
        <v/>
      </c>
    </row>
    <row r="125" spans="21:23">
      <c r="U125" s="12" t="str">
        <f t="shared" si="0"/>
        <v/>
      </c>
      <c r="V125" s="12" t="str">
        <f t="shared" si="1"/>
        <v/>
      </c>
      <c r="W125" s="12" t="str">
        <f t="shared" si="2"/>
        <v/>
      </c>
    </row>
    <row r="126" spans="21:23">
      <c r="U126" s="12" t="str">
        <f t="shared" si="0"/>
        <v/>
      </c>
      <c r="V126" s="12" t="str">
        <f t="shared" si="1"/>
        <v/>
      </c>
      <c r="W126" s="12" t="str">
        <f t="shared" si="2"/>
        <v/>
      </c>
    </row>
    <row r="127" spans="21:23">
      <c r="U127" s="12" t="str">
        <f t="shared" si="0"/>
        <v/>
      </c>
      <c r="V127" s="12" t="str">
        <f t="shared" si="1"/>
        <v/>
      </c>
      <c r="W127" s="12" t="str">
        <f t="shared" si="2"/>
        <v/>
      </c>
    </row>
    <row r="128" spans="21:23">
      <c r="U128" s="12" t="str">
        <f t="shared" si="0"/>
        <v/>
      </c>
      <c r="V128" s="12" t="str">
        <f t="shared" si="1"/>
        <v/>
      </c>
      <c r="W128" s="12" t="str">
        <f t="shared" si="2"/>
        <v/>
      </c>
    </row>
    <row r="129" spans="21:23">
      <c r="U129" s="12" t="str">
        <f t="shared" si="0"/>
        <v/>
      </c>
      <c r="V129" s="12" t="str">
        <f t="shared" si="1"/>
        <v/>
      </c>
      <c r="W129" s="12" t="str">
        <f t="shared" si="2"/>
        <v/>
      </c>
    </row>
    <row r="130" spans="21:23">
      <c r="U130" s="12" t="str">
        <f t="shared" si="0"/>
        <v/>
      </c>
      <c r="V130" s="12" t="str">
        <f t="shared" si="1"/>
        <v/>
      </c>
      <c r="W130" s="12" t="str">
        <f t="shared" si="2"/>
        <v/>
      </c>
    </row>
    <row r="131" spans="21:23">
      <c r="U131" s="12" t="str">
        <f t="shared" si="0"/>
        <v/>
      </c>
      <c r="V131" s="12" t="str">
        <f t="shared" si="1"/>
        <v/>
      </c>
      <c r="W131" s="12" t="str">
        <f t="shared" si="2"/>
        <v/>
      </c>
    </row>
    <row r="132" spans="21:23">
      <c r="U132" s="12" t="str">
        <f t="shared" si="0"/>
        <v/>
      </c>
      <c r="V132" s="12" t="str">
        <f t="shared" si="1"/>
        <v/>
      </c>
      <c r="W132" s="12" t="str">
        <f t="shared" si="2"/>
        <v/>
      </c>
    </row>
    <row r="133" spans="21:23">
      <c r="U133" s="12" t="str">
        <f t="shared" si="0"/>
        <v/>
      </c>
      <c r="V133" s="12" t="str">
        <f t="shared" si="1"/>
        <v/>
      </c>
      <c r="W133" s="12" t="str">
        <f t="shared" si="2"/>
        <v/>
      </c>
    </row>
    <row r="134" spans="21:23">
      <c r="U134" s="12" t="str">
        <f t="shared" ref="U134:U197" si="3">IF(ROW()-1&lt;=COUNTA($A$5:$A$300)+4,INDEX($A:$A,ROW()-1),"")</f>
        <v/>
      </c>
      <c r="V134" s="12" t="str">
        <f t="shared" ref="V134:V197" si="4">IF(ROW()-1&lt;=COUNTA($F$5:$F$300)+4,INDEX($F:$F,ROW()-1),"")</f>
        <v/>
      </c>
      <c r="W134" s="12" t="str">
        <f t="shared" ref="W134:W197" si="5">IF(ROW()-1&lt;=COUNTA($K$5:$K$300)+4,INDEX($K:$K,ROW()-1),"")</f>
        <v/>
      </c>
    </row>
    <row r="135" spans="21:23">
      <c r="U135" s="12" t="str">
        <f t="shared" si="3"/>
        <v/>
      </c>
      <c r="V135" s="12" t="str">
        <f t="shared" si="4"/>
        <v/>
      </c>
      <c r="W135" s="12" t="str">
        <f t="shared" si="5"/>
        <v/>
      </c>
    </row>
    <row r="136" spans="21:23">
      <c r="U136" s="12" t="str">
        <f t="shared" si="3"/>
        <v/>
      </c>
      <c r="V136" s="12" t="str">
        <f t="shared" si="4"/>
        <v/>
      </c>
      <c r="W136" s="12" t="str">
        <f t="shared" si="5"/>
        <v/>
      </c>
    </row>
    <row r="137" spans="21:23">
      <c r="U137" s="12" t="str">
        <f t="shared" si="3"/>
        <v/>
      </c>
      <c r="V137" s="12" t="str">
        <f t="shared" si="4"/>
        <v/>
      </c>
      <c r="W137" s="12" t="str">
        <f t="shared" si="5"/>
        <v/>
      </c>
    </row>
    <row r="138" spans="21:23">
      <c r="U138" s="12" t="str">
        <f t="shared" si="3"/>
        <v/>
      </c>
      <c r="V138" s="12" t="str">
        <f t="shared" si="4"/>
        <v/>
      </c>
      <c r="W138" s="12" t="str">
        <f t="shared" si="5"/>
        <v/>
      </c>
    </row>
    <row r="139" spans="21:23">
      <c r="U139" s="12" t="str">
        <f t="shared" si="3"/>
        <v/>
      </c>
      <c r="V139" s="12" t="str">
        <f t="shared" si="4"/>
        <v/>
      </c>
      <c r="W139" s="12" t="str">
        <f t="shared" si="5"/>
        <v/>
      </c>
    </row>
    <row r="140" spans="21:23">
      <c r="U140" s="12" t="str">
        <f t="shared" si="3"/>
        <v/>
      </c>
      <c r="V140" s="12" t="str">
        <f t="shared" si="4"/>
        <v/>
      </c>
      <c r="W140" s="12" t="str">
        <f t="shared" si="5"/>
        <v/>
      </c>
    </row>
    <row r="141" spans="21:23">
      <c r="U141" s="12" t="str">
        <f t="shared" si="3"/>
        <v/>
      </c>
      <c r="V141" s="12" t="str">
        <f t="shared" si="4"/>
        <v/>
      </c>
      <c r="W141" s="12" t="str">
        <f t="shared" si="5"/>
        <v/>
      </c>
    </row>
    <row r="142" spans="21:23">
      <c r="U142" s="12" t="str">
        <f t="shared" si="3"/>
        <v/>
      </c>
      <c r="V142" s="12" t="str">
        <f t="shared" si="4"/>
        <v/>
      </c>
      <c r="W142" s="12" t="str">
        <f t="shared" si="5"/>
        <v/>
      </c>
    </row>
    <row r="143" spans="21:23">
      <c r="U143" s="12" t="str">
        <f t="shared" si="3"/>
        <v/>
      </c>
      <c r="V143" s="12" t="str">
        <f t="shared" si="4"/>
        <v/>
      </c>
      <c r="W143" s="12" t="str">
        <f t="shared" si="5"/>
        <v/>
      </c>
    </row>
    <row r="144" spans="21:23">
      <c r="U144" s="12" t="str">
        <f t="shared" si="3"/>
        <v/>
      </c>
      <c r="V144" s="12" t="str">
        <f t="shared" si="4"/>
        <v/>
      </c>
      <c r="W144" s="12" t="str">
        <f t="shared" si="5"/>
        <v/>
      </c>
    </row>
    <row r="145" spans="21:23">
      <c r="U145" s="12" t="str">
        <f t="shared" si="3"/>
        <v/>
      </c>
      <c r="V145" s="12" t="str">
        <f t="shared" si="4"/>
        <v/>
      </c>
      <c r="W145" s="12" t="str">
        <f t="shared" si="5"/>
        <v/>
      </c>
    </row>
    <row r="146" spans="21:23">
      <c r="U146" s="12" t="str">
        <f t="shared" si="3"/>
        <v/>
      </c>
      <c r="V146" s="12" t="str">
        <f t="shared" si="4"/>
        <v/>
      </c>
      <c r="W146" s="12" t="str">
        <f t="shared" si="5"/>
        <v/>
      </c>
    </row>
    <row r="147" spans="21:23">
      <c r="U147" s="12" t="str">
        <f t="shared" si="3"/>
        <v/>
      </c>
      <c r="V147" s="12" t="str">
        <f t="shared" si="4"/>
        <v/>
      </c>
      <c r="W147" s="12" t="str">
        <f t="shared" si="5"/>
        <v/>
      </c>
    </row>
    <row r="148" spans="21:23">
      <c r="U148" s="12" t="str">
        <f t="shared" si="3"/>
        <v/>
      </c>
      <c r="V148" s="12" t="str">
        <f t="shared" si="4"/>
        <v/>
      </c>
      <c r="W148" s="12" t="str">
        <f t="shared" si="5"/>
        <v/>
      </c>
    </row>
    <row r="149" spans="21:23">
      <c r="U149" s="12" t="str">
        <f t="shared" si="3"/>
        <v/>
      </c>
      <c r="V149" s="12" t="str">
        <f t="shared" si="4"/>
        <v/>
      </c>
      <c r="W149" s="12" t="str">
        <f t="shared" si="5"/>
        <v/>
      </c>
    </row>
    <row r="150" spans="21:23">
      <c r="U150" s="12" t="str">
        <f t="shared" si="3"/>
        <v/>
      </c>
      <c r="V150" s="12" t="str">
        <f t="shared" si="4"/>
        <v/>
      </c>
      <c r="W150" s="12" t="str">
        <f t="shared" si="5"/>
        <v/>
      </c>
    </row>
    <row r="151" spans="21:23">
      <c r="U151" s="12" t="str">
        <f t="shared" si="3"/>
        <v/>
      </c>
      <c r="V151" s="12" t="str">
        <f t="shared" si="4"/>
        <v/>
      </c>
      <c r="W151" s="12" t="str">
        <f t="shared" si="5"/>
        <v/>
      </c>
    </row>
    <row r="152" spans="21:23">
      <c r="U152" s="12" t="str">
        <f t="shared" si="3"/>
        <v/>
      </c>
      <c r="V152" s="12" t="str">
        <f t="shared" si="4"/>
        <v/>
      </c>
      <c r="W152" s="12" t="str">
        <f t="shared" si="5"/>
        <v/>
      </c>
    </row>
    <row r="153" spans="21:23">
      <c r="U153" s="12" t="str">
        <f t="shared" si="3"/>
        <v/>
      </c>
      <c r="V153" s="12" t="str">
        <f t="shared" si="4"/>
        <v/>
      </c>
      <c r="W153" s="12" t="str">
        <f t="shared" si="5"/>
        <v/>
      </c>
    </row>
    <row r="154" spans="21:23">
      <c r="U154" s="12" t="str">
        <f t="shared" si="3"/>
        <v/>
      </c>
      <c r="V154" s="12" t="str">
        <f t="shared" si="4"/>
        <v/>
      </c>
      <c r="W154" s="12" t="str">
        <f t="shared" si="5"/>
        <v/>
      </c>
    </row>
    <row r="155" spans="21:23">
      <c r="U155" s="12" t="str">
        <f t="shared" si="3"/>
        <v/>
      </c>
      <c r="V155" s="12" t="str">
        <f t="shared" si="4"/>
        <v/>
      </c>
      <c r="W155" s="12" t="str">
        <f t="shared" si="5"/>
        <v/>
      </c>
    </row>
    <row r="156" spans="21:23">
      <c r="U156" s="12" t="str">
        <f t="shared" si="3"/>
        <v/>
      </c>
      <c r="V156" s="12" t="str">
        <f t="shared" si="4"/>
        <v/>
      </c>
      <c r="W156" s="12" t="str">
        <f t="shared" si="5"/>
        <v/>
      </c>
    </row>
    <row r="157" spans="21:23">
      <c r="U157" s="12" t="str">
        <f t="shared" si="3"/>
        <v/>
      </c>
      <c r="V157" s="12" t="str">
        <f t="shared" si="4"/>
        <v/>
      </c>
      <c r="W157" s="12" t="str">
        <f t="shared" si="5"/>
        <v/>
      </c>
    </row>
    <row r="158" spans="21:23">
      <c r="U158" s="12" t="str">
        <f t="shared" si="3"/>
        <v/>
      </c>
      <c r="V158" s="12" t="str">
        <f t="shared" si="4"/>
        <v/>
      </c>
      <c r="W158" s="12" t="str">
        <f t="shared" si="5"/>
        <v/>
      </c>
    </row>
    <row r="159" spans="21:23">
      <c r="U159" s="12" t="str">
        <f t="shared" si="3"/>
        <v/>
      </c>
      <c r="V159" s="12" t="str">
        <f t="shared" si="4"/>
        <v/>
      </c>
      <c r="W159" s="12" t="str">
        <f t="shared" si="5"/>
        <v/>
      </c>
    </row>
    <row r="160" spans="21:23">
      <c r="U160" s="12" t="str">
        <f t="shared" si="3"/>
        <v/>
      </c>
      <c r="V160" s="12" t="str">
        <f t="shared" si="4"/>
        <v/>
      </c>
      <c r="W160" s="12" t="str">
        <f t="shared" si="5"/>
        <v/>
      </c>
    </row>
    <row r="161" spans="21:23">
      <c r="U161" s="12" t="str">
        <f t="shared" si="3"/>
        <v/>
      </c>
      <c r="V161" s="12" t="str">
        <f t="shared" si="4"/>
        <v/>
      </c>
      <c r="W161" s="12" t="str">
        <f t="shared" si="5"/>
        <v/>
      </c>
    </row>
    <row r="162" spans="21:23">
      <c r="U162" s="12" t="str">
        <f t="shared" si="3"/>
        <v/>
      </c>
      <c r="V162" s="12" t="str">
        <f t="shared" si="4"/>
        <v/>
      </c>
      <c r="W162" s="12" t="str">
        <f t="shared" si="5"/>
        <v/>
      </c>
    </row>
    <row r="163" spans="21:23">
      <c r="U163" s="12" t="str">
        <f t="shared" si="3"/>
        <v/>
      </c>
      <c r="V163" s="12" t="str">
        <f t="shared" si="4"/>
        <v/>
      </c>
      <c r="W163" s="12" t="str">
        <f t="shared" si="5"/>
        <v/>
      </c>
    </row>
    <row r="164" spans="21:23">
      <c r="U164" s="12" t="str">
        <f t="shared" si="3"/>
        <v/>
      </c>
      <c r="V164" s="12" t="str">
        <f t="shared" si="4"/>
        <v/>
      </c>
      <c r="W164" s="12" t="str">
        <f t="shared" si="5"/>
        <v/>
      </c>
    </row>
    <row r="165" spans="21:23">
      <c r="U165" s="12" t="str">
        <f t="shared" si="3"/>
        <v/>
      </c>
      <c r="V165" s="12" t="str">
        <f t="shared" si="4"/>
        <v/>
      </c>
      <c r="W165" s="12" t="str">
        <f t="shared" si="5"/>
        <v/>
      </c>
    </row>
    <row r="166" spans="21:23">
      <c r="U166" s="12" t="str">
        <f t="shared" si="3"/>
        <v/>
      </c>
      <c r="V166" s="12" t="str">
        <f t="shared" si="4"/>
        <v/>
      </c>
      <c r="W166" s="12" t="str">
        <f t="shared" si="5"/>
        <v/>
      </c>
    </row>
    <row r="167" spans="21:23">
      <c r="U167" s="12" t="str">
        <f t="shared" si="3"/>
        <v/>
      </c>
      <c r="V167" s="12" t="str">
        <f t="shared" si="4"/>
        <v/>
      </c>
      <c r="W167" s="12" t="str">
        <f t="shared" si="5"/>
        <v/>
      </c>
    </row>
    <row r="168" spans="21:23">
      <c r="U168" s="12" t="str">
        <f t="shared" si="3"/>
        <v/>
      </c>
      <c r="V168" s="12" t="str">
        <f t="shared" si="4"/>
        <v/>
      </c>
      <c r="W168" s="12" t="str">
        <f t="shared" si="5"/>
        <v/>
      </c>
    </row>
    <row r="169" spans="21:23">
      <c r="U169" s="12" t="str">
        <f t="shared" si="3"/>
        <v/>
      </c>
      <c r="V169" s="12" t="str">
        <f t="shared" si="4"/>
        <v/>
      </c>
      <c r="W169" s="12" t="str">
        <f t="shared" si="5"/>
        <v/>
      </c>
    </row>
    <row r="170" spans="21:23">
      <c r="U170" s="12" t="str">
        <f t="shared" si="3"/>
        <v/>
      </c>
      <c r="V170" s="12" t="str">
        <f t="shared" si="4"/>
        <v/>
      </c>
      <c r="W170" s="12" t="str">
        <f t="shared" si="5"/>
        <v/>
      </c>
    </row>
    <row r="171" spans="21:23">
      <c r="U171" s="12" t="str">
        <f t="shared" si="3"/>
        <v/>
      </c>
      <c r="V171" s="12" t="str">
        <f t="shared" si="4"/>
        <v/>
      </c>
      <c r="W171" s="12" t="str">
        <f t="shared" si="5"/>
        <v/>
      </c>
    </row>
    <row r="172" spans="21:23">
      <c r="U172" s="12" t="str">
        <f t="shared" si="3"/>
        <v/>
      </c>
      <c r="V172" s="12" t="str">
        <f t="shared" si="4"/>
        <v/>
      </c>
      <c r="W172" s="12" t="str">
        <f t="shared" si="5"/>
        <v/>
      </c>
    </row>
    <row r="173" spans="21:23">
      <c r="U173" s="12" t="str">
        <f t="shared" si="3"/>
        <v/>
      </c>
      <c r="V173" s="12" t="str">
        <f t="shared" si="4"/>
        <v/>
      </c>
      <c r="W173" s="12" t="str">
        <f t="shared" si="5"/>
        <v/>
      </c>
    </row>
    <row r="174" spans="21:23">
      <c r="U174" s="12" t="str">
        <f t="shared" si="3"/>
        <v/>
      </c>
      <c r="V174" s="12" t="str">
        <f t="shared" si="4"/>
        <v/>
      </c>
      <c r="W174" s="12" t="str">
        <f t="shared" si="5"/>
        <v/>
      </c>
    </row>
    <row r="175" spans="21:23">
      <c r="U175" s="12" t="str">
        <f t="shared" si="3"/>
        <v/>
      </c>
      <c r="V175" s="12" t="str">
        <f t="shared" si="4"/>
        <v/>
      </c>
      <c r="W175" s="12" t="str">
        <f t="shared" si="5"/>
        <v/>
      </c>
    </row>
    <row r="176" spans="21:23">
      <c r="U176" s="12" t="str">
        <f t="shared" si="3"/>
        <v/>
      </c>
      <c r="V176" s="12" t="str">
        <f t="shared" si="4"/>
        <v/>
      </c>
      <c r="W176" s="12" t="str">
        <f t="shared" si="5"/>
        <v/>
      </c>
    </row>
    <row r="177" spans="21:23">
      <c r="U177" s="12" t="str">
        <f t="shared" si="3"/>
        <v/>
      </c>
      <c r="V177" s="12" t="str">
        <f t="shared" si="4"/>
        <v/>
      </c>
      <c r="W177" s="12" t="str">
        <f t="shared" si="5"/>
        <v/>
      </c>
    </row>
    <row r="178" spans="21:23">
      <c r="U178" s="12" t="str">
        <f t="shared" si="3"/>
        <v/>
      </c>
      <c r="V178" s="12" t="str">
        <f t="shared" si="4"/>
        <v/>
      </c>
      <c r="W178" s="12" t="str">
        <f t="shared" si="5"/>
        <v/>
      </c>
    </row>
    <row r="179" spans="21:23">
      <c r="U179" s="12" t="str">
        <f t="shared" si="3"/>
        <v/>
      </c>
      <c r="V179" s="12" t="str">
        <f t="shared" si="4"/>
        <v/>
      </c>
      <c r="W179" s="12" t="str">
        <f t="shared" si="5"/>
        <v/>
      </c>
    </row>
    <row r="180" spans="21:23">
      <c r="U180" s="12" t="str">
        <f t="shared" si="3"/>
        <v/>
      </c>
      <c r="V180" s="12" t="str">
        <f t="shared" si="4"/>
        <v/>
      </c>
      <c r="W180" s="12" t="str">
        <f t="shared" si="5"/>
        <v/>
      </c>
    </row>
    <row r="181" spans="21:23">
      <c r="U181" s="12" t="str">
        <f t="shared" si="3"/>
        <v/>
      </c>
      <c r="V181" s="12" t="str">
        <f t="shared" si="4"/>
        <v/>
      </c>
      <c r="W181" s="12" t="str">
        <f t="shared" si="5"/>
        <v/>
      </c>
    </row>
    <row r="182" spans="21:23">
      <c r="U182" s="12" t="str">
        <f t="shared" si="3"/>
        <v/>
      </c>
      <c r="V182" s="12" t="str">
        <f t="shared" si="4"/>
        <v/>
      </c>
      <c r="W182" s="12" t="str">
        <f t="shared" si="5"/>
        <v/>
      </c>
    </row>
    <row r="183" spans="21:23">
      <c r="U183" s="12" t="str">
        <f t="shared" si="3"/>
        <v/>
      </c>
      <c r="V183" s="12" t="str">
        <f t="shared" si="4"/>
        <v/>
      </c>
      <c r="W183" s="12" t="str">
        <f t="shared" si="5"/>
        <v/>
      </c>
    </row>
    <row r="184" spans="21:23">
      <c r="U184" s="12" t="str">
        <f t="shared" si="3"/>
        <v/>
      </c>
      <c r="V184" s="12" t="str">
        <f t="shared" si="4"/>
        <v/>
      </c>
      <c r="W184" s="12" t="str">
        <f t="shared" si="5"/>
        <v/>
      </c>
    </row>
    <row r="185" spans="21:23">
      <c r="U185" s="12" t="str">
        <f t="shared" si="3"/>
        <v/>
      </c>
      <c r="V185" s="12" t="str">
        <f t="shared" si="4"/>
        <v/>
      </c>
      <c r="W185" s="12" t="str">
        <f t="shared" si="5"/>
        <v/>
      </c>
    </row>
    <row r="186" spans="21:23">
      <c r="U186" s="12" t="str">
        <f t="shared" si="3"/>
        <v/>
      </c>
      <c r="V186" s="12" t="str">
        <f t="shared" si="4"/>
        <v/>
      </c>
      <c r="W186" s="12" t="str">
        <f t="shared" si="5"/>
        <v/>
      </c>
    </row>
    <row r="187" spans="21:23">
      <c r="U187" s="12" t="str">
        <f t="shared" si="3"/>
        <v/>
      </c>
      <c r="V187" s="12" t="str">
        <f t="shared" si="4"/>
        <v/>
      </c>
      <c r="W187" s="12" t="str">
        <f t="shared" si="5"/>
        <v/>
      </c>
    </row>
    <row r="188" spans="21:23">
      <c r="U188" s="12" t="str">
        <f t="shared" si="3"/>
        <v/>
      </c>
      <c r="V188" s="12" t="str">
        <f t="shared" si="4"/>
        <v/>
      </c>
      <c r="W188" s="12" t="str">
        <f t="shared" si="5"/>
        <v/>
      </c>
    </row>
    <row r="189" spans="21:23">
      <c r="U189" s="12" t="str">
        <f t="shared" si="3"/>
        <v/>
      </c>
      <c r="V189" s="12" t="str">
        <f t="shared" si="4"/>
        <v/>
      </c>
      <c r="W189" s="12" t="str">
        <f t="shared" si="5"/>
        <v/>
      </c>
    </row>
    <row r="190" spans="21:23">
      <c r="U190" s="12" t="str">
        <f t="shared" si="3"/>
        <v/>
      </c>
      <c r="V190" s="12" t="str">
        <f t="shared" si="4"/>
        <v/>
      </c>
      <c r="W190" s="12" t="str">
        <f t="shared" si="5"/>
        <v/>
      </c>
    </row>
    <row r="191" spans="21:23">
      <c r="U191" s="12" t="str">
        <f t="shared" si="3"/>
        <v/>
      </c>
      <c r="V191" s="12" t="str">
        <f t="shared" si="4"/>
        <v/>
      </c>
      <c r="W191" s="12" t="str">
        <f t="shared" si="5"/>
        <v/>
      </c>
    </row>
    <row r="192" spans="21:23">
      <c r="U192" s="12" t="str">
        <f t="shared" si="3"/>
        <v/>
      </c>
      <c r="V192" s="12" t="str">
        <f t="shared" si="4"/>
        <v/>
      </c>
      <c r="W192" s="12" t="str">
        <f t="shared" si="5"/>
        <v/>
      </c>
    </row>
    <row r="193" spans="21:23">
      <c r="U193" s="12" t="str">
        <f t="shared" si="3"/>
        <v/>
      </c>
      <c r="V193" s="12" t="str">
        <f t="shared" si="4"/>
        <v/>
      </c>
      <c r="W193" s="12" t="str">
        <f t="shared" si="5"/>
        <v/>
      </c>
    </row>
    <row r="194" spans="21:23">
      <c r="U194" s="12" t="str">
        <f t="shared" si="3"/>
        <v/>
      </c>
      <c r="V194" s="12" t="str">
        <f t="shared" si="4"/>
        <v/>
      </c>
      <c r="W194" s="12" t="str">
        <f t="shared" si="5"/>
        <v/>
      </c>
    </row>
    <row r="195" spans="21:23">
      <c r="U195" s="12" t="str">
        <f t="shared" si="3"/>
        <v/>
      </c>
      <c r="V195" s="12" t="str">
        <f t="shared" si="4"/>
        <v/>
      </c>
      <c r="W195" s="12" t="str">
        <f t="shared" si="5"/>
        <v/>
      </c>
    </row>
    <row r="196" spans="21:23">
      <c r="U196" s="12" t="str">
        <f t="shared" si="3"/>
        <v/>
      </c>
      <c r="V196" s="12" t="str">
        <f t="shared" si="4"/>
        <v/>
      </c>
      <c r="W196" s="12" t="str">
        <f t="shared" si="5"/>
        <v/>
      </c>
    </row>
    <row r="197" spans="21:23">
      <c r="U197" s="12" t="str">
        <f t="shared" si="3"/>
        <v/>
      </c>
      <c r="V197" s="12" t="str">
        <f t="shared" si="4"/>
        <v/>
      </c>
      <c r="W197" s="12" t="str">
        <f t="shared" si="5"/>
        <v/>
      </c>
    </row>
    <row r="198" spans="21:23">
      <c r="U198" s="12" t="str">
        <f t="shared" ref="U198:U261" si="6">IF(ROW()-1&lt;=COUNTA($A$5:$A$300)+4,INDEX($A:$A,ROW()-1),"")</f>
        <v/>
      </c>
      <c r="V198" s="12" t="str">
        <f t="shared" ref="V198:V261" si="7">IF(ROW()-1&lt;=COUNTA($F$5:$F$300)+4,INDEX($F:$F,ROW()-1),"")</f>
        <v/>
      </c>
      <c r="W198" s="12" t="str">
        <f t="shared" ref="W198:W261" si="8">IF(ROW()-1&lt;=COUNTA($K$5:$K$300)+4,INDEX($K:$K,ROW()-1),"")</f>
        <v/>
      </c>
    </row>
    <row r="199" spans="21:23">
      <c r="U199" s="12" t="str">
        <f t="shared" si="6"/>
        <v/>
      </c>
      <c r="V199" s="12" t="str">
        <f t="shared" si="7"/>
        <v/>
      </c>
      <c r="W199" s="12" t="str">
        <f t="shared" si="8"/>
        <v/>
      </c>
    </row>
    <row r="200" spans="21:23">
      <c r="U200" s="12" t="str">
        <f t="shared" si="6"/>
        <v/>
      </c>
      <c r="V200" s="12" t="str">
        <f t="shared" si="7"/>
        <v/>
      </c>
      <c r="W200" s="12" t="str">
        <f t="shared" si="8"/>
        <v/>
      </c>
    </row>
    <row r="201" spans="21:23">
      <c r="U201" s="12" t="str">
        <f t="shared" si="6"/>
        <v/>
      </c>
      <c r="V201" s="12" t="str">
        <f t="shared" si="7"/>
        <v/>
      </c>
      <c r="W201" s="12" t="str">
        <f t="shared" si="8"/>
        <v/>
      </c>
    </row>
    <row r="202" spans="21:23">
      <c r="U202" s="12" t="str">
        <f t="shared" si="6"/>
        <v/>
      </c>
      <c r="V202" s="12" t="str">
        <f t="shared" si="7"/>
        <v/>
      </c>
      <c r="W202" s="12" t="str">
        <f t="shared" si="8"/>
        <v/>
      </c>
    </row>
    <row r="203" spans="21:23">
      <c r="U203" s="12" t="str">
        <f t="shared" si="6"/>
        <v/>
      </c>
      <c r="V203" s="12" t="str">
        <f t="shared" si="7"/>
        <v/>
      </c>
      <c r="W203" s="12" t="str">
        <f t="shared" si="8"/>
        <v/>
      </c>
    </row>
    <row r="204" spans="21:23">
      <c r="U204" s="12" t="str">
        <f t="shared" si="6"/>
        <v/>
      </c>
      <c r="V204" s="12" t="str">
        <f t="shared" si="7"/>
        <v/>
      </c>
      <c r="W204" s="12" t="str">
        <f t="shared" si="8"/>
        <v/>
      </c>
    </row>
    <row r="205" spans="21:23">
      <c r="U205" s="12" t="str">
        <f t="shared" si="6"/>
        <v/>
      </c>
      <c r="V205" s="12" t="str">
        <f t="shared" si="7"/>
        <v/>
      </c>
      <c r="W205" s="12" t="str">
        <f t="shared" si="8"/>
        <v/>
      </c>
    </row>
    <row r="206" spans="21:23">
      <c r="U206" s="12" t="str">
        <f t="shared" si="6"/>
        <v/>
      </c>
      <c r="V206" s="12" t="str">
        <f t="shared" si="7"/>
        <v/>
      </c>
      <c r="W206" s="12" t="str">
        <f t="shared" si="8"/>
        <v/>
      </c>
    </row>
    <row r="207" spans="21:23">
      <c r="U207" s="12" t="str">
        <f t="shared" si="6"/>
        <v/>
      </c>
      <c r="V207" s="12" t="str">
        <f t="shared" si="7"/>
        <v/>
      </c>
      <c r="W207" s="12" t="str">
        <f t="shared" si="8"/>
        <v/>
      </c>
    </row>
    <row r="208" spans="21:23">
      <c r="U208" s="12" t="str">
        <f t="shared" si="6"/>
        <v/>
      </c>
      <c r="V208" s="12" t="str">
        <f t="shared" si="7"/>
        <v/>
      </c>
      <c r="W208" s="12" t="str">
        <f t="shared" si="8"/>
        <v/>
      </c>
    </row>
    <row r="209" spans="21:23">
      <c r="U209" s="12" t="str">
        <f t="shared" si="6"/>
        <v/>
      </c>
      <c r="V209" s="12" t="str">
        <f t="shared" si="7"/>
        <v/>
      </c>
      <c r="W209" s="12" t="str">
        <f t="shared" si="8"/>
        <v/>
      </c>
    </row>
    <row r="210" spans="21:23">
      <c r="U210" s="12" t="str">
        <f t="shared" si="6"/>
        <v/>
      </c>
      <c r="V210" s="12" t="str">
        <f t="shared" si="7"/>
        <v/>
      </c>
      <c r="W210" s="12" t="str">
        <f t="shared" si="8"/>
        <v/>
      </c>
    </row>
    <row r="211" spans="21:23">
      <c r="U211" s="12" t="str">
        <f t="shared" si="6"/>
        <v/>
      </c>
      <c r="V211" s="12" t="str">
        <f t="shared" si="7"/>
        <v/>
      </c>
      <c r="W211" s="12" t="str">
        <f t="shared" si="8"/>
        <v/>
      </c>
    </row>
    <row r="212" spans="21:23">
      <c r="U212" s="12" t="str">
        <f t="shared" si="6"/>
        <v/>
      </c>
      <c r="V212" s="12" t="str">
        <f t="shared" si="7"/>
        <v/>
      </c>
      <c r="W212" s="12" t="str">
        <f t="shared" si="8"/>
        <v/>
      </c>
    </row>
    <row r="213" spans="21:23">
      <c r="U213" s="12" t="str">
        <f t="shared" si="6"/>
        <v/>
      </c>
      <c r="V213" s="12" t="str">
        <f t="shared" si="7"/>
        <v/>
      </c>
      <c r="W213" s="12" t="str">
        <f t="shared" si="8"/>
        <v/>
      </c>
    </row>
    <row r="214" spans="21:23">
      <c r="U214" s="12" t="str">
        <f t="shared" si="6"/>
        <v/>
      </c>
      <c r="V214" s="12" t="str">
        <f t="shared" si="7"/>
        <v/>
      </c>
      <c r="W214" s="12" t="str">
        <f t="shared" si="8"/>
        <v/>
      </c>
    </row>
    <row r="215" spans="21:23">
      <c r="U215" s="12" t="str">
        <f t="shared" si="6"/>
        <v/>
      </c>
      <c r="V215" s="12" t="str">
        <f t="shared" si="7"/>
        <v/>
      </c>
      <c r="W215" s="12" t="str">
        <f t="shared" si="8"/>
        <v/>
      </c>
    </row>
    <row r="216" spans="21:23">
      <c r="U216" s="12" t="str">
        <f t="shared" si="6"/>
        <v/>
      </c>
      <c r="V216" s="12" t="str">
        <f t="shared" si="7"/>
        <v/>
      </c>
      <c r="W216" s="12" t="str">
        <f t="shared" si="8"/>
        <v/>
      </c>
    </row>
    <row r="217" spans="21:23">
      <c r="U217" s="12" t="str">
        <f t="shared" si="6"/>
        <v/>
      </c>
      <c r="V217" s="12" t="str">
        <f t="shared" si="7"/>
        <v/>
      </c>
      <c r="W217" s="12" t="str">
        <f t="shared" si="8"/>
        <v/>
      </c>
    </row>
    <row r="218" spans="21:23">
      <c r="U218" s="12" t="str">
        <f t="shared" si="6"/>
        <v/>
      </c>
      <c r="V218" s="12" t="str">
        <f t="shared" si="7"/>
        <v/>
      </c>
      <c r="W218" s="12" t="str">
        <f t="shared" si="8"/>
        <v/>
      </c>
    </row>
    <row r="219" spans="21:23">
      <c r="U219" s="12" t="str">
        <f t="shared" si="6"/>
        <v/>
      </c>
      <c r="V219" s="12" t="str">
        <f t="shared" si="7"/>
        <v/>
      </c>
      <c r="W219" s="12" t="str">
        <f t="shared" si="8"/>
        <v/>
      </c>
    </row>
    <row r="220" spans="21:23">
      <c r="U220" s="12" t="str">
        <f t="shared" si="6"/>
        <v/>
      </c>
      <c r="V220" s="12" t="str">
        <f t="shared" si="7"/>
        <v/>
      </c>
      <c r="W220" s="12" t="str">
        <f t="shared" si="8"/>
        <v/>
      </c>
    </row>
    <row r="221" spans="21:23">
      <c r="U221" s="12" t="str">
        <f t="shared" si="6"/>
        <v/>
      </c>
      <c r="V221" s="12" t="str">
        <f t="shared" si="7"/>
        <v/>
      </c>
      <c r="W221" s="12" t="str">
        <f t="shared" si="8"/>
        <v/>
      </c>
    </row>
    <row r="222" spans="21:23">
      <c r="U222" s="12" t="str">
        <f t="shared" si="6"/>
        <v/>
      </c>
      <c r="V222" s="12" t="str">
        <f t="shared" si="7"/>
        <v/>
      </c>
      <c r="W222" s="12" t="str">
        <f t="shared" si="8"/>
        <v/>
      </c>
    </row>
    <row r="223" spans="21:23">
      <c r="U223" s="12" t="str">
        <f t="shared" si="6"/>
        <v/>
      </c>
      <c r="V223" s="12" t="str">
        <f t="shared" si="7"/>
        <v/>
      </c>
      <c r="W223" s="12" t="str">
        <f t="shared" si="8"/>
        <v/>
      </c>
    </row>
    <row r="224" spans="21:23">
      <c r="U224" s="12" t="str">
        <f t="shared" si="6"/>
        <v/>
      </c>
      <c r="V224" s="12" t="str">
        <f t="shared" si="7"/>
        <v/>
      </c>
      <c r="W224" s="12" t="str">
        <f t="shared" si="8"/>
        <v/>
      </c>
    </row>
    <row r="225" spans="21:23">
      <c r="U225" s="12" t="str">
        <f t="shared" si="6"/>
        <v/>
      </c>
      <c r="V225" s="12" t="str">
        <f t="shared" si="7"/>
        <v/>
      </c>
      <c r="W225" s="12" t="str">
        <f t="shared" si="8"/>
        <v/>
      </c>
    </row>
    <row r="226" spans="21:23">
      <c r="U226" s="12" t="str">
        <f t="shared" si="6"/>
        <v/>
      </c>
      <c r="V226" s="12" t="str">
        <f t="shared" si="7"/>
        <v/>
      </c>
      <c r="W226" s="12" t="str">
        <f t="shared" si="8"/>
        <v/>
      </c>
    </row>
    <row r="227" spans="21:23">
      <c r="U227" s="12" t="str">
        <f t="shared" si="6"/>
        <v/>
      </c>
      <c r="V227" s="12" t="str">
        <f t="shared" si="7"/>
        <v/>
      </c>
      <c r="W227" s="12" t="str">
        <f t="shared" si="8"/>
        <v/>
      </c>
    </row>
    <row r="228" spans="21:23">
      <c r="U228" s="12" t="str">
        <f t="shared" si="6"/>
        <v/>
      </c>
      <c r="V228" s="12" t="str">
        <f t="shared" si="7"/>
        <v/>
      </c>
      <c r="W228" s="12" t="str">
        <f t="shared" si="8"/>
        <v/>
      </c>
    </row>
    <row r="229" spans="21:23">
      <c r="U229" s="12" t="str">
        <f t="shared" si="6"/>
        <v/>
      </c>
      <c r="V229" s="12" t="str">
        <f t="shared" si="7"/>
        <v/>
      </c>
      <c r="W229" s="12" t="str">
        <f t="shared" si="8"/>
        <v/>
      </c>
    </row>
    <row r="230" spans="21:23">
      <c r="U230" s="12" t="str">
        <f t="shared" si="6"/>
        <v/>
      </c>
      <c r="V230" s="12" t="str">
        <f t="shared" si="7"/>
        <v/>
      </c>
      <c r="W230" s="12" t="str">
        <f t="shared" si="8"/>
        <v/>
      </c>
    </row>
    <row r="231" spans="21:23">
      <c r="U231" s="12" t="str">
        <f t="shared" si="6"/>
        <v/>
      </c>
      <c r="V231" s="12" t="str">
        <f t="shared" si="7"/>
        <v/>
      </c>
      <c r="W231" s="12" t="str">
        <f t="shared" si="8"/>
        <v/>
      </c>
    </row>
    <row r="232" spans="21:23">
      <c r="U232" s="12" t="str">
        <f t="shared" si="6"/>
        <v/>
      </c>
      <c r="V232" s="12" t="str">
        <f t="shared" si="7"/>
        <v/>
      </c>
      <c r="W232" s="12" t="str">
        <f t="shared" si="8"/>
        <v/>
      </c>
    </row>
    <row r="233" spans="21:23">
      <c r="U233" s="12" t="str">
        <f t="shared" si="6"/>
        <v/>
      </c>
      <c r="V233" s="12" t="str">
        <f t="shared" si="7"/>
        <v/>
      </c>
      <c r="W233" s="12" t="str">
        <f t="shared" si="8"/>
        <v/>
      </c>
    </row>
    <row r="234" spans="21:23">
      <c r="U234" s="12" t="str">
        <f t="shared" si="6"/>
        <v/>
      </c>
      <c r="V234" s="12" t="str">
        <f t="shared" si="7"/>
        <v/>
      </c>
      <c r="W234" s="12" t="str">
        <f t="shared" si="8"/>
        <v/>
      </c>
    </row>
    <row r="235" spans="21:23">
      <c r="U235" s="12" t="str">
        <f t="shared" si="6"/>
        <v/>
      </c>
      <c r="V235" s="12" t="str">
        <f t="shared" si="7"/>
        <v/>
      </c>
      <c r="W235" s="12" t="str">
        <f t="shared" si="8"/>
        <v/>
      </c>
    </row>
    <row r="236" spans="21:23">
      <c r="U236" s="12" t="str">
        <f t="shared" si="6"/>
        <v/>
      </c>
      <c r="V236" s="12" t="str">
        <f t="shared" si="7"/>
        <v/>
      </c>
      <c r="W236" s="12" t="str">
        <f t="shared" si="8"/>
        <v/>
      </c>
    </row>
    <row r="237" spans="21:23">
      <c r="U237" s="12" t="str">
        <f t="shared" si="6"/>
        <v/>
      </c>
      <c r="V237" s="12" t="str">
        <f t="shared" si="7"/>
        <v/>
      </c>
      <c r="W237" s="12" t="str">
        <f t="shared" si="8"/>
        <v/>
      </c>
    </row>
    <row r="238" spans="21:23">
      <c r="U238" s="12" t="str">
        <f t="shared" si="6"/>
        <v/>
      </c>
      <c r="V238" s="12" t="str">
        <f t="shared" si="7"/>
        <v/>
      </c>
      <c r="W238" s="12" t="str">
        <f t="shared" si="8"/>
        <v/>
      </c>
    </row>
    <row r="239" spans="21:23">
      <c r="U239" s="12" t="str">
        <f t="shared" si="6"/>
        <v/>
      </c>
      <c r="V239" s="12" t="str">
        <f t="shared" si="7"/>
        <v/>
      </c>
      <c r="W239" s="12" t="str">
        <f t="shared" si="8"/>
        <v/>
      </c>
    </row>
    <row r="240" spans="21:23">
      <c r="U240" s="12" t="str">
        <f t="shared" si="6"/>
        <v/>
      </c>
      <c r="V240" s="12" t="str">
        <f t="shared" si="7"/>
        <v/>
      </c>
      <c r="W240" s="12" t="str">
        <f t="shared" si="8"/>
        <v/>
      </c>
    </row>
    <row r="241" spans="21:23">
      <c r="U241" s="12" t="str">
        <f t="shared" si="6"/>
        <v/>
      </c>
      <c r="V241" s="12" t="str">
        <f t="shared" si="7"/>
        <v/>
      </c>
      <c r="W241" s="12" t="str">
        <f t="shared" si="8"/>
        <v/>
      </c>
    </row>
    <row r="242" spans="21:23">
      <c r="U242" s="12" t="str">
        <f t="shared" si="6"/>
        <v/>
      </c>
      <c r="V242" s="12" t="str">
        <f t="shared" si="7"/>
        <v/>
      </c>
      <c r="W242" s="12" t="str">
        <f t="shared" si="8"/>
        <v/>
      </c>
    </row>
    <row r="243" spans="21:23">
      <c r="U243" s="12" t="str">
        <f t="shared" si="6"/>
        <v/>
      </c>
      <c r="V243" s="12" t="str">
        <f t="shared" si="7"/>
        <v/>
      </c>
      <c r="W243" s="12" t="str">
        <f t="shared" si="8"/>
        <v/>
      </c>
    </row>
    <row r="244" spans="21:23">
      <c r="U244" s="12" t="str">
        <f t="shared" si="6"/>
        <v/>
      </c>
      <c r="V244" s="12" t="str">
        <f t="shared" si="7"/>
        <v/>
      </c>
      <c r="W244" s="12" t="str">
        <f t="shared" si="8"/>
        <v/>
      </c>
    </row>
    <row r="245" spans="21:23">
      <c r="U245" s="12" t="str">
        <f t="shared" si="6"/>
        <v/>
      </c>
      <c r="V245" s="12" t="str">
        <f t="shared" si="7"/>
        <v/>
      </c>
      <c r="W245" s="12" t="str">
        <f t="shared" si="8"/>
        <v/>
      </c>
    </row>
    <row r="246" spans="21:23">
      <c r="U246" s="12" t="str">
        <f t="shared" si="6"/>
        <v/>
      </c>
      <c r="V246" s="12" t="str">
        <f t="shared" si="7"/>
        <v/>
      </c>
      <c r="W246" s="12" t="str">
        <f t="shared" si="8"/>
        <v/>
      </c>
    </row>
    <row r="247" spans="21:23">
      <c r="U247" s="12" t="str">
        <f t="shared" si="6"/>
        <v/>
      </c>
      <c r="V247" s="12" t="str">
        <f t="shared" si="7"/>
        <v/>
      </c>
      <c r="W247" s="12" t="str">
        <f t="shared" si="8"/>
        <v/>
      </c>
    </row>
    <row r="248" spans="21:23">
      <c r="U248" s="12" t="str">
        <f t="shared" si="6"/>
        <v/>
      </c>
      <c r="V248" s="12" t="str">
        <f t="shared" si="7"/>
        <v/>
      </c>
      <c r="W248" s="12" t="str">
        <f t="shared" si="8"/>
        <v/>
      </c>
    </row>
    <row r="249" spans="21:23">
      <c r="U249" s="12" t="str">
        <f t="shared" si="6"/>
        <v/>
      </c>
      <c r="V249" s="12" t="str">
        <f t="shared" si="7"/>
        <v/>
      </c>
      <c r="W249" s="12" t="str">
        <f t="shared" si="8"/>
        <v/>
      </c>
    </row>
    <row r="250" spans="21:23">
      <c r="U250" s="12" t="str">
        <f t="shared" si="6"/>
        <v/>
      </c>
      <c r="V250" s="12" t="str">
        <f t="shared" si="7"/>
        <v/>
      </c>
      <c r="W250" s="12" t="str">
        <f t="shared" si="8"/>
        <v/>
      </c>
    </row>
    <row r="251" spans="21:23">
      <c r="U251" s="12" t="str">
        <f t="shared" si="6"/>
        <v/>
      </c>
      <c r="V251" s="12" t="str">
        <f t="shared" si="7"/>
        <v/>
      </c>
      <c r="W251" s="12" t="str">
        <f t="shared" si="8"/>
        <v/>
      </c>
    </row>
    <row r="252" spans="21:23">
      <c r="U252" s="12" t="str">
        <f t="shared" si="6"/>
        <v/>
      </c>
      <c r="V252" s="12" t="str">
        <f t="shared" si="7"/>
        <v/>
      </c>
      <c r="W252" s="12" t="str">
        <f t="shared" si="8"/>
        <v/>
      </c>
    </row>
    <row r="253" spans="21:23">
      <c r="U253" s="12" t="str">
        <f t="shared" si="6"/>
        <v/>
      </c>
      <c r="V253" s="12" t="str">
        <f t="shared" si="7"/>
        <v/>
      </c>
      <c r="W253" s="12" t="str">
        <f t="shared" si="8"/>
        <v/>
      </c>
    </row>
    <row r="254" spans="21:23">
      <c r="U254" s="12" t="str">
        <f t="shared" si="6"/>
        <v/>
      </c>
      <c r="V254" s="12" t="str">
        <f t="shared" si="7"/>
        <v/>
      </c>
      <c r="W254" s="12" t="str">
        <f t="shared" si="8"/>
        <v/>
      </c>
    </row>
    <row r="255" spans="21:23">
      <c r="U255" s="12" t="str">
        <f t="shared" si="6"/>
        <v/>
      </c>
      <c r="V255" s="12" t="str">
        <f t="shared" si="7"/>
        <v/>
      </c>
      <c r="W255" s="12" t="str">
        <f t="shared" si="8"/>
        <v/>
      </c>
    </row>
    <row r="256" spans="21:23">
      <c r="U256" s="12" t="str">
        <f t="shared" si="6"/>
        <v/>
      </c>
      <c r="V256" s="12" t="str">
        <f t="shared" si="7"/>
        <v/>
      </c>
      <c r="W256" s="12" t="str">
        <f t="shared" si="8"/>
        <v/>
      </c>
    </row>
    <row r="257" spans="21:23">
      <c r="U257" s="12" t="str">
        <f t="shared" si="6"/>
        <v/>
      </c>
      <c r="V257" s="12" t="str">
        <f t="shared" si="7"/>
        <v/>
      </c>
      <c r="W257" s="12" t="str">
        <f t="shared" si="8"/>
        <v/>
      </c>
    </row>
    <row r="258" spans="21:23">
      <c r="U258" s="12" t="str">
        <f t="shared" si="6"/>
        <v/>
      </c>
      <c r="V258" s="12" t="str">
        <f t="shared" si="7"/>
        <v/>
      </c>
      <c r="W258" s="12" t="str">
        <f t="shared" si="8"/>
        <v/>
      </c>
    </row>
    <row r="259" spans="21:23">
      <c r="U259" s="12" t="str">
        <f t="shared" si="6"/>
        <v/>
      </c>
      <c r="V259" s="12" t="str">
        <f t="shared" si="7"/>
        <v/>
      </c>
      <c r="W259" s="12" t="str">
        <f t="shared" si="8"/>
        <v/>
      </c>
    </row>
    <row r="260" spans="21:23">
      <c r="U260" s="12" t="str">
        <f t="shared" si="6"/>
        <v/>
      </c>
      <c r="V260" s="12" t="str">
        <f t="shared" si="7"/>
        <v/>
      </c>
      <c r="W260" s="12" t="str">
        <f t="shared" si="8"/>
        <v/>
      </c>
    </row>
    <row r="261" spans="21:23">
      <c r="U261" s="12" t="str">
        <f t="shared" si="6"/>
        <v/>
      </c>
      <c r="V261" s="12" t="str">
        <f t="shared" si="7"/>
        <v/>
      </c>
      <c r="W261" s="12" t="str">
        <f t="shared" si="8"/>
        <v/>
      </c>
    </row>
    <row r="262" spans="21:23">
      <c r="U262" s="12" t="str">
        <f t="shared" ref="U262:U300" si="9">IF(ROW()-1&lt;=COUNTA($A$5:$A$300)+4,INDEX($A:$A,ROW()-1),"")</f>
        <v/>
      </c>
      <c r="V262" s="12" t="str">
        <f t="shared" ref="V262:V300" si="10">IF(ROW()-1&lt;=COUNTA($F$5:$F$300)+4,INDEX($F:$F,ROW()-1),"")</f>
        <v/>
      </c>
      <c r="W262" s="12" t="str">
        <f t="shared" ref="W262:W300" si="11">IF(ROW()-1&lt;=COUNTA($K$5:$K$300)+4,INDEX($K:$K,ROW()-1),"")</f>
        <v/>
      </c>
    </row>
    <row r="263" spans="21:23">
      <c r="U263" s="12" t="str">
        <f t="shared" si="9"/>
        <v/>
      </c>
      <c r="V263" s="12" t="str">
        <f t="shared" si="10"/>
        <v/>
      </c>
      <c r="W263" s="12" t="str">
        <f t="shared" si="11"/>
        <v/>
      </c>
    </row>
    <row r="264" spans="21:23">
      <c r="U264" s="12" t="str">
        <f t="shared" si="9"/>
        <v/>
      </c>
      <c r="V264" s="12" t="str">
        <f t="shared" si="10"/>
        <v/>
      </c>
      <c r="W264" s="12" t="str">
        <f t="shared" si="11"/>
        <v/>
      </c>
    </row>
    <row r="265" spans="21:23">
      <c r="U265" s="12" t="str">
        <f t="shared" si="9"/>
        <v/>
      </c>
      <c r="V265" s="12" t="str">
        <f t="shared" si="10"/>
        <v/>
      </c>
      <c r="W265" s="12" t="str">
        <f t="shared" si="11"/>
        <v/>
      </c>
    </row>
    <row r="266" spans="21:23">
      <c r="U266" s="12" t="str">
        <f t="shared" si="9"/>
        <v/>
      </c>
      <c r="V266" s="12" t="str">
        <f t="shared" si="10"/>
        <v/>
      </c>
      <c r="W266" s="12" t="str">
        <f t="shared" si="11"/>
        <v/>
      </c>
    </row>
    <row r="267" spans="21:23">
      <c r="U267" s="12" t="str">
        <f t="shared" si="9"/>
        <v/>
      </c>
      <c r="V267" s="12" t="str">
        <f t="shared" si="10"/>
        <v/>
      </c>
      <c r="W267" s="12" t="str">
        <f t="shared" si="11"/>
        <v/>
      </c>
    </row>
    <row r="268" spans="21:23">
      <c r="U268" s="12" t="str">
        <f t="shared" si="9"/>
        <v/>
      </c>
      <c r="V268" s="12" t="str">
        <f t="shared" si="10"/>
        <v/>
      </c>
      <c r="W268" s="12" t="str">
        <f t="shared" si="11"/>
        <v/>
      </c>
    </row>
    <row r="269" spans="21:23">
      <c r="U269" s="12" t="str">
        <f t="shared" si="9"/>
        <v/>
      </c>
      <c r="V269" s="12" t="str">
        <f t="shared" si="10"/>
        <v/>
      </c>
      <c r="W269" s="12" t="str">
        <f t="shared" si="11"/>
        <v/>
      </c>
    </row>
    <row r="270" spans="21:23">
      <c r="U270" s="12" t="str">
        <f t="shared" si="9"/>
        <v/>
      </c>
      <c r="V270" s="12" t="str">
        <f t="shared" si="10"/>
        <v/>
      </c>
      <c r="W270" s="12" t="str">
        <f t="shared" si="11"/>
        <v/>
      </c>
    </row>
    <row r="271" spans="21:23">
      <c r="U271" s="12" t="str">
        <f t="shared" si="9"/>
        <v/>
      </c>
      <c r="V271" s="12" t="str">
        <f t="shared" si="10"/>
        <v/>
      </c>
      <c r="W271" s="12" t="str">
        <f t="shared" si="11"/>
        <v/>
      </c>
    </row>
    <row r="272" spans="21:23">
      <c r="U272" s="12" t="str">
        <f t="shared" si="9"/>
        <v/>
      </c>
      <c r="V272" s="12" t="str">
        <f t="shared" si="10"/>
        <v/>
      </c>
      <c r="W272" s="12" t="str">
        <f t="shared" si="11"/>
        <v/>
      </c>
    </row>
    <row r="273" spans="21:23">
      <c r="U273" s="12" t="str">
        <f t="shared" si="9"/>
        <v/>
      </c>
      <c r="V273" s="12" t="str">
        <f t="shared" si="10"/>
        <v/>
      </c>
      <c r="W273" s="12" t="str">
        <f t="shared" si="11"/>
        <v/>
      </c>
    </row>
    <row r="274" spans="21:23">
      <c r="U274" s="12" t="str">
        <f t="shared" si="9"/>
        <v/>
      </c>
      <c r="V274" s="12" t="str">
        <f t="shared" si="10"/>
        <v/>
      </c>
      <c r="W274" s="12" t="str">
        <f t="shared" si="11"/>
        <v/>
      </c>
    </row>
    <row r="275" spans="21:23">
      <c r="U275" s="12" t="str">
        <f t="shared" si="9"/>
        <v/>
      </c>
      <c r="V275" s="12" t="str">
        <f t="shared" si="10"/>
        <v/>
      </c>
      <c r="W275" s="12" t="str">
        <f t="shared" si="11"/>
        <v/>
      </c>
    </row>
    <row r="276" spans="21:23">
      <c r="U276" s="12" t="str">
        <f t="shared" si="9"/>
        <v/>
      </c>
      <c r="V276" s="12" t="str">
        <f t="shared" si="10"/>
        <v/>
      </c>
      <c r="W276" s="12" t="str">
        <f t="shared" si="11"/>
        <v/>
      </c>
    </row>
    <row r="277" spans="21:23">
      <c r="U277" s="12" t="str">
        <f t="shared" si="9"/>
        <v/>
      </c>
      <c r="V277" s="12" t="str">
        <f t="shared" si="10"/>
        <v/>
      </c>
      <c r="W277" s="12" t="str">
        <f t="shared" si="11"/>
        <v/>
      </c>
    </row>
    <row r="278" spans="21:23">
      <c r="U278" s="12" t="str">
        <f t="shared" si="9"/>
        <v/>
      </c>
      <c r="V278" s="12" t="str">
        <f t="shared" si="10"/>
        <v/>
      </c>
      <c r="W278" s="12" t="str">
        <f t="shared" si="11"/>
        <v/>
      </c>
    </row>
    <row r="279" spans="21:23">
      <c r="U279" s="12" t="str">
        <f t="shared" si="9"/>
        <v/>
      </c>
      <c r="V279" s="12" t="str">
        <f t="shared" si="10"/>
        <v/>
      </c>
      <c r="W279" s="12" t="str">
        <f t="shared" si="11"/>
        <v/>
      </c>
    </row>
    <row r="280" spans="21:23">
      <c r="U280" s="12" t="str">
        <f t="shared" si="9"/>
        <v/>
      </c>
      <c r="V280" s="12" t="str">
        <f t="shared" si="10"/>
        <v/>
      </c>
      <c r="W280" s="12" t="str">
        <f t="shared" si="11"/>
        <v/>
      </c>
    </row>
    <row r="281" spans="21:23">
      <c r="U281" s="12" t="str">
        <f t="shared" si="9"/>
        <v/>
      </c>
      <c r="V281" s="12" t="str">
        <f t="shared" si="10"/>
        <v/>
      </c>
      <c r="W281" s="12" t="str">
        <f t="shared" si="11"/>
        <v/>
      </c>
    </row>
    <row r="282" spans="21:23">
      <c r="U282" s="12" t="str">
        <f t="shared" si="9"/>
        <v/>
      </c>
      <c r="V282" s="12" t="str">
        <f t="shared" si="10"/>
        <v/>
      </c>
      <c r="W282" s="12" t="str">
        <f t="shared" si="11"/>
        <v/>
      </c>
    </row>
    <row r="283" spans="21:23">
      <c r="U283" s="12" t="str">
        <f t="shared" si="9"/>
        <v/>
      </c>
      <c r="V283" s="12" t="str">
        <f t="shared" si="10"/>
        <v/>
      </c>
      <c r="W283" s="12" t="str">
        <f t="shared" si="11"/>
        <v/>
      </c>
    </row>
    <row r="284" spans="21:23">
      <c r="U284" s="12" t="str">
        <f t="shared" si="9"/>
        <v/>
      </c>
      <c r="V284" s="12" t="str">
        <f t="shared" si="10"/>
        <v/>
      </c>
      <c r="W284" s="12" t="str">
        <f t="shared" si="11"/>
        <v/>
      </c>
    </row>
    <row r="285" spans="21:23">
      <c r="U285" s="12" t="str">
        <f t="shared" si="9"/>
        <v/>
      </c>
      <c r="V285" s="12" t="str">
        <f t="shared" si="10"/>
        <v/>
      </c>
      <c r="W285" s="12" t="str">
        <f t="shared" si="11"/>
        <v/>
      </c>
    </row>
    <row r="286" spans="21:23">
      <c r="U286" s="12" t="str">
        <f t="shared" si="9"/>
        <v/>
      </c>
      <c r="V286" s="12" t="str">
        <f t="shared" si="10"/>
        <v/>
      </c>
      <c r="W286" s="12" t="str">
        <f t="shared" si="11"/>
        <v/>
      </c>
    </row>
    <row r="287" spans="21:23">
      <c r="U287" s="12" t="str">
        <f t="shared" si="9"/>
        <v/>
      </c>
      <c r="V287" s="12" t="str">
        <f t="shared" si="10"/>
        <v/>
      </c>
      <c r="W287" s="12" t="str">
        <f t="shared" si="11"/>
        <v/>
      </c>
    </row>
    <row r="288" spans="21:23">
      <c r="U288" s="12" t="str">
        <f t="shared" si="9"/>
        <v/>
      </c>
      <c r="V288" s="12" t="str">
        <f t="shared" si="10"/>
        <v/>
      </c>
      <c r="W288" s="12" t="str">
        <f t="shared" si="11"/>
        <v/>
      </c>
    </row>
    <row r="289" spans="21:23">
      <c r="U289" s="12" t="str">
        <f t="shared" si="9"/>
        <v/>
      </c>
      <c r="V289" s="12" t="str">
        <f t="shared" si="10"/>
        <v/>
      </c>
      <c r="W289" s="12" t="str">
        <f t="shared" si="11"/>
        <v/>
      </c>
    </row>
    <row r="290" spans="21:23">
      <c r="U290" s="12" t="str">
        <f t="shared" si="9"/>
        <v/>
      </c>
      <c r="V290" s="12" t="str">
        <f t="shared" si="10"/>
        <v/>
      </c>
      <c r="W290" s="12" t="str">
        <f t="shared" si="11"/>
        <v/>
      </c>
    </row>
    <row r="291" spans="21:23">
      <c r="U291" s="12" t="str">
        <f t="shared" si="9"/>
        <v/>
      </c>
      <c r="V291" s="12" t="str">
        <f t="shared" si="10"/>
        <v/>
      </c>
      <c r="W291" s="12" t="str">
        <f t="shared" si="11"/>
        <v/>
      </c>
    </row>
    <row r="292" spans="21:23">
      <c r="U292" s="12" t="str">
        <f t="shared" si="9"/>
        <v/>
      </c>
      <c r="V292" s="12" t="str">
        <f t="shared" si="10"/>
        <v/>
      </c>
      <c r="W292" s="12" t="str">
        <f t="shared" si="11"/>
        <v/>
      </c>
    </row>
    <row r="293" spans="21:23">
      <c r="U293" s="12" t="str">
        <f t="shared" si="9"/>
        <v/>
      </c>
      <c r="V293" s="12" t="str">
        <f t="shared" si="10"/>
        <v/>
      </c>
      <c r="W293" s="12" t="str">
        <f t="shared" si="11"/>
        <v/>
      </c>
    </row>
    <row r="294" spans="21:23">
      <c r="U294" s="12" t="str">
        <f t="shared" si="9"/>
        <v/>
      </c>
      <c r="V294" s="12" t="str">
        <f t="shared" si="10"/>
        <v/>
      </c>
      <c r="W294" s="12" t="str">
        <f t="shared" si="11"/>
        <v/>
      </c>
    </row>
    <row r="295" spans="21:23">
      <c r="U295" s="12" t="str">
        <f t="shared" si="9"/>
        <v/>
      </c>
      <c r="V295" s="12" t="str">
        <f t="shared" si="10"/>
        <v/>
      </c>
      <c r="W295" s="12" t="str">
        <f t="shared" si="11"/>
        <v/>
      </c>
    </row>
    <row r="296" spans="21:23">
      <c r="U296" s="12" t="str">
        <f t="shared" si="9"/>
        <v/>
      </c>
      <c r="V296" s="12" t="str">
        <f t="shared" si="10"/>
        <v/>
      </c>
      <c r="W296" s="12" t="str">
        <f t="shared" si="11"/>
        <v/>
      </c>
    </row>
    <row r="297" spans="21:23">
      <c r="U297" s="12" t="str">
        <f t="shared" si="9"/>
        <v/>
      </c>
      <c r="V297" s="12" t="str">
        <f t="shared" si="10"/>
        <v/>
      </c>
      <c r="W297" s="12" t="str">
        <f t="shared" si="11"/>
        <v/>
      </c>
    </row>
    <row r="298" spans="21:23">
      <c r="U298" s="12" t="str">
        <f t="shared" si="9"/>
        <v/>
      </c>
      <c r="V298" s="12" t="str">
        <f t="shared" si="10"/>
        <v/>
      </c>
      <c r="W298" s="12" t="str">
        <f t="shared" si="11"/>
        <v/>
      </c>
    </row>
    <row r="299" spans="21:23">
      <c r="U299" s="12" t="str">
        <f t="shared" si="9"/>
        <v/>
      </c>
      <c r="V299" s="12" t="str">
        <f t="shared" si="10"/>
        <v/>
      </c>
      <c r="W299" s="12" t="str">
        <f t="shared" si="11"/>
        <v/>
      </c>
    </row>
    <row r="300" spans="21:23">
      <c r="U300" s="12" t="str">
        <f t="shared" si="9"/>
        <v/>
      </c>
      <c r="V300" s="12" t="str">
        <f t="shared" si="10"/>
        <v/>
      </c>
      <c r="W300" s="12" t="str">
        <f t="shared" si="11"/>
        <v/>
      </c>
    </row>
  </sheetData>
  <mergeCells count="12">
    <mergeCell ref="A22:AC22"/>
    <mergeCell ref="A23:AC23"/>
    <mergeCell ref="A24:AC24"/>
    <mergeCell ref="A25:AC25"/>
    <mergeCell ref="A26:AC26"/>
    <mergeCell ref="A1:AC1"/>
    <mergeCell ref="A3:D3"/>
    <mergeCell ref="F3:I3"/>
    <mergeCell ref="K3:N3"/>
    <mergeCell ref="P3:S3"/>
    <mergeCell ref="U3:X3"/>
    <mergeCell ref="Z3:AC3"/>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61" t="s">
        <v>380</v>
      </c>
      <c r="C1" s="61"/>
      <c r="D1" s="61"/>
      <c r="E1" s="61"/>
      <c r="F1" s="61"/>
      <c r="G1" s="61"/>
    </row>
    <row r="2" spans="2:7" ht="24" customHeight="1">
      <c r="B2" s="61"/>
      <c r="C2" s="61"/>
      <c r="D2" s="61"/>
      <c r="E2" s="61"/>
      <c r="F2" s="61"/>
      <c r="G2" s="61"/>
    </row>
    <row r="3" spans="2:7" ht="24" customHeight="1">
      <c r="B3" s="151" t="s">
        <v>381</v>
      </c>
      <c r="C3" s="94">
        <f>个人信息!B2</f>
        <v>0</v>
      </c>
      <c r="D3" s="151" t="s">
        <v>382</v>
      </c>
      <c r="E3" s="94">
        <f>个人信息!G2</f>
        <v>0</v>
      </c>
      <c r="F3" s="151" t="s">
        <v>383</v>
      </c>
      <c r="G3" s="94">
        <f>个人信息!A13</f>
        <v>10</v>
      </c>
    </row>
    <row r="4" spans="2:7" ht="24" customHeight="1">
      <c r="B4" s="151" t="s">
        <v>384</v>
      </c>
      <c r="C4" s="94">
        <f>个人信息!B3</f>
        <v>0</v>
      </c>
      <c r="D4" s="151" t="s">
        <v>385</v>
      </c>
      <c r="E4" s="94">
        <f>个人信息!G4</f>
        <v>0</v>
      </c>
      <c r="F4" s="151" t="s">
        <v>386</v>
      </c>
      <c r="G4" s="94">
        <f>个人信息!C13</f>
        <v>0</v>
      </c>
    </row>
    <row r="5" spans="2:7" ht="24" customHeight="1">
      <c r="B5" s="151" t="s">
        <v>387</v>
      </c>
      <c r="C5" s="94">
        <f>个人信息!B5</f>
        <v>0</v>
      </c>
      <c r="D5" s="151" t="s">
        <v>388</v>
      </c>
      <c r="E5" s="94">
        <f>个人信息!G6</f>
        <v>0</v>
      </c>
      <c r="F5" s="151" t="s">
        <v>389</v>
      </c>
      <c r="G5" s="94">
        <f>个人信息!A15</f>
        <v>0</v>
      </c>
    </row>
    <row r="6" spans="2:7" ht="24" customHeight="1">
      <c r="B6" s="151" t="s">
        <v>390</v>
      </c>
      <c r="C6" s="94">
        <f>个人信息!B9</f>
        <v>0</v>
      </c>
      <c r="D6" s="151" t="s">
        <v>391</v>
      </c>
      <c r="E6" s="94">
        <f>个人信息!G8</f>
        <v>0</v>
      </c>
      <c r="F6" s="151" t="s">
        <v>392</v>
      </c>
      <c r="G6" s="94">
        <f>个人信息!A17</f>
        <v>0</v>
      </c>
    </row>
    <row r="7" spans="2:7" ht="24" customHeight="1">
      <c r="B7" s="151" t="s">
        <v>393</v>
      </c>
      <c r="C7" s="94">
        <f>个人信息!N25</f>
        <v>20</v>
      </c>
      <c r="D7" s="151" t="s">
        <v>394</v>
      </c>
      <c r="E7" s="94">
        <f>个人信息!I2</f>
        <v>0</v>
      </c>
      <c r="F7" s="151" t="s">
        <v>395</v>
      </c>
      <c r="G7" s="94">
        <f>个人信息!L15</f>
        <v>0</v>
      </c>
    </row>
    <row r="8" spans="2:7" ht="24" customHeight="1">
      <c r="B8" s="151" t="s">
        <v>396</v>
      </c>
      <c r="C8" s="94">
        <f>个人信息!N26</f>
        <v>20</v>
      </c>
      <c r="D8" s="151" t="s">
        <v>397</v>
      </c>
      <c r="E8" s="94">
        <f>个人信息!I4</f>
        <v>0</v>
      </c>
      <c r="F8" s="151" t="s">
        <v>398</v>
      </c>
      <c r="G8" s="94">
        <f>个人信息!L13</f>
        <v>0</v>
      </c>
    </row>
    <row r="9" spans="2:7" ht="24" customHeight="1">
      <c r="B9" s="151" t="s">
        <v>399</v>
      </c>
      <c r="C9" s="94">
        <f>个人信息!N27</f>
        <v>15</v>
      </c>
      <c r="D9" s="151" t="s">
        <v>400</v>
      </c>
      <c r="E9" s="94">
        <f>个人信息!I6</f>
        <v>0</v>
      </c>
      <c r="F9" s="151" t="s">
        <v>401</v>
      </c>
      <c r="G9" s="94">
        <f>个人信息!N13</f>
        <v>0</v>
      </c>
    </row>
    <row r="10" spans="2:7" ht="24" customHeight="1">
      <c r="B10" s="151" t="s">
        <v>116</v>
      </c>
      <c r="C10" s="94">
        <f>个人信息!N38</f>
        <v>40</v>
      </c>
      <c r="D10" s="151" t="s">
        <v>402</v>
      </c>
      <c r="E10" s="94">
        <f>个人信息!I8</f>
        <v>0</v>
      </c>
      <c r="F10" s="151" t="s">
        <v>403</v>
      </c>
      <c r="G10" s="94">
        <f>个人信息!L19</f>
        <v>0</v>
      </c>
    </row>
    <row r="11" spans="2:7" ht="24" customHeight="1">
      <c r="B11" s="151" t="s">
        <v>404</v>
      </c>
      <c r="C11" s="94">
        <f>个人信息!G36</f>
        <v>10</v>
      </c>
      <c r="D11" s="151" t="s">
        <v>405</v>
      </c>
      <c r="E11" s="94">
        <f>个人信息!K2</f>
        <v>0</v>
      </c>
      <c r="F11" s="151" t="s">
        <v>406</v>
      </c>
      <c r="G11" s="94">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2026-07-04T07:28:30Z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